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nl-my.sharepoint.com/personal/jakub_toman_inl_gov/Documents/Documents/FissionBatt/TEA/Baseline Updates 260923/"/>
    </mc:Choice>
  </mc:AlternateContent>
  <xr:revisionPtr revIDLastSave="1" documentId="8_{80E139AD-8E2C-4294-87EA-10492A6363FD}" xr6:coauthVersionLast="47" xr6:coauthVersionMax="47" xr10:uidLastSave="{0A47142D-EA59-4F68-BFC2-F475FF8D088F}"/>
  <bookViews>
    <workbookView xWindow="-110" yWindow="-110" windowWidth="19420" windowHeight="10300" xr2:uid="{00000000-000D-0000-FFFF-FFFF00000000}"/>
    <workbookView xWindow="-110" yWindow="-110" windowWidth="19420" windowHeight="10300" xr2:uid="{8235BF4A-025A-49F5-856E-489597AD979C}"/>
  </bookViews>
  <sheets>
    <sheet name="Cost Database" sheetId="1" r:id="rId1"/>
    <sheet name="MARVEL_Cost" sheetId="2" r:id="rId2"/>
    <sheet name="Design Variables" sheetId="3" r:id="rId3"/>
    <sheet name="Inflation Adjustment" sheetId="4" r:id="rId4"/>
    <sheet name="Economics Parameters" sheetId="5" r:id="rId5"/>
    <sheet name="Manufacturing Campus Database" sheetId="6" r:id="rId6"/>
    <sheet name="Servicing Campus Database" sheetId="7" r:id="rId7"/>
  </sheets>
  <definedNames>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1" l="1"/>
  <c r="B61" i="1"/>
  <c r="B62" i="1"/>
  <c r="B63" i="1"/>
  <c r="B64" i="1"/>
  <c r="B65" i="1"/>
  <c r="B66" i="1"/>
  <c r="B67" i="1"/>
  <c r="D67" i="1" s="1"/>
  <c r="B68" i="1"/>
  <c r="B69" i="1"/>
  <c r="B70" i="1"/>
  <c r="B71" i="1"/>
  <c r="B72" i="1"/>
  <c r="B73" i="1"/>
  <c r="B74" i="1"/>
  <c r="B75" i="1"/>
  <c r="B76" i="1"/>
  <c r="B77" i="1"/>
  <c r="B78" i="1"/>
  <c r="B79" i="1"/>
  <c r="B80" i="1"/>
  <c r="D80" i="1" s="1"/>
  <c r="B81" i="1"/>
  <c r="B82" i="1"/>
  <c r="B83" i="1"/>
  <c r="B84" i="1"/>
  <c r="B85" i="1"/>
  <c r="B86" i="1"/>
  <c r="B87" i="1"/>
  <c r="B88" i="1"/>
  <c r="B89" i="1"/>
  <c r="B90" i="1"/>
  <c r="B91" i="1"/>
  <c r="B92" i="1"/>
  <c r="B93" i="1"/>
  <c r="J68" i="1"/>
  <c r="K22" i="7"/>
  <c r="N140" i="1"/>
  <c r="N141" i="1"/>
  <c r="K36" i="7"/>
  <c r="K20" i="7"/>
  <c r="K29" i="7"/>
  <c r="AB172" i="1"/>
  <c r="AA172" i="1"/>
  <c r="Y172" i="1"/>
  <c r="X172" i="1"/>
  <c r="D172" i="1"/>
  <c r="AB171" i="1"/>
  <c r="AA171" i="1"/>
  <c r="Y171" i="1"/>
  <c r="X171" i="1"/>
  <c r="D171" i="1"/>
  <c r="AB170" i="1"/>
  <c r="AA170" i="1"/>
  <c r="Y170" i="1"/>
  <c r="X170" i="1"/>
  <c r="D170" i="1"/>
  <c r="D169" i="1"/>
  <c r="K16" i="1"/>
  <c r="K17" i="1"/>
  <c r="AA61" i="1"/>
  <c r="AB61" i="1"/>
  <c r="J61" i="1"/>
  <c r="D61" i="1"/>
  <c r="B59" i="1"/>
  <c r="D59" i="1" s="1"/>
  <c r="AA79" i="1"/>
  <c r="AB79" i="1"/>
  <c r="J80" i="1"/>
  <c r="X80" i="1" s="1"/>
  <c r="J79" i="1"/>
  <c r="Y79" i="1" s="1"/>
  <c r="J51" i="1"/>
  <c r="AA68" i="1"/>
  <c r="D79" i="1"/>
  <c r="AB80" i="1"/>
  <c r="AA80" i="1"/>
  <c r="D78" i="1"/>
  <c r="Y68" i="1"/>
  <c r="X68" i="1"/>
  <c r="D68" i="1"/>
  <c r="J49" i="1"/>
  <c r="X79" i="1" l="1"/>
  <c r="Y80" i="1"/>
  <c r="AB68" i="1"/>
  <c r="AB53" i="1" l="1"/>
  <c r="AA53" i="1"/>
  <c r="J53" i="1"/>
  <c r="Y53" i="1" s="1"/>
  <c r="B53" i="1"/>
  <c r="D53" i="1" s="1"/>
  <c r="B52" i="1"/>
  <c r="D52" i="1" s="1"/>
  <c r="AB51" i="1"/>
  <c r="AA51" i="1"/>
  <c r="Y51" i="1"/>
  <c r="X51" i="1"/>
  <c r="B51" i="1"/>
  <c r="D51" i="1" s="1"/>
  <c r="B50" i="1"/>
  <c r="D50" i="1" s="1"/>
  <c r="AB49" i="1"/>
  <c r="AA49" i="1"/>
  <c r="Y49" i="1"/>
  <c r="B49" i="1"/>
  <c r="D49" i="1" s="1"/>
  <c r="B48" i="1"/>
  <c r="D48" i="1" s="1"/>
  <c r="X53" i="1" l="1"/>
  <c r="X49" i="1"/>
  <c r="B100" i="7" l="1"/>
  <c r="D100" i="7" s="1"/>
  <c r="B99" i="7"/>
  <c r="D99" i="7" s="1"/>
  <c r="AB98" i="7"/>
  <c r="AA98" i="7"/>
  <c r="J98" i="7"/>
  <c r="Y98" i="7" s="1"/>
  <c r="B98" i="7"/>
  <c r="D98" i="7" s="1"/>
  <c r="AB97" i="7"/>
  <c r="AA97" i="7"/>
  <c r="J97" i="7"/>
  <c r="B97" i="7"/>
  <c r="D97" i="7" s="1"/>
  <c r="AB96" i="7"/>
  <c r="AA96" i="7"/>
  <c r="J96" i="7"/>
  <c r="Y96" i="7" s="1"/>
  <c r="B96" i="7"/>
  <c r="D96" i="7" s="1"/>
  <c r="AB95" i="7"/>
  <c r="AA95" i="7"/>
  <c r="Y95" i="7"/>
  <c r="X95" i="7"/>
  <c r="J95" i="7"/>
  <c r="B95" i="7"/>
  <c r="D95" i="7" s="1"/>
  <c r="B94" i="7"/>
  <c r="D94" i="7" s="1"/>
  <c r="B93" i="7"/>
  <c r="D93" i="7" s="1"/>
  <c r="AB92" i="7"/>
  <c r="AA92" i="7"/>
  <c r="B92" i="7"/>
  <c r="D92" i="7" s="1"/>
  <c r="AB91" i="7"/>
  <c r="AA91" i="7"/>
  <c r="B91" i="7"/>
  <c r="D91" i="7" s="1"/>
  <c r="AB90" i="7"/>
  <c r="AA90" i="7"/>
  <c r="B90" i="7"/>
  <c r="D90" i="7" s="1"/>
  <c r="AG89" i="7"/>
  <c r="AF89" i="7"/>
  <c r="AE89" i="7"/>
  <c r="AD89" i="7"/>
  <c r="AC89" i="7"/>
  <c r="AA89" i="7"/>
  <c r="Z89" i="7"/>
  <c r="W89" i="7"/>
  <c r="V89" i="7"/>
  <c r="U89" i="7"/>
  <c r="T89" i="7"/>
  <c r="S89" i="7"/>
  <c r="R89" i="7"/>
  <c r="Q89" i="7"/>
  <c r="J89" i="7"/>
  <c r="D89" i="7"/>
  <c r="B89" i="7"/>
  <c r="AB88" i="7"/>
  <c r="AA88" i="7"/>
  <c r="B88" i="7"/>
  <c r="D88" i="7" s="1"/>
  <c r="B87" i="7"/>
  <c r="D87" i="7" s="1"/>
  <c r="AB86" i="7"/>
  <c r="AA86" i="7"/>
  <c r="Y86" i="7"/>
  <c r="X86" i="7"/>
  <c r="B86" i="7"/>
  <c r="D86" i="7" s="1"/>
  <c r="AB85" i="7"/>
  <c r="AA85" i="7"/>
  <c r="Y85" i="7"/>
  <c r="X85" i="7"/>
  <c r="B85" i="7"/>
  <c r="D85" i="7" s="1"/>
  <c r="AB84" i="7"/>
  <c r="AA84" i="7"/>
  <c r="Y84" i="7"/>
  <c r="X84" i="7"/>
  <c r="B84" i="7"/>
  <c r="D84" i="7" s="1"/>
  <c r="AB83" i="7"/>
  <c r="AA83" i="7"/>
  <c r="Y83" i="7"/>
  <c r="X83" i="7"/>
  <c r="B83" i="7"/>
  <c r="D83" i="7" s="1"/>
  <c r="AB82" i="7"/>
  <c r="AA82" i="7"/>
  <c r="Y82" i="7"/>
  <c r="X82" i="7"/>
  <c r="B82" i="7"/>
  <c r="D82" i="7" s="1"/>
  <c r="B81" i="7"/>
  <c r="D81" i="7" s="1"/>
  <c r="AB80" i="7"/>
  <c r="AA80" i="7"/>
  <c r="Y80" i="7"/>
  <c r="X80" i="7"/>
  <c r="B80" i="7"/>
  <c r="D80" i="7" s="1"/>
  <c r="AB79" i="7"/>
  <c r="AA79" i="7"/>
  <c r="Y79" i="7"/>
  <c r="X79" i="7"/>
  <c r="B79" i="7"/>
  <c r="D79" i="7" s="1"/>
  <c r="AB78" i="7"/>
  <c r="AA78" i="7"/>
  <c r="Y78" i="7"/>
  <c r="X78" i="7"/>
  <c r="B78" i="7"/>
  <c r="D78" i="7" s="1"/>
  <c r="AB77" i="7"/>
  <c r="AA77" i="7"/>
  <c r="Y77" i="7"/>
  <c r="X77" i="7"/>
  <c r="B77" i="7"/>
  <c r="D77" i="7" s="1"/>
  <c r="AB76" i="7"/>
  <c r="AA76" i="7"/>
  <c r="Y76" i="7"/>
  <c r="X76" i="7"/>
  <c r="B76" i="7"/>
  <c r="D76" i="7" s="1"/>
  <c r="AB75" i="7"/>
  <c r="AA75" i="7"/>
  <c r="Y75" i="7"/>
  <c r="X75" i="7"/>
  <c r="B75" i="7"/>
  <c r="D75" i="7" s="1"/>
  <c r="AB74" i="7"/>
  <c r="AA74" i="7"/>
  <c r="Y74" i="7"/>
  <c r="X74" i="7"/>
  <c r="B74" i="7"/>
  <c r="D74" i="7" s="1"/>
  <c r="B73" i="7"/>
  <c r="D73" i="7" s="1"/>
  <c r="B72" i="7"/>
  <c r="D72" i="7" s="1"/>
  <c r="B71" i="7"/>
  <c r="D71" i="7" s="1"/>
  <c r="B70" i="7"/>
  <c r="D70" i="7" s="1"/>
  <c r="AB69" i="7"/>
  <c r="AA69" i="7"/>
  <c r="Y69" i="7"/>
  <c r="X69" i="7"/>
  <c r="B69" i="7"/>
  <c r="D69" i="7" s="1"/>
  <c r="D68" i="7"/>
  <c r="B68" i="7"/>
  <c r="B67" i="7"/>
  <c r="D67" i="7" s="1"/>
  <c r="AB66" i="7"/>
  <c r="AA66" i="7"/>
  <c r="Y66" i="7"/>
  <c r="X66" i="7"/>
  <c r="D66" i="7"/>
  <c r="AB65" i="7"/>
  <c r="AA65" i="7"/>
  <c r="Y65" i="7"/>
  <c r="X65" i="7"/>
  <c r="D65" i="7"/>
  <c r="AB64" i="7"/>
  <c r="AA64" i="7"/>
  <c r="Y64" i="7"/>
  <c r="X64" i="7"/>
  <c r="D64" i="7"/>
  <c r="AB63" i="7"/>
  <c r="AA63" i="7"/>
  <c r="Y63" i="7"/>
  <c r="X63" i="7"/>
  <c r="D63" i="7"/>
  <c r="Y62" i="7"/>
  <c r="X62" i="7"/>
  <c r="K62" i="7"/>
  <c r="AB62" i="7" s="1"/>
  <c r="D62" i="7"/>
  <c r="B61" i="7"/>
  <c r="D61" i="7" s="1"/>
  <c r="AB60" i="7"/>
  <c r="AA60" i="7"/>
  <c r="Y60" i="7"/>
  <c r="X60" i="7"/>
  <c r="B60" i="7"/>
  <c r="D60" i="7" s="1"/>
  <c r="AB59" i="7"/>
  <c r="AA59" i="7"/>
  <c r="Y59" i="7"/>
  <c r="X59" i="7"/>
  <c r="B59" i="7"/>
  <c r="D59" i="7" s="1"/>
  <c r="B58" i="7"/>
  <c r="D58" i="7" s="1"/>
  <c r="AB57" i="7"/>
  <c r="AA57" i="7"/>
  <c r="Y57" i="7"/>
  <c r="X57" i="7"/>
  <c r="B57" i="7"/>
  <c r="D57" i="7" s="1"/>
  <c r="AB56" i="7"/>
  <c r="AA56" i="7"/>
  <c r="Y56" i="7"/>
  <c r="X56" i="7"/>
  <c r="B56" i="7"/>
  <c r="D56" i="7" s="1"/>
  <c r="AB55" i="7"/>
  <c r="AA55" i="7"/>
  <c r="Y55" i="7"/>
  <c r="X55" i="7"/>
  <c r="B55" i="7"/>
  <c r="D55" i="7" s="1"/>
  <c r="AB54" i="7"/>
  <c r="AA54" i="7"/>
  <c r="Y54" i="7"/>
  <c r="X54" i="7"/>
  <c r="B54" i="7"/>
  <c r="D54" i="7" s="1"/>
  <c r="B53" i="7"/>
  <c r="D53" i="7" s="1"/>
  <c r="AB52" i="7"/>
  <c r="AA52" i="7"/>
  <c r="Y52" i="7"/>
  <c r="X52" i="7"/>
  <c r="B52" i="7"/>
  <c r="D52" i="7" s="1"/>
  <c r="AB51" i="7"/>
  <c r="AA51" i="7"/>
  <c r="Y51" i="7"/>
  <c r="X51" i="7"/>
  <c r="B51" i="7"/>
  <c r="D51" i="7" s="1"/>
  <c r="B50" i="7"/>
  <c r="D50" i="7" s="1"/>
  <c r="Y49" i="7"/>
  <c r="X49" i="7"/>
  <c r="K49" i="7"/>
  <c r="AB49" i="7" s="1"/>
  <c r="B49" i="7"/>
  <c r="D49" i="7" s="1"/>
  <c r="AB48" i="7"/>
  <c r="AA48" i="7"/>
  <c r="Y48" i="7"/>
  <c r="X48" i="7"/>
  <c r="K48" i="7"/>
  <c r="B48" i="7"/>
  <c r="D48" i="7" s="1"/>
  <c r="AB47" i="7"/>
  <c r="AA47" i="7"/>
  <c r="Y47" i="7"/>
  <c r="X47" i="7"/>
  <c r="J47" i="7"/>
  <c r="D47" i="7"/>
  <c r="B47" i="7"/>
  <c r="AB46" i="7"/>
  <c r="AA46" i="7"/>
  <c r="Y46" i="7"/>
  <c r="X46" i="7"/>
  <c r="D46" i="7"/>
  <c r="B46" i="7"/>
  <c r="Y45" i="7"/>
  <c r="X45" i="7"/>
  <c r="K45" i="7"/>
  <c r="D45" i="7"/>
  <c r="B45" i="7"/>
  <c r="B44" i="7"/>
  <c r="D44" i="7" s="1"/>
  <c r="AB43" i="7"/>
  <c r="AB89" i="7" s="1"/>
  <c r="AA43" i="7"/>
  <c r="Y43" i="7"/>
  <c r="Y89" i="7" s="1"/>
  <c r="X43" i="7"/>
  <c r="X89" i="7" s="1"/>
  <c r="D43" i="7"/>
  <c r="AB42" i="7"/>
  <c r="AA42" i="7"/>
  <c r="Y42" i="7"/>
  <c r="X42" i="7"/>
  <c r="D42" i="7"/>
  <c r="AB41" i="7"/>
  <c r="AA41" i="7"/>
  <c r="Y41" i="7"/>
  <c r="X41" i="7"/>
  <c r="J41" i="7"/>
  <c r="D41" i="7"/>
  <c r="AB40" i="7"/>
  <c r="AA40" i="7"/>
  <c r="Y40" i="7"/>
  <c r="X40" i="7"/>
  <c r="D40" i="7"/>
  <c r="AB39" i="7"/>
  <c r="Y39" i="7"/>
  <c r="X39" i="7"/>
  <c r="N39" i="7"/>
  <c r="K39" i="7" s="1"/>
  <c r="AA39" i="7"/>
  <c r="D39" i="7"/>
  <c r="AB38" i="7"/>
  <c r="AA38" i="7"/>
  <c r="Y38" i="7"/>
  <c r="X38" i="7"/>
  <c r="D38" i="7"/>
  <c r="B37" i="7"/>
  <c r="D37" i="7" s="1"/>
  <c r="AB36" i="7"/>
  <c r="AA36" i="7"/>
  <c r="Y36" i="7"/>
  <c r="X36" i="7"/>
  <c r="B36" i="7"/>
  <c r="D36" i="7" s="1"/>
  <c r="AB35" i="7"/>
  <c r="AA35" i="7"/>
  <c r="Y35" i="7"/>
  <c r="X35" i="7"/>
  <c r="B35" i="7"/>
  <c r="D35" i="7" s="1"/>
  <c r="Y34" i="7"/>
  <c r="X34" i="7"/>
  <c r="K34" i="7"/>
  <c r="B34" i="7"/>
  <c r="D34" i="7" s="1"/>
  <c r="Y33" i="7"/>
  <c r="X33" i="7"/>
  <c r="K33" i="7"/>
  <c r="D33" i="7"/>
  <c r="D32" i="7"/>
  <c r="B32" i="7"/>
  <c r="AB31" i="7"/>
  <c r="AA31" i="7"/>
  <c r="Y31" i="7"/>
  <c r="X31" i="7"/>
  <c r="B31" i="7"/>
  <c r="D31" i="7" s="1"/>
  <c r="D30" i="7"/>
  <c r="B30" i="7"/>
  <c r="Y29" i="7"/>
  <c r="X29" i="7"/>
  <c r="B29" i="7"/>
  <c r="D29" i="7" s="1"/>
  <c r="AB28" i="7"/>
  <c r="AA28" i="7"/>
  <c r="Y28" i="7"/>
  <c r="X28" i="7"/>
  <c r="B28" i="7"/>
  <c r="D28" i="7" s="1"/>
  <c r="Y27" i="7"/>
  <c r="X27" i="7"/>
  <c r="K27" i="7"/>
  <c r="AB27" i="7" s="1"/>
  <c r="B27" i="7"/>
  <c r="D27" i="7" s="1"/>
  <c r="B26" i="7"/>
  <c r="D26" i="7" s="1"/>
  <c r="AB25" i="7"/>
  <c r="AA25" i="7"/>
  <c r="Y25" i="7"/>
  <c r="X25" i="7"/>
  <c r="K25" i="7"/>
  <c r="D25" i="7"/>
  <c r="AB24" i="7"/>
  <c r="AA24" i="7"/>
  <c r="Y24" i="7"/>
  <c r="X24" i="7"/>
  <c r="K24" i="7"/>
  <c r="D24" i="7"/>
  <c r="B23" i="7"/>
  <c r="D23" i="7" s="1"/>
  <c r="AB22" i="7"/>
  <c r="AA22" i="7"/>
  <c r="Y22" i="7"/>
  <c r="X22" i="7"/>
  <c r="B22" i="7"/>
  <c r="D22" i="7" s="1"/>
  <c r="B21" i="7"/>
  <c r="AB20" i="7"/>
  <c r="AA20" i="7"/>
  <c r="Y20" i="7"/>
  <c r="X20" i="7"/>
  <c r="N20" i="7"/>
  <c r="B20" i="7"/>
  <c r="D20" i="7" s="1"/>
  <c r="D19" i="7"/>
  <c r="B19" i="7"/>
  <c r="D18" i="7"/>
  <c r="B18" i="7"/>
  <c r="Y17" i="7"/>
  <c r="X17" i="7"/>
  <c r="K17" i="7"/>
  <c r="D17" i="7"/>
  <c r="B17" i="7"/>
  <c r="Y16" i="7"/>
  <c r="X16" i="7"/>
  <c r="K16" i="7"/>
  <c r="B16" i="7"/>
  <c r="D16" i="7" s="1"/>
  <c r="AB15" i="7"/>
  <c r="AA15" i="7"/>
  <c r="Y15" i="7"/>
  <c r="X15" i="7"/>
  <c r="K15" i="7"/>
  <c r="B15" i="7"/>
  <c r="D15" i="7" s="1"/>
  <c r="B14" i="7"/>
  <c r="D14" i="7" s="1"/>
  <c r="Y13" i="7"/>
  <c r="X13" i="7"/>
  <c r="K13" i="7"/>
  <c r="D13" i="7"/>
  <c r="B13" i="7"/>
  <c r="Y12" i="7"/>
  <c r="X12" i="7"/>
  <c r="K12" i="7"/>
  <c r="AB12" i="7" s="1"/>
  <c r="B12" i="7"/>
  <c r="D12" i="7" s="1"/>
  <c r="AB11" i="7"/>
  <c r="AA11" i="7"/>
  <c r="Y11" i="7"/>
  <c r="X11" i="7"/>
  <c r="K11" i="7"/>
  <c r="B11" i="7"/>
  <c r="D11" i="7" s="1"/>
  <c r="B10" i="7"/>
  <c r="D10" i="7" s="1"/>
  <c r="B9" i="7"/>
  <c r="D9" i="7" s="1"/>
  <c r="D8" i="7"/>
  <c r="B8" i="7"/>
  <c r="AB7" i="7"/>
  <c r="AA7" i="7"/>
  <c r="Y7" i="7"/>
  <c r="X7" i="7"/>
  <c r="J7" i="7"/>
  <c r="B7" i="7"/>
  <c r="D7" i="7" s="1"/>
  <c r="AB6" i="7"/>
  <c r="AA6" i="7"/>
  <c r="Y6" i="7"/>
  <c r="X6" i="7"/>
  <c r="D6" i="7"/>
  <c r="B6" i="7"/>
  <c r="AB5" i="7"/>
  <c r="AA5" i="7"/>
  <c r="Y5" i="7"/>
  <c r="X5" i="7"/>
  <c r="J5" i="7"/>
  <c r="B5" i="7"/>
  <c r="D5" i="7" s="1"/>
  <c r="AB4" i="7"/>
  <c r="AA4" i="7"/>
  <c r="Y4" i="7"/>
  <c r="X4" i="7"/>
  <c r="K4" i="7"/>
  <c r="D4" i="7"/>
  <c r="B4" i="7"/>
  <c r="AB3" i="7"/>
  <c r="AA3" i="7"/>
  <c r="Y3" i="7"/>
  <c r="X3" i="7"/>
  <c r="B3" i="7"/>
  <c r="D3" i="7" s="1"/>
  <c r="B2" i="7"/>
  <c r="D2" i="7" s="1"/>
  <c r="B69" i="6"/>
  <c r="D69" i="6" s="1"/>
  <c r="D68" i="6"/>
  <c r="B68" i="6"/>
  <c r="AB67" i="6"/>
  <c r="AA67" i="6"/>
  <c r="B67" i="6"/>
  <c r="D67" i="6" s="1"/>
  <c r="AB66" i="6"/>
  <c r="AA66" i="6"/>
  <c r="D66" i="6"/>
  <c r="B66" i="6"/>
  <c r="AB65" i="6"/>
  <c r="AA65" i="6"/>
  <c r="Y65" i="6"/>
  <c r="X65" i="6"/>
  <c r="B65" i="6"/>
  <c r="D65" i="6" s="1"/>
  <c r="AB64" i="6"/>
  <c r="AA64" i="6"/>
  <c r="Y64" i="6"/>
  <c r="X64" i="6"/>
  <c r="B64" i="6"/>
  <c r="D64" i="6" s="1"/>
  <c r="AB63" i="6"/>
  <c r="AA63" i="6"/>
  <c r="Y63" i="6"/>
  <c r="X63" i="6"/>
  <c r="B63" i="6"/>
  <c r="D63" i="6" s="1"/>
  <c r="AB62" i="6"/>
  <c r="AA62" i="6"/>
  <c r="Y62" i="6"/>
  <c r="X62" i="6"/>
  <c r="D62" i="6"/>
  <c r="B62" i="6"/>
  <c r="AB61" i="6"/>
  <c r="AA61" i="6"/>
  <c r="Y61" i="6"/>
  <c r="X61" i="6"/>
  <c r="D61" i="6"/>
  <c r="B61" i="6"/>
  <c r="AB60" i="6"/>
  <c r="AA60" i="6"/>
  <c r="Y60" i="6"/>
  <c r="X60" i="6"/>
  <c r="D60" i="6"/>
  <c r="B60" i="6"/>
  <c r="AB59" i="6"/>
  <c r="AA59" i="6"/>
  <c r="Y59" i="6"/>
  <c r="X59" i="6"/>
  <c r="B59" i="6"/>
  <c r="D59" i="6" s="1"/>
  <c r="AB58" i="6"/>
  <c r="AA58" i="6"/>
  <c r="Y58" i="6"/>
  <c r="X58" i="6"/>
  <c r="D58" i="6"/>
  <c r="B58" i="6"/>
  <c r="B57" i="6"/>
  <c r="D57" i="6" s="1"/>
  <c r="AB56" i="6"/>
  <c r="AA56" i="6"/>
  <c r="Y56" i="6"/>
  <c r="X56" i="6"/>
  <c r="D56" i="6"/>
  <c r="B56" i="6"/>
  <c r="AB55" i="6"/>
  <c r="AA55" i="6"/>
  <c r="Y55" i="6"/>
  <c r="X55" i="6"/>
  <c r="D55" i="6"/>
  <c r="B55" i="6"/>
  <c r="AB54" i="6"/>
  <c r="AA54" i="6"/>
  <c r="Y54" i="6"/>
  <c r="X54" i="6"/>
  <c r="B54" i="6"/>
  <c r="D54" i="6" s="1"/>
  <c r="AB53" i="6"/>
  <c r="AA53" i="6"/>
  <c r="Y53" i="6"/>
  <c r="X53" i="6"/>
  <c r="B53" i="6"/>
  <c r="D53" i="6" s="1"/>
  <c r="AB52" i="6"/>
  <c r="AA52" i="6"/>
  <c r="Y52" i="6"/>
  <c r="X52" i="6"/>
  <c r="D52" i="6"/>
  <c r="B52" i="6"/>
  <c r="AB51" i="6"/>
  <c r="AA51" i="6"/>
  <c r="Y51" i="6"/>
  <c r="X51" i="6"/>
  <c r="B51" i="6"/>
  <c r="D51" i="6" s="1"/>
  <c r="AB50" i="6"/>
  <c r="AA50" i="6"/>
  <c r="Y50" i="6"/>
  <c r="X50" i="6"/>
  <c r="B50" i="6"/>
  <c r="D50" i="6" s="1"/>
  <c r="AB49" i="6"/>
  <c r="AA49" i="6"/>
  <c r="Y49" i="6"/>
  <c r="X49" i="6"/>
  <c r="B49" i="6"/>
  <c r="D49" i="6" s="1"/>
  <c r="AB48" i="6"/>
  <c r="AA48" i="6"/>
  <c r="Y48" i="6"/>
  <c r="X48" i="6"/>
  <c r="D48" i="6"/>
  <c r="B48" i="6"/>
  <c r="B47" i="6"/>
  <c r="D47" i="6" s="1"/>
  <c r="B46" i="6"/>
  <c r="D46" i="6" s="1"/>
  <c r="B45" i="6"/>
  <c r="D45" i="6" s="1"/>
  <c r="D44" i="6"/>
  <c r="B44" i="6"/>
  <c r="AB43" i="6"/>
  <c r="AA43" i="6"/>
  <c r="Y43" i="6"/>
  <c r="X43" i="6"/>
  <c r="B43" i="6"/>
  <c r="D43" i="6" s="1"/>
  <c r="D42" i="6"/>
  <c r="B42" i="6"/>
  <c r="B41" i="6"/>
  <c r="D41" i="6" s="1"/>
  <c r="D40" i="6"/>
  <c r="D39" i="6"/>
  <c r="D38" i="6"/>
  <c r="K37" i="6"/>
  <c r="D37" i="6"/>
  <c r="D36" i="6"/>
  <c r="B36" i="6"/>
  <c r="AB35" i="6"/>
  <c r="AA35" i="6"/>
  <c r="Y35" i="6"/>
  <c r="X35" i="6"/>
  <c r="D35" i="6"/>
  <c r="B35" i="6"/>
  <c r="AB34" i="6"/>
  <c r="AA34" i="6"/>
  <c r="Y34" i="6"/>
  <c r="X34" i="6"/>
  <c r="B34" i="6"/>
  <c r="D34" i="6" s="1"/>
  <c r="D33" i="6"/>
  <c r="B33" i="6"/>
  <c r="Y32" i="6"/>
  <c r="X32" i="6"/>
  <c r="K32" i="6"/>
  <c r="D32" i="6"/>
  <c r="B32" i="6"/>
  <c r="Y31" i="6"/>
  <c r="X31" i="6"/>
  <c r="K31" i="6"/>
  <c r="B31" i="6"/>
  <c r="D31" i="6" s="1"/>
  <c r="AB30" i="6"/>
  <c r="AA30" i="6"/>
  <c r="Y30" i="6"/>
  <c r="X30" i="6"/>
  <c r="J30" i="6"/>
  <c r="B30" i="6"/>
  <c r="D30" i="6" s="1"/>
  <c r="K29" i="6"/>
  <c r="D29" i="6"/>
  <c r="B29" i="6"/>
  <c r="D28" i="6"/>
  <c r="B28" i="6"/>
  <c r="AB27" i="6"/>
  <c r="AA27" i="6"/>
  <c r="Y27" i="6"/>
  <c r="X27" i="6"/>
  <c r="D27" i="6"/>
  <c r="D26" i="6"/>
  <c r="B26" i="6"/>
  <c r="Y25" i="6"/>
  <c r="X25" i="6"/>
  <c r="K25" i="6"/>
  <c r="D25" i="6"/>
  <c r="B25" i="6"/>
  <c r="AB24" i="6"/>
  <c r="AA24" i="6"/>
  <c r="Y24" i="6"/>
  <c r="X24" i="6"/>
  <c r="B24" i="6"/>
  <c r="D24" i="6" s="1"/>
  <c r="AB23" i="6"/>
  <c r="AA23" i="6"/>
  <c r="Y23" i="6"/>
  <c r="X23" i="6"/>
  <c r="D23" i="6"/>
  <c r="AB22" i="6"/>
  <c r="AA22" i="6"/>
  <c r="Y22" i="6"/>
  <c r="X22" i="6"/>
  <c r="K22" i="6"/>
  <c r="D22" i="6"/>
  <c r="B22" i="6"/>
  <c r="Y21" i="6"/>
  <c r="X21" i="6"/>
  <c r="K21" i="6"/>
  <c r="AB21" i="6" s="1"/>
  <c r="D21" i="6"/>
  <c r="B21" i="6"/>
  <c r="B20" i="6"/>
  <c r="D20" i="6" s="1"/>
  <c r="AB19" i="6"/>
  <c r="AA19" i="6"/>
  <c r="Y19" i="6"/>
  <c r="X19" i="6"/>
  <c r="K19" i="6"/>
  <c r="D19" i="6"/>
  <c r="B18" i="6"/>
  <c r="D18" i="6" s="1"/>
  <c r="B17" i="6"/>
  <c r="D17" i="6" s="1"/>
  <c r="AB16" i="6"/>
  <c r="AA16" i="6"/>
  <c r="Y16" i="6"/>
  <c r="X16" i="6"/>
  <c r="K16" i="6"/>
  <c r="B16" i="6"/>
  <c r="D16" i="6" s="1"/>
  <c r="AB15" i="6"/>
  <c r="AA15" i="6"/>
  <c r="Y15" i="6"/>
  <c r="X15" i="6"/>
  <c r="K15" i="6"/>
  <c r="B15" i="6"/>
  <c r="D15" i="6" s="1"/>
  <c r="B14" i="6"/>
  <c r="D14" i="6" s="1"/>
  <c r="AB13" i="6"/>
  <c r="AA13" i="6"/>
  <c r="Y13" i="6"/>
  <c r="X13" i="6"/>
  <c r="K13" i="6"/>
  <c r="B13" i="6"/>
  <c r="D13" i="6" s="1"/>
  <c r="AB12" i="6"/>
  <c r="AA12" i="6"/>
  <c r="Y12" i="6"/>
  <c r="X12" i="6"/>
  <c r="K12" i="6"/>
  <c r="B12" i="6"/>
  <c r="D12" i="6" s="1"/>
  <c r="AB11" i="6"/>
  <c r="AA11" i="6"/>
  <c r="Y11" i="6"/>
  <c r="X11" i="6"/>
  <c r="K11" i="6"/>
  <c r="D11" i="6"/>
  <c r="B11" i="6"/>
  <c r="B10" i="6"/>
  <c r="D10" i="6" s="1"/>
  <c r="B9" i="6"/>
  <c r="D9" i="6" s="1"/>
  <c r="D8" i="6"/>
  <c r="B8" i="6"/>
  <c r="AB7" i="6"/>
  <c r="AA7" i="6"/>
  <c r="J7" i="6"/>
  <c r="Y7" i="6" s="1"/>
  <c r="B7" i="6"/>
  <c r="D7" i="6" s="1"/>
  <c r="AB6" i="6"/>
  <c r="AA6" i="6"/>
  <c r="Y6" i="6"/>
  <c r="X6" i="6"/>
  <c r="B6" i="6"/>
  <c r="D6" i="6" s="1"/>
  <c r="AB5" i="6"/>
  <c r="AA5" i="6"/>
  <c r="Y5" i="6"/>
  <c r="X5" i="6"/>
  <c r="J5" i="6"/>
  <c r="B5" i="6"/>
  <c r="D5" i="6" s="1"/>
  <c r="AB4" i="6"/>
  <c r="AA4" i="6"/>
  <c r="Y4" i="6"/>
  <c r="X4" i="6"/>
  <c r="K4" i="6"/>
  <c r="B4" i="6"/>
  <c r="D4" i="6" s="1"/>
  <c r="AB3" i="6"/>
  <c r="AA3" i="6"/>
  <c r="Y3" i="6"/>
  <c r="X3" i="6"/>
  <c r="D3" i="6"/>
  <c r="B3" i="6"/>
  <c r="B2" i="6"/>
  <c r="D2" i="6" s="1"/>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5" i="4"/>
  <c r="F15" i="4"/>
  <c r="G14" i="4"/>
  <c r="F14" i="4"/>
  <c r="G13" i="4"/>
  <c r="F13" i="4"/>
  <c r="G12" i="4"/>
  <c r="F12" i="4"/>
  <c r="G11" i="4"/>
  <c r="F11" i="4"/>
  <c r="G10" i="4"/>
  <c r="F10" i="4"/>
  <c r="G9" i="4"/>
  <c r="F9" i="4"/>
  <c r="G8" i="4"/>
  <c r="F8" i="4"/>
  <c r="G7" i="4"/>
  <c r="F7" i="4"/>
  <c r="G6" i="4"/>
  <c r="F6" i="4"/>
  <c r="G5" i="4"/>
  <c r="F5" i="4"/>
  <c r="G4" i="4"/>
  <c r="F4" i="4"/>
  <c r="G3" i="4"/>
  <c r="F3" i="4"/>
  <c r="G2" i="4"/>
  <c r="F2" i="4"/>
  <c r="C77" i="2"/>
  <c r="C75" i="2"/>
  <c r="C73" i="2"/>
  <c r="C71" i="2"/>
  <c r="C68" i="2"/>
  <c r="J179" i="1" s="1"/>
  <c r="C65" i="2"/>
  <c r="J178" i="1" s="1"/>
  <c r="C62" i="2"/>
  <c r="J177" i="1" s="1"/>
  <c r="C59" i="2"/>
  <c r="C58" i="2"/>
  <c r="J176" i="1" s="1"/>
  <c r="X176" i="1" s="1"/>
  <c r="C56" i="2"/>
  <c r="C52" i="2"/>
  <c r="C48" i="2"/>
  <c r="C46" i="2"/>
  <c r="C45" i="2" s="1"/>
  <c r="C32" i="2"/>
  <c r="C25" i="2"/>
  <c r="C20" i="2"/>
  <c r="C19" i="2" s="1"/>
  <c r="C14" i="2" s="1"/>
  <c r="C13" i="2" s="1"/>
  <c r="C15" i="2"/>
  <c r="C10" i="2"/>
  <c r="C6" i="2" s="1"/>
  <c r="C5" i="2" s="1"/>
  <c r="C3" i="2"/>
  <c r="AB214" i="1"/>
  <c r="AA214" i="1"/>
  <c r="Y214" i="1"/>
  <c r="X214" i="1"/>
  <c r="B214" i="1"/>
  <c r="D214" i="1" s="1"/>
  <c r="B213" i="1"/>
  <c r="D213" i="1" s="1"/>
  <c r="AB212" i="1"/>
  <c r="AA212" i="1"/>
  <c r="Y212" i="1"/>
  <c r="X212" i="1"/>
  <c r="B212" i="1"/>
  <c r="D212" i="1" s="1"/>
  <c r="B211" i="1"/>
  <c r="D211" i="1" s="1"/>
  <c r="B210" i="1"/>
  <c r="D210" i="1" s="1"/>
  <c r="B209" i="1"/>
  <c r="D209" i="1" s="1"/>
  <c r="B208" i="1"/>
  <c r="D208" i="1" s="1"/>
  <c r="B207" i="1"/>
  <c r="D207" i="1" s="1"/>
  <c r="B206" i="1"/>
  <c r="D206" i="1" s="1"/>
  <c r="B205" i="1"/>
  <c r="D205" i="1" s="1"/>
  <c r="B204" i="1"/>
  <c r="D204" i="1" s="1"/>
  <c r="B203" i="1"/>
  <c r="D203" i="1" s="1"/>
  <c r="B202" i="1"/>
  <c r="D202" i="1" s="1"/>
  <c r="B201" i="1"/>
  <c r="D201" i="1" s="1"/>
  <c r="B200" i="1"/>
  <c r="D200" i="1" s="1"/>
  <c r="B198" i="1"/>
  <c r="D198" i="1" s="1"/>
  <c r="B197" i="1"/>
  <c r="D197" i="1" s="1"/>
  <c r="B196" i="1"/>
  <c r="D196" i="1" s="1"/>
  <c r="B195" i="1"/>
  <c r="D195" i="1" s="1"/>
  <c r="B194" i="1"/>
  <c r="D194" i="1" s="1"/>
  <c r="B193" i="1"/>
  <c r="D193" i="1" s="1"/>
  <c r="J192" i="1"/>
  <c r="X192" i="1" s="1"/>
  <c r="B192" i="1"/>
  <c r="D192" i="1" s="1"/>
  <c r="AB191" i="1"/>
  <c r="AA191" i="1"/>
  <c r="Y191" i="1"/>
  <c r="X191" i="1"/>
  <c r="B191" i="1"/>
  <c r="D191" i="1" s="1"/>
  <c r="AB190" i="1"/>
  <c r="AA190" i="1"/>
  <c r="Y190" i="1"/>
  <c r="X190" i="1"/>
  <c r="B190" i="1"/>
  <c r="D190" i="1" s="1"/>
  <c r="B189" i="1"/>
  <c r="D189" i="1" s="1"/>
  <c r="AB188" i="1"/>
  <c r="AA188" i="1"/>
  <c r="Y188" i="1"/>
  <c r="X188" i="1"/>
  <c r="B188" i="1"/>
  <c r="D188" i="1" s="1"/>
  <c r="AB187" i="1"/>
  <c r="AA187" i="1"/>
  <c r="Y187" i="1"/>
  <c r="X187" i="1"/>
  <c r="B187" i="1"/>
  <c r="D187" i="1" s="1"/>
  <c r="AB186" i="1"/>
  <c r="AA186" i="1"/>
  <c r="Y186" i="1"/>
  <c r="X186" i="1"/>
  <c r="B186" i="1"/>
  <c r="D186" i="1" s="1"/>
  <c r="B185" i="1"/>
  <c r="D185" i="1" s="1"/>
  <c r="B184" i="1"/>
  <c r="D184" i="1" s="1"/>
  <c r="B183" i="1"/>
  <c r="D183" i="1" s="1"/>
  <c r="B182" i="1"/>
  <c r="D182" i="1" s="1"/>
  <c r="AB181" i="1"/>
  <c r="AA181" i="1"/>
  <c r="Y181" i="1"/>
  <c r="X181" i="1"/>
  <c r="B181" i="1"/>
  <c r="D181" i="1" s="1"/>
  <c r="B180" i="1"/>
  <c r="D180" i="1" s="1"/>
  <c r="AB179" i="1"/>
  <c r="AA179" i="1"/>
  <c r="B179" i="1"/>
  <c r="D179" i="1" s="1"/>
  <c r="AB178" i="1"/>
  <c r="AA178" i="1"/>
  <c r="B178" i="1"/>
  <c r="D178" i="1" s="1"/>
  <c r="AB177" i="1"/>
  <c r="AA177" i="1"/>
  <c r="B177" i="1"/>
  <c r="D177" i="1" s="1"/>
  <c r="AB176" i="1"/>
  <c r="AA176" i="1"/>
  <c r="B176" i="1"/>
  <c r="D176" i="1" s="1"/>
  <c r="D175" i="1"/>
  <c r="D174" i="1"/>
  <c r="B173" i="1"/>
  <c r="D173" i="1" s="1"/>
  <c r="AB168" i="1"/>
  <c r="AA168" i="1"/>
  <c r="Y168" i="1"/>
  <c r="X168" i="1"/>
  <c r="B168" i="1"/>
  <c r="D168" i="1" s="1"/>
  <c r="AB167" i="1"/>
  <c r="AA167" i="1"/>
  <c r="Y167" i="1"/>
  <c r="X167" i="1"/>
  <c r="B167" i="1"/>
  <c r="D167" i="1" s="1"/>
  <c r="AB166" i="1"/>
  <c r="AA166" i="1"/>
  <c r="Y166" i="1"/>
  <c r="X166" i="1"/>
  <c r="B166" i="1"/>
  <c r="D166" i="1" s="1"/>
  <c r="AB165" i="1"/>
  <c r="AA165" i="1"/>
  <c r="Y165" i="1"/>
  <c r="X165" i="1"/>
  <c r="B165" i="1"/>
  <c r="D165" i="1" s="1"/>
  <c r="AB164" i="1"/>
  <c r="AA164" i="1"/>
  <c r="Y164" i="1"/>
  <c r="X164" i="1"/>
  <c r="B164" i="1"/>
  <c r="D164" i="1" s="1"/>
  <c r="AB163" i="1"/>
  <c r="AA163" i="1"/>
  <c r="Y163" i="1"/>
  <c r="X163" i="1"/>
  <c r="B163" i="1"/>
  <c r="D163" i="1" s="1"/>
  <c r="AB162" i="1"/>
  <c r="AA162" i="1"/>
  <c r="Y162" i="1"/>
  <c r="X162" i="1"/>
  <c r="B162" i="1"/>
  <c r="D162" i="1" s="1"/>
  <c r="B161" i="1"/>
  <c r="D161" i="1" s="1"/>
  <c r="Y160" i="1"/>
  <c r="X160" i="1"/>
  <c r="K160" i="1"/>
  <c r="AA160" i="1" s="1"/>
  <c r="B160" i="1"/>
  <c r="D160" i="1" s="1"/>
  <c r="Y159" i="1"/>
  <c r="X159" i="1"/>
  <c r="K159" i="1"/>
  <c r="AA159" i="1" s="1"/>
  <c r="B159" i="1"/>
  <c r="D159" i="1" s="1"/>
  <c r="Y158" i="1"/>
  <c r="X158" i="1"/>
  <c r="K158" i="1"/>
  <c r="AB158" i="1" s="1"/>
  <c r="B158" i="1"/>
  <c r="D158" i="1" s="1"/>
  <c r="Y157" i="1"/>
  <c r="X157" i="1"/>
  <c r="K157" i="1"/>
  <c r="B157" i="1"/>
  <c r="D157" i="1" s="1"/>
  <c r="Y156" i="1"/>
  <c r="X156" i="1"/>
  <c r="K156" i="1"/>
  <c r="B156" i="1"/>
  <c r="D156" i="1" s="1"/>
  <c r="Y155" i="1"/>
  <c r="X155" i="1"/>
  <c r="K155" i="1"/>
  <c r="AA155" i="1" s="1"/>
  <c r="B155" i="1"/>
  <c r="D155" i="1" s="1"/>
  <c r="B154" i="1"/>
  <c r="D154" i="1" s="1"/>
  <c r="Y153" i="1"/>
  <c r="X153" i="1"/>
  <c r="B153" i="1"/>
  <c r="D153" i="1" s="1"/>
  <c r="AB152" i="1"/>
  <c r="AA152" i="1"/>
  <c r="Y152" i="1"/>
  <c r="X152" i="1"/>
  <c r="B152" i="1"/>
  <c r="D152" i="1" s="1"/>
  <c r="B151" i="1"/>
  <c r="D151" i="1" s="1"/>
  <c r="B150" i="1"/>
  <c r="D150" i="1" s="1"/>
  <c r="AB149" i="1"/>
  <c r="AA149" i="1"/>
  <c r="J149" i="1"/>
  <c r="X149" i="1" s="1"/>
  <c r="B149" i="1"/>
  <c r="D149" i="1" s="1"/>
  <c r="AB148" i="1"/>
  <c r="AA148" i="1"/>
  <c r="Y148" i="1"/>
  <c r="X148" i="1"/>
  <c r="B148" i="1"/>
  <c r="D148" i="1" s="1"/>
  <c r="Y147" i="1"/>
  <c r="X147" i="1"/>
  <c r="K147" i="1"/>
  <c r="AB147" i="1" s="1"/>
  <c r="D147" i="1"/>
  <c r="AB146" i="1"/>
  <c r="AA146" i="1"/>
  <c r="J146" i="1"/>
  <c r="Y146" i="1" s="1"/>
  <c r="B146" i="1"/>
  <c r="D146" i="1" s="1"/>
  <c r="Y145" i="1"/>
  <c r="X145" i="1"/>
  <c r="B145" i="1"/>
  <c r="D145" i="1" s="1"/>
  <c r="Y144" i="1"/>
  <c r="X144" i="1"/>
  <c r="B144" i="1"/>
  <c r="D144" i="1" s="1"/>
  <c r="B143" i="1"/>
  <c r="D143" i="1" s="1"/>
  <c r="B142" i="1"/>
  <c r="D142" i="1" s="1"/>
  <c r="Y141" i="1"/>
  <c r="X141" i="1"/>
  <c r="AB141" i="1"/>
  <c r="B141" i="1"/>
  <c r="D141" i="1" s="1"/>
  <c r="AB140" i="1"/>
  <c r="AA140" i="1"/>
  <c r="Y140" i="1"/>
  <c r="X140" i="1"/>
  <c r="B140" i="1"/>
  <c r="D140" i="1" s="1"/>
  <c r="B139" i="1"/>
  <c r="D139" i="1" s="1"/>
  <c r="AB138" i="1"/>
  <c r="AA138" i="1"/>
  <c r="B138" i="1"/>
  <c r="D138" i="1" s="1"/>
  <c r="AB137" i="1"/>
  <c r="AA137" i="1"/>
  <c r="Y137" i="1"/>
  <c r="X137" i="1"/>
  <c r="B137" i="1"/>
  <c r="D137" i="1" s="1"/>
  <c r="AB136" i="1"/>
  <c r="AA136" i="1"/>
  <c r="Y136" i="1"/>
  <c r="X136" i="1"/>
  <c r="B136" i="1"/>
  <c r="D136" i="1" s="1"/>
  <c r="AB135" i="1"/>
  <c r="AA135" i="1"/>
  <c r="Y135" i="1"/>
  <c r="X135" i="1"/>
  <c r="B135" i="1"/>
  <c r="D135" i="1" s="1"/>
  <c r="AB134" i="1"/>
  <c r="AA134" i="1"/>
  <c r="Y134" i="1"/>
  <c r="X134" i="1"/>
  <c r="B134" i="1"/>
  <c r="D134" i="1" s="1"/>
  <c r="AB133" i="1"/>
  <c r="AA133" i="1"/>
  <c r="Y133" i="1"/>
  <c r="X133" i="1"/>
  <c r="B133" i="1"/>
  <c r="D133" i="1" s="1"/>
  <c r="B132" i="1"/>
  <c r="D132" i="1" s="1"/>
  <c r="AB131" i="1"/>
  <c r="AA131" i="1"/>
  <c r="Y131" i="1"/>
  <c r="X131" i="1"/>
  <c r="B131" i="1"/>
  <c r="D131" i="1" s="1"/>
  <c r="AB130" i="1"/>
  <c r="AA130" i="1"/>
  <c r="Y130" i="1"/>
  <c r="X130" i="1"/>
  <c r="B130" i="1"/>
  <c r="D130" i="1" s="1"/>
  <c r="AB129" i="1"/>
  <c r="AA129" i="1"/>
  <c r="Y129" i="1"/>
  <c r="X129" i="1"/>
  <c r="B129" i="1"/>
  <c r="D129" i="1" s="1"/>
  <c r="AB128" i="1"/>
  <c r="AA128" i="1"/>
  <c r="Y128" i="1"/>
  <c r="X128" i="1"/>
  <c r="B128" i="1"/>
  <c r="D128" i="1" s="1"/>
  <c r="AB127" i="1"/>
  <c r="AA127" i="1"/>
  <c r="Y127" i="1"/>
  <c r="X127" i="1"/>
  <c r="B127" i="1"/>
  <c r="D127" i="1" s="1"/>
  <c r="Y126" i="1"/>
  <c r="X126" i="1"/>
  <c r="K126" i="1"/>
  <c r="AB126" i="1" s="1"/>
  <c r="B126" i="1"/>
  <c r="D126" i="1" s="1"/>
  <c r="B125" i="1"/>
  <c r="D125" i="1" s="1"/>
  <c r="B124" i="1"/>
  <c r="D124" i="1" s="1"/>
  <c r="AB123" i="1"/>
  <c r="AA123" i="1"/>
  <c r="B123" i="1"/>
  <c r="D123" i="1" s="1"/>
  <c r="AB122" i="1"/>
  <c r="AA122" i="1"/>
  <c r="B122" i="1"/>
  <c r="D122" i="1" s="1"/>
  <c r="AB121" i="1"/>
  <c r="AA121" i="1"/>
  <c r="B121" i="1"/>
  <c r="D121" i="1" s="1"/>
  <c r="AB120" i="1"/>
  <c r="AA120" i="1"/>
  <c r="B120" i="1"/>
  <c r="D120" i="1" s="1"/>
  <c r="AB119" i="1"/>
  <c r="AA119" i="1"/>
  <c r="B119" i="1"/>
  <c r="D119" i="1" s="1"/>
  <c r="K118" i="1"/>
  <c r="AB118" i="1" s="1"/>
  <c r="B118" i="1"/>
  <c r="D118" i="1" s="1"/>
  <c r="AB117" i="1"/>
  <c r="AA117" i="1"/>
  <c r="B117" i="1"/>
  <c r="D117" i="1" s="1"/>
  <c r="AB116" i="1"/>
  <c r="AA116" i="1"/>
  <c r="Y116" i="1"/>
  <c r="X116" i="1"/>
  <c r="N116" i="1"/>
  <c r="B116" i="1"/>
  <c r="D116" i="1" s="1"/>
  <c r="J115" i="1"/>
  <c r="X115" i="1" s="1"/>
  <c r="B115" i="1"/>
  <c r="D115" i="1" s="1"/>
  <c r="B114" i="1"/>
  <c r="D114" i="1" s="1"/>
  <c r="AB113" i="1"/>
  <c r="AA113" i="1"/>
  <c r="Y113" i="1"/>
  <c r="X113" i="1"/>
  <c r="B113" i="1"/>
  <c r="D113" i="1" s="1"/>
  <c r="AB112" i="1"/>
  <c r="AA112" i="1"/>
  <c r="Y112" i="1"/>
  <c r="X112" i="1"/>
  <c r="B112" i="1"/>
  <c r="D112" i="1" s="1"/>
  <c r="AB111" i="1"/>
  <c r="AA111" i="1"/>
  <c r="Y111" i="1"/>
  <c r="X111" i="1"/>
  <c r="B111" i="1"/>
  <c r="D111" i="1" s="1"/>
  <c r="AB110" i="1"/>
  <c r="AA110" i="1"/>
  <c r="Y110" i="1"/>
  <c r="X110" i="1"/>
  <c r="B110" i="1"/>
  <c r="D110" i="1" s="1"/>
  <c r="AB109" i="1"/>
  <c r="AA109" i="1"/>
  <c r="Y109" i="1"/>
  <c r="X109" i="1"/>
  <c r="B109" i="1"/>
  <c r="D109" i="1" s="1"/>
  <c r="Y108" i="1"/>
  <c r="X108" i="1"/>
  <c r="N108" i="1"/>
  <c r="B108" i="1"/>
  <c r="D108" i="1" s="1"/>
  <c r="AB107" i="1"/>
  <c r="AA107" i="1"/>
  <c r="Y107" i="1"/>
  <c r="X107" i="1"/>
  <c r="B107" i="1"/>
  <c r="D107" i="1" s="1"/>
  <c r="N106" i="1"/>
  <c r="K106" i="1" s="1"/>
  <c r="J106" i="1"/>
  <c r="Y106" i="1" s="1"/>
  <c r="B106" i="1"/>
  <c r="D106" i="1" s="1"/>
  <c r="B105" i="1"/>
  <c r="D105" i="1" s="1"/>
  <c r="B104" i="1"/>
  <c r="D104" i="1" s="1"/>
  <c r="AB103" i="1"/>
  <c r="AA103" i="1"/>
  <c r="Y103" i="1"/>
  <c r="X103" i="1"/>
  <c r="B103" i="1"/>
  <c r="D103" i="1" s="1"/>
  <c r="AB102" i="1"/>
  <c r="AA102" i="1"/>
  <c r="Y102" i="1"/>
  <c r="X102" i="1"/>
  <c r="B102" i="1"/>
  <c r="D102" i="1" s="1"/>
  <c r="AB101" i="1"/>
  <c r="AA101" i="1"/>
  <c r="Y101" i="1"/>
  <c r="X101" i="1"/>
  <c r="B101" i="1"/>
  <c r="D101" i="1" s="1"/>
  <c r="AB100" i="1"/>
  <c r="AA100" i="1"/>
  <c r="Y100" i="1"/>
  <c r="X100" i="1"/>
  <c r="B100" i="1"/>
  <c r="D100" i="1" s="1"/>
  <c r="AB99" i="1"/>
  <c r="AA99" i="1"/>
  <c r="Y99" i="1"/>
  <c r="X99" i="1"/>
  <c r="B99" i="1"/>
  <c r="D99" i="1" s="1"/>
  <c r="Y98" i="1"/>
  <c r="X98" i="1"/>
  <c r="N98" i="1"/>
  <c r="K98" i="1" s="1"/>
  <c r="AB98" i="1" s="1"/>
  <c r="B98" i="1"/>
  <c r="D98" i="1" s="1"/>
  <c r="Y97" i="1"/>
  <c r="X97" i="1"/>
  <c r="N97" i="1"/>
  <c r="K97" i="1" s="1"/>
  <c r="AA97" i="1" s="1"/>
  <c r="B97" i="1"/>
  <c r="D97" i="1" s="1"/>
  <c r="AB96" i="1"/>
  <c r="AA96" i="1"/>
  <c r="Y96" i="1"/>
  <c r="X96" i="1"/>
  <c r="B96" i="1"/>
  <c r="D96" i="1" s="1"/>
  <c r="Y95" i="1"/>
  <c r="X95" i="1"/>
  <c r="N95" i="1"/>
  <c r="K95" i="1" s="1"/>
  <c r="B95" i="1"/>
  <c r="D95" i="1" s="1"/>
  <c r="Y94" i="1"/>
  <c r="X94" i="1"/>
  <c r="K94" i="1"/>
  <c r="AB94" i="1" s="1"/>
  <c r="B94" i="1"/>
  <c r="D94" i="1" s="1"/>
  <c r="Y93" i="1"/>
  <c r="X93" i="1"/>
  <c r="K93" i="1"/>
  <c r="D93" i="1"/>
  <c r="D92" i="1"/>
  <c r="D91" i="1"/>
  <c r="AB90" i="1"/>
  <c r="AA90" i="1"/>
  <c r="Y90" i="1"/>
  <c r="X90" i="1"/>
  <c r="D90" i="1"/>
  <c r="AB89" i="1"/>
  <c r="AA89" i="1"/>
  <c r="Y89" i="1"/>
  <c r="X89" i="1"/>
  <c r="D89" i="1"/>
  <c r="N88" i="1"/>
  <c r="K88" i="1" s="1"/>
  <c r="J88" i="1"/>
  <c r="Y88" i="1" s="1"/>
  <c r="D88" i="1"/>
  <c r="AB87" i="1"/>
  <c r="AA87" i="1"/>
  <c r="Y87" i="1"/>
  <c r="X87" i="1"/>
  <c r="D87" i="1"/>
  <c r="AB86" i="1"/>
  <c r="AA86" i="1"/>
  <c r="Y86" i="1"/>
  <c r="X86" i="1"/>
  <c r="D86" i="1"/>
  <c r="Y85" i="1"/>
  <c r="X85" i="1"/>
  <c r="N85" i="1"/>
  <c r="K85" i="1" s="1"/>
  <c r="D85" i="1"/>
  <c r="Y84" i="1"/>
  <c r="X84" i="1"/>
  <c r="N84" i="1"/>
  <c r="K84" i="1" s="1"/>
  <c r="D84" i="1"/>
  <c r="D83" i="1"/>
  <c r="D82" i="1"/>
  <c r="D81" i="1"/>
  <c r="Y77" i="1"/>
  <c r="X77" i="1"/>
  <c r="K77" i="1"/>
  <c r="AB77" i="1" s="1"/>
  <c r="D77" i="1"/>
  <c r="Y76" i="1"/>
  <c r="X76" i="1"/>
  <c r="K76" i="1"/>
  <c r="AB76" i="1" s="1"/>
  <c r="D76" i="1"/>
  <c r="Y75" i="1"/>
  <c r="X75" i="1"/>
  <c r="K75" i="1"/>
  <c r="D75" i="1"/>
  <c r="D74" i="1"/>
  <c r="Y73" i="1"/>
  <c r="X73" i="1"/>
  <c r="K73" i="1"/>
  <c r="AB73" i="1" s="1"/>
  <c r="D73" i="1"/>
  <c r="Y72" i="1"/>
  <c r="X72" i="1"/>
  <c r="K72" i="1"/>
  <c r="D72" i="1"/>
  <c r="Y71" i="1"/>
  <c r="X71" i="1"/>
  <c r="K71" i="1"/>
  <c r="AA71" i="1" s="1"/>
  <c r="D71" i="1"/>
  <c r="D70" i="1"/>
  <c r="D69" i="1"/>
  <c r="Y66" i="1"/>
  <c r="X66" i="1"/>
  <c r="K66" i="1"/>
  <c r="AB66" i="1" s="1"/>
  <c r="D66" i="1"/>
  <c r="Y65" i="1"/>
  <c r="X65" i="1"/>
  <c r="K65" i="1"/>
  <c r="AB65" i="1" s="1"/>
  <c r="D65" i="1"/>
  <c r="Y64" i="1"/>
  <c r="X64" i="1"/>
  <c r="K64" i="1"/>
  <c r="D64" i="1"/>
  <c r="D63" i="1"/>
  <c r="D62" i="1"/>
  <c r="Y60" i="1"/>
  <c r="X60" i="1"/>
  <c r="N60" i="1"/>
  <c r="K60" i="1" s="1"/>
  <c r="AB60" i="1" s="1"/>
  <c r="D60" i="1"/>
  <c r="Y58" i="1"/>
  <c r="X58" i="1"/>
  <c r="K58" i="1"/>
  <c r="AB58" i="1" s="1"/>
  <c r="B58" i="1"/>
  <c r="D58" i="1" s="1"/>
  <c r="Y57" i="1"/>
  <c r="X57" i="1"/>
  <c r="K57" i="1"/>
  <c r="AB57" i="1" s="1"/>
  <c r="B57" i="1"/>
  <c r="D57" i="1" s="1"/>
  <c r="Y56" i="1"/>
  <c r="X56" i="1"/>
  <c r="K56" i="1"/>
  <c r="AB56" i="1" s="1"/>
  <c r="B56" i="1"/>
  <c r="D56" i="1" s="1"/>
  <c r="B55" i="1"/>
  <c r="D55" i="1" s="1"/>
  <c r="B54" i="1"/>
  <c r="D54" i="1" s="1"/>
  <c r="Y47" i="1"/>
  <c r="X47" i="1"/>
  <c r="K47" i="1"/>
  <c r="AB47" i="1" s="1"/>
  <c r="B47" i="1"/>
  <c r="D47" i="1" s="1"/>
  <c r="Y46" i="1"/>
  <c r="X46" i="1"/>
  <c r="K46" i="1"/>
  <c r="AB46" i="1" s="1"/>
  <c r="B46" i="1"/>
  <c r="D46" i="1" s="1"/>
  <c r="Y45" i="1"/>
  <c r="X45" i="1"/>
  <c r="K45" i="1"/>
  <c r="AB45" i="1" s="1"/>
  <c r="B45" i="1"/>
  <c r="D45" i="1" s="1"/>
  <c r="B44" i="1"/>
  <c r="D44" i="1" s="1"/>
  <c r="Y43" i="1"/>
  <c r="X43" i="1"/>
  <c r="K43" i="1"/>
  <c r="AB43" i="1" s="1"/>
  <c r="B43" i="1"/>
  <c r="D43" i="1" s="1"/>
  <c r="Y42" i="1"/>
  <c r="X42" i="1"/>
  <c r="K42" i="1"/>
  <c r="AA42" i="1" s="1"/>
  <c r="B42" i="1"/>
  <c r="D42" i="1" s="1"/>
  <c r="Y41" i="1"/>
  <c r="X41" i="1"/>
  <c r="K41" i="1"/>
  <c r="AB41" i="1" s="1"/>
  <c r="B41" i="1"/>
  <c r="D41" i="1" s="1"/>
  <c r="B40" i="1"/>
  <c r="D40" i="1" s="1"/>
  <c r="B39" i="1"/>
  <c r="D39" i="1" s="1"/>
  <c r="B38" i="1"/>
  <c r="D38" i="1" s="1"/>
  <c r="Y37" i="1"/>
  <c r="X37" i="1"/>
  <c r="K37" i="1"/>
  <c r="AB37" i="1" s="1"/>
  <c r="B37" i="1"/>
  <c r="D37" i="1" s="1"/>
  <c r="Y36" i="1"/>
  <c r="X36" i="1"/>
  <c r="K36" i="1"/>
  <c r="AB36" i="1" s="1"/>
  <c r="B36" i="1"/>
  <c r="D36" i="1" s="1"/>
  <c r="Y35" i="1"/>
  <c r="X35" i="1"/>
  <c r="K35" i="1"/>
  <c r="AB35" i="1" s="1"/>
  <c r="B35" i="1"/>
  <c r="D35" i="1" s="1"/>
  <c r="Y34" i="1"/>
  <c r="X34" i="1"/>
  <c r="K34" i="1"/>
  <c r="AB34" i="1" s="1"/>
  <c r="B34" i="1"/>
  <c r="D34" i="1" s="1"/>
  <c r="B33" i="1"/>
  <c r="D33" i="1" s="1"/>
  <c r="Y32" i="1"/>
  <c r="X32" i="1"/>
  <c r="K32" i="1"/>
  <c r="AA32" i="1" s="1"/>
  <c r="B32" i="1"/>
  <c r="D32" i="1" s="1"/>
  <c r="Y31" i="1"/>
  <c r="X31" i="1"/>
  <c r="K31" i="1"/>
  <c r="AB31" i="1" s="1"/>
  <c r="B31" i="1"/>
  <c r="D31" i="1" s="1"/>
  <c r="Y30" i="1"/>
  <c r="X30" i="1"/>
  <c r="K30" i="1"/>
  <c r="AB30" i="1" s="1"/>
  <c r="B30" i="1"/>
  <c r="D30" i="1" s="1"/>
  <c r="B29" i="1"/>
  <c r="D29" i="1" s="1"/>
  <c r="Y28" i="1"/>
  <c r="X28" i="1"/>
  <c r="K28" i="1"/>
  <c r="AB28" i="1" s="1"/>
  <c r="B28" i="1"/>
  <c r="D28" i="1" s="1"/>
  <c r="Y27" i="1"/>
  <c r="X27" i="1"/>
  <c r="K27" i="1"/>
  <c r="AB27" i="1" s="1"/>
  <c r="B27" i="1"/>
  <c r="D27" i="1" s="1"/>
  <c r="Y26" i="1"/>
  <c r="X26" i="1"/>
  <c r="K26" i="1"/>
  <c r="AB26" i="1" s="1"/>
  <c r="B26" i="1"/>
  <c r="D26" i="1" s="1"/>
  <c r="B25" i="1"/>
  <c r="D25" i="1" s="1"/>
  <c r="B24" i="1"/>
  <c r="D24" i="1" s="1"/>
  <c r="Y23" i="1"/>
  <c r="X23" i="1"/>
  <c r="K23" i="1"/>
  <c r="AB23" i="1" s="1"/>
  <c r="B23" i="1"/>
  <c r="D23" i="1" s="1"/>
  <c r="Y22" i="1"/>
  <c r="X22" i="1"/>
  <c r="K22" i="1"/>
  <c r="AA22" i="1" s="1"/>
  <c r="B22" i="1"/>
  <c r="D22" i="1" s="1"/>
  <c r="Y21" i="1"/>
  <c r="X21" i="1"/>
  <c r="K21" i="1"/>
  <c r="AB21" i="1" s="1"/>
  <c r="B21" i="1"/>
  <c r="D21" i="1" s="1"/>
  <c r="Y20" i="1"/>
  <c r="X20" i="1"/>
  <c r="K20" i="1"/>
  <c r="AB20" i="1" s="1"/>
  <c r="B20" i="1"/>
  <c r="D20" i="1" s="1"/>
  <c r="Y19" i="1"/>
  <c r="X19" i="1"/>
  <c r="K19" i="1"/>
  <c r="B19" i="1"/>
  <c r="D19" i="1" s="1"/>
  <c r="B18" i="1"/>
  <c r="D18" i="1" s="1"/>
  <c r="Y17" i="1"/>
  <c r="X17" i="1"/>
  <c r="AB17" i="1"/>
  <c r="B17" i="1"/>
  <c r="D17" i="1" s="1"/>
  <c r="Y16" i="1"/>
  <c r="X16" i="1"/>
  <c r="B16" i="1"/>
  <c r="D16" i="1" s="1"/>
  <c r="B15" i="1"/>
  <c r="D15" i="1" s="1"/>
  <c r="Y14" i="1"/>
  <c r="X14" i="1"/>
  <c r="K14" i="1"/>
  <c r="AB14" i="1" s="1"/>
  <c r="B14" i="1"/>
  <c r="D14" i="1" s="1"/>
  <c r="Y13" i="1"/>
  <c r="X13" i="1"/>
  <c r="K13" i="1"/>
  <c r="B13" i="1"/>
  <c r="D13" i="1" s="1"/>
  <c r="Y12" i="1"/>
  <c r="X12" i="1"/>
  <c r="K12" i="1"/>
  <c r="AA12" i="1" s="1"/>
  <c r="B12" i="1"/>
  <c r="D12" i="1" s="1"/>
  <c r="Y11" i="1"/>
  <c r="X11" i="1"/>
  <c r="K11" i="1"/>
  <c r="AA11" i="1" s="1"/>
  <c r="B11" i="1"/>
  <c r="D11" i="1" s="1"/>
  <c r="B10" i="1"/>
  <c r="D10" i="1" s="1"/>
  <c r="B9" i="1"/>
  <c r="D9" i="1" s="1"/>
  <c r="B8" i="1"/>
  <c r="D8" i="1" s="1"/>
  <c r="AB7" i="1"/>
  <c r="AA7" i="1"/>
  <c r="J7" i="1"/>
  <c r="Y7" i="1" s="1"/>
  <c r="B7" i="1"/>
  <c r="D7" i="1" s="1"/>
  <c r="AB6" i="1"/>
  <c r="AA6" i="1"/>
  <c r="Y6" i="1"/>
  <c r="X6" i="1"/>
  <c r="B6" i="1"/>
  <c r="D6" i="1" s="1"/>
  <c r="AB5" i="1"/>
  <c r="AA5" i="1"/>
  <c r="Y5" i="1"/>
  <c r="X5" i="1"/>
  <c r="B5" i="1"/>
  <c r="D5" i="1" s="1"/>
  <c r="Y4" i="1"/>
  <c r="X4" i="1"/>
  <c r="K4" i="1"/>
  <c r="AB4" i="1" s="1"/>
  <c r="B4" i="1"/>
  <c r="D4" i="1" s="1"/>
  <c r="AB3" i="1"/>
  <c r="AA3" i="1"/>
  <c r="Y3" i="1"/>
  <c r="X3" i="1"/>
  <c r="B3" i="1"/>
  <c r="D3" i="1" s="1"/>
  <c r="B2" i="1"/>
  <c r="D2" i="1" s="1"/>
  <c r="AA49" i="7" l="1"/>
  <c r="AA12" i="7"/>
  <c r="AA27" i="7"/>
  <c r="Y176" i="1"/>
  <c r="AB11" i="1"/>
  <c r="Y192" i="1"/>
  <c r="AA34" i="1"/>
  <c r="AA27" i="1"/>
  <c r="Y115" i="1"/>
  <c r="AA77" i="1"/>
  <c r="AA147" i="1"/>
  <c r="Y149" i="1"/>
  <c r="AB22" i="1"/>
  <c r="AA57" i="1"/>
  <c r="AB160" i="1"/>
  <c r="AB97" i="1"/>
  <c r="AB155" i="1"/>
  <c r="AA21" i="1"/>
  <c r="AA36" i="1"/>
  <c r="AA31" i="1"/>
  <c r="X146" i="1"/>
  <c r="AA73" i="1"/>
  <c r="AA126" i="1"/>
  <c r="AA84" i="1"/>
  <c r="AB84" i="1"/>
  <c r="AB85" i="1"/>
  <c r="AA85" i="1"/>
  <c r="K144" i="1"/>
  <c r="K145" i="1" s="1"/>
  <c r="AB32" i="1"/>
  <c r="AB42" i="1"/>
  <c r="AB159" i="1"/>
  <c r="AA41" i="1"/>
  <c r="AA58" i="1"/>
  <c r="AA158" i="1"/>
  <c r="AA23" i="1"/>
  <c r="AA4" i="1"/>
  <c r="AA26" i="1"/>
  <c r="AA35" i="1"/>
  <c r="AA47" i="1"/>
  <c r="AA14" i="1"/>
  <c r="AA56" i="1"/>
  <c r="X88" i="1"/>
  <c r="X106" i="1"/>
  <c r="J5" i="1"/>
  <c r="AA46" i="1"/>
  <c r="AA66" i="1"/>
  <c r="AB95" i="1"/>
  <c r="K115" i="1"/>
  <c r="AA95" i="1"/>
  <c r="Y179" i="1"/>
  <c r="X179" i="1"/>
  <c r="AA88" i="1"/>
  <c r="AB88" i="1"/>
  <c r="Y178" i="1"/>
  <c r="X178" i="1"/>
  <c r="AB17" i="7"/>
  <c r="AA17" i="7"/>
  <c r="AB33" i="7"/>
  <c r="AA33" i="7"/>
  <c r="AB45" i="7"/>
  <c r="AA45" i="7"/>
  <c r="X98" i="7"/>
  <c r="AB157" i="1"/>
  <c r="AA157" i="1"/>
  <c r="AB13" i="1"/>
  <c r="AA13" i="1"/>
  <c r="N115" i="1"/>
  <c r="AB25" i="6"/>
  <c r="AA25" i="6"/>
  <c r="AB31" i="6"/>
  <c r="AA31" i="6"/>
  <c r="AB29" i="7"/>
  <c r="AA29" i="7"/>
  <c r="AB106" i="1"/>
  <c r="AA106" i="1"/>
  <c r="X7" i="1"/>
  <c r="AB64" i="1"/>
  <c r="AA64" i="1"/>
  <c r="AA65" i="1"/>
  <c r="AB71" i="1"/>
  <c r="AB75" i="1"/>
  <c r="AA75" i="1"/>
  <c r="AA76" i="1"/>
  <c r="K108" i="1"/>
  <c r="AA118" i="1"/>
  <c r="AB156" i="1"/>
  <c r="AA156" i="1"/>
  <c r="C55" i="2"/>
  <c r="AB16" i="7"/>
  <c r="AA16" i="7"/>
  <c r="Y97" i="7"/>
  <c r="X97" i="7"/>
  <c r="AA60" i="1"/>
  <c r="AB93" i="1"/>
  <c r="AA93" i="1"/>
  <c r="AA94" i="1"/>
  <c r="AA98" i="1"/>
  <c r="AB19" i="1"/>
  <c r="AA19" i="1"/>
  <c r="AA20" i="1"/>
  <c r="AA28" i="1"/>
  <c r="AA30" i="1"/>
  <c r="AA37" i="1"/>
  <c r="AA43" i="1"/>
  <c r="AA45" i="1"/>
  <c r="AA141" i="1"/>
  <c r="X7" i="6"/>
  <c r="AA21" i="6"/>
  <c r="AB13" i="7"/>
  <c r="AA13" i="7"/>
  <c r="AB34" i="7"/>
  <c r="AA34" i="7"/>
  <c r="Y177" i="1"/>
  <c r="X177" i="1"/>
  <c r="AB72" i="1"/>
  <c r="AA72" i="1"/>
  <c r="AB12" i="1"/>
  <c r="AB16" i="1"/>
  <c r="AA16" i="1"/>
  <c r="AA17" i="1"/>
  <c r="AB32" i="6"/>
  <c r="AA32" i="6"/>
  <c r="X96" i="7"/>
  <c r="AA62" i="7"/>
  <c r="AA144" i="1" l="1"/>
  <c r="AB144" i="1"/>
  <c r="AA108" i="1"/>
  <c r="AB108" i="1"/>
  <c r="AB145" i="1"/>
  <c r="AA145" i="1"/>
  <c r="AB115" i="1"/>
  <c r="AA1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tc={B56C1952-97C6-44D7-9432-F1677C8D64A0}</author>
    <author>tc={72913FA6-02F1-4F92-A421-7F26D1CB7466}</author>
    <author>tc={2B93038D-D836-4C72-8B47-7C42B2DEB65C}</author>
    <author>tc={1CF750C8-77CF-4E27-87B2-22FFEBE2E286}</author>
  </authors>
  <commentList>
    <comment ref="J68" authorId="0" shapeId="0" xr:uid="{B56C1952-97C6-44D7-9432-F1677C8D64A0}">
      <text>
        <t xml:space="preserve">[Threaded comment]
Your version of Excel allows you to read this threaded comment; however, any edits to it will get removed if the file is opened in a newer version of Excel. Learn more: https://go.microsoft.com/fwlink/?linkid=870924
Comment:
    check if we're using cost estimators </t>
      </text>
    </comment>
    <comment ref="J80" authorId="1" shapeId="0" xr:uid="{72913FA6-02F1-4F92-A421-7F26D1CB7466}">
      <text>
        <t>[Threaded comment]
Your version of Excel allows you to read this threaded comment; however, any edits to it will get removed if the file is opened in a newer version of Excel. Learn more: https://go.microsoft.com/fwlink/?linkid=870924
Comment:
    replace with cost estimators
Reply:
    overlaps with manipulator building. Remove one of them.
Reply:
    Manipulator building volumes set to zero in my baseline python input file: watts_exec_GCMR_A_H1_height_180_3yr_fleet.py</t>
      </text>
    </comment>
    <comment ref="K140" authorId="2" shapeId="0" xr:uid="{2B93038D-D836-4C72-8B47-7C42B2DEB65C}">
      <text>
        <t>[Threaded comment]
Your version of Excel allows you to read this threaded comment; however, any edits to it will get removed if the file is opened in a newer version of Excel. Learn more: https://go.microsoft.com/fwlink/?linkid=870924
Comment:
    Changed to match unit cost of “Inner Vessel Structure” account with material “stainless_steel”. Previous values was $50/kg. I imagine the logic was that the IHX pressure vessel does not need to be nuclear safety graded. Breaking that assumption here. This should make the IHX vessel ~35x more expensive in the current baseline (September 23, 2026).</t>
      </text>
    </comment>
    <comment ref="K141" authorId="3" shapeId="0" xr:uid="{1CF750C8-77CF-4E27-87B2-22FFEBE2E286}">
      <text>
        <t>[Threaded comment]
Your version of Excel allows you to read this threaded comment; however, any edits to it will get removed if the file is opened in a newer version of Excel. Learn more: https://go.microsoft.com/fwlink/?linkid=870924
Comment:
    Changed to match unit cost of “Reactor Support” account. Previous values was $8/kg. I imagine the logic was that the IHX support does not need to be nuclear safety graded. Breaking that assumption here. (September 23, 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tc={068DCE02-74FF-47BF-AA91-236036CF0586}</author>
    <author>tc={9D95DDD6-6B95-44D6-9E68-16117FCA2665}</author>
  </authors>
  <commentList>
    <comment ref="K35" authorId="0" shapeId="0" xr:uid="{068DCE02-74FF-47BF-AA91-236036CF0586}">
      <text>
        <t>[Threaded comment]
Your version of Excel allows you to read this threaded comment; however, any edits to it will get removed if the file is opened in a newer version of Excel. Learn more: https://go.microsoft.com/fwlink/?linkid=870924
Comment:
    Increased ~13.5x to match Enrique’s engineering judgement of how much this service center should cost. (September 23, 2026)</t>
      </text>
    </comment>
    <comment ref="K39" authorId="1" shapeId="0" xr:uid="{9D95DDD6-6B95-44D6-9E68-16117FCA2665}">
      <text>
        <t>[Threaded comment]
Your version of Excel allows you to read this threaded comment; however, any edits to it will get removed if the file is opened in a newer version of Excel. Learn more: https://go.microsoft.com/fwlink/?linkid=870924
Comment:
    Multiplied by 10 to reflect Enrique’s engineering judgement that this system should be an order-of-magnitude more expensive because it’s receiving dirty helium from reactors that do NOT have continuous purification. (September 23, 2026)</t>
      </text>
    </comment>
  </commentList>
</comments>
</file>

<file path=xl/sharedStrings.xml><?xml version="1.0" encoding="utf-8"?>
<sst xmlns="http://schemas.openxmlformats.org/spreadsheetml/2006/main" count="3869" uniqueCount="837">
  <si>
    <t>Account</t>
  </si>
  <si>
    <t>Level</t>
  </si>
  <si>
    <t>Account Name</t>
  </si>
  <si>
    <t>Account Title</t>
  </si>
  <si>
    <t>Standard Cost Equation?</t>
  </si>
  <si>
    <t>Optional Variable</t>
  </si>
  <si>
    <t>Optional Value</t>
  </si>
  <si>
    <t>Sec Optional Variable</t>
  </si>
  <si>
    <t>Sec Optional Value</t>
  </si>
  <si>
    <t>Fixed Cost ($)</t>
  </si>
  <si>
    <t>Unit Cost</t>
  </si>
  <si>
    <t>Unit Cost (units)</t>
  </si>
  <si>
    <t>Scaling Variable</t>
  </si>
  <si>
    <t>Scaling Variable Ref Value</t>
  </si>
  <si>
    <t>Units</t>
  </si>
  <si>
    <t>Exponent</t>
  </si>
  <si>
    <t>Dollar Year</t>
  </si>
  <si>
    <t>Type</t>
  </si>
  <si>
    <t>Source</t>
  </si>
  <si>
    <t>Ref</t>
  </si>
  <si>
    <t>Link</t>
  </si>
  <si>
    <t>Notes</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</si>
  <si>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</si>
  <si>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</si>
  <si>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</si>
  <si>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</si>
  <si>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</si>
  <si>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</si>
  <si>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</si>
  <si>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</si>
  <si>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</si>
  <si>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</si>
  <si>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</si>
  <si>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Capitalized Pre-Construction Costs</t>
  </si>
  <si>
    <t>Land Cost</t>
  </si>
  <si>
    <t>standard</t>
  </si>
  <si>
    <t>$/acres</t>
  </si>
  <si>
    <t>Land Area</t>
  </si>
  <si>
    <t>acres</t>
  </si>
  <si>
    <t>General</t>
  </si>
  <si>
    <t>The average cost per acre for rural land in 2022 from the US Department of Agriculture</t>
  </si>
  <si>
    <t>Abou-Jaoude, A., Lohse, C. S., Larsen, L. M., Guaita, N., Trivedi, I., Joseck, F. C., ... &amp; Stein, A. (2024). Meta-analysis of advanced nuclear reactor cost estimations (No. INL/RPT-24-77048-Rev001). Idaho National Laboratory (INL), Idaho Falls, ID (United States).</t>
  </si>
  <si>
    <t>https://inldigitallibrary.inl.gov/sites/sti/sti/Sort_107010.pdf</t>
  </si>
  <si>
    <t>No Learning</t>
  </si>
  <si>
    <t>Lognormal</t>
  </si>
  <si>
    <t>0.1</t>
  </si>
  <si>
    <t>1</t>
  </si>
  <si>
    <t>0</t>
  </si>
  <si>
    <t>Truncated Normal</t>
  </si>
  <si>
    <t>Site Permits</t>
  </si>
  <si>
    <t>$/MWe</t>
  </si>
  <si>
    <t>Power MWe</t>
  </si>
  <si>
    <t>MWe</t>
  </si>
  <si>
    <t>Labor</t>
  </si>
  <si>
    <t>Data from SMR MHTGRs</t>
  </si>
  <si>
    <t>Plant Licensing</t>
  </si>
  <si>
    <t>NRC Website</t>
  </si>
  <si>
    <t>According to NRC, the number of hours range from 108K to 257K hours https://www.nrc.gov/docs/ML2301/ML23018A174.pdf
For the hourly rate: 154$/hour
https://www.federalregister.gov/documents/2026/06/16/2026-12067/fee-schedules-fee-recovery-for-fiscal-year-2026</t>
  </si>
  <si>
    <t>https://art.inl.gov/NGNP/INL%20Documents/Year%202012/Assessment%20of%20High%20Temperature%20Gas-Cooled%20Reactor%20-%20HTGR%20-%20Capital%20and%20Operating%20Costs.pdf</t>
  </si>
  <si>
    <t>Licensing Learning</t>
  </si>
  <si>
    <t>Uniform</t>
  </si>
  <si>
    <t>Plant Permits</t>
  </si>
  <si>
    <t>NGNP project</t>
  </si>
  <si>
    <t>Gandrik, A., B. Wallace, L. Demick, S. Melancon and M. Patterson (2011). "Assessment of high temperature gas-cooled reactor (HTGR) capital and operating costs." Idaho National Laboratory, TEV-1196, Idaho Falls, ID.</t>
  </si>
  <si>
    <t>Plant Studies</t>
  </si>
  <si>
    <t>MARVEL Project (Labor-adjusted Cost)</t>
  </si>
  <si>
    <t>Hanna, B. N., Gonzaga de Oliveira, R. G., Mohammad Al Dawood, K. A., Patterson, M. D., Abou Jaoude, A., &amp; Garcia, S. (2024). Technoeconomic Evaluation of Microreactor Using Detailed Bottom-up Estimate (No. INL/RPT-24-80433-Rev000). Idaho National Laboratory (INL), Idaho Falls, ID (United States).</t>
  </si>
  <si>
    <t>https://inldigitallibrary.inl.gov/sites/sti/sti/Sort_129862.pdf</t>
  </si>
  <si>
    <t>MARVEL's data were updated</t>
  </si>
  <si>
    <t>Capitalized Direct Costs</t>
  </si>
  <si>
    <t>Structures and Improvements</t>
  </si>
  <si>
    <t>Site Preparation/ Yard Work</t>
  </si>
  <si>
    <t>Cleaning and Grubbing</t>
  </si>
  <si>
    <t>Lab and Equip</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</si>
  <si>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</si>
  <si>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</si>
  <si>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</si>
  <si>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Onsite Learning</t>
  </si>
  <si>
    <t>Stripping Topsoil</t>
  </si>
  <si>
    <t>Excavation</t>
  </si>
  <si>
    <t>$/m^3</t>
  </si>
  <si>
    <t>Excavation Volume</t>
  </si>
  <si>
    <t>m^3</t>
  </si>
  <si>
    <t>Roads</t>
  </si>
  <si>
    <t>$/m</t>
  </si>
  <si>
    <t>GEN Road Length</t>
  </si>
  <si>
    <t>m</t>
  </si>
  <si>
    <t>MC30 Cost Estimation of Microreactor Facilities Inital Draft 5-6-2026.pdf, less 30%</t>
  </si>
  <si>
    <t>Security Fencing</t>
  </si>
  <si>
    <t>Security Fencing Limited</t>
  </si>
  <si>
    <t>Limited Perimeter</t>
  </si>
  <si>
    <t>Security Fencing Protected</t>
  </si>
  <si>
    <t>Protected Perimeter</t>
  </si>
  <si>
    <t>Reactor Island Civil Structures</t>
  </si>
  <si>
    <t>Reactor Building Slab Roof</t>
  </si>
  <si>
    <t>Reactor Building Slab Roof Volume</t>
  </si>
  <si>
    <t>Lab and Mat and Equip</t>
  </si>
  <si>
    <t>Reactor Building Basement</t>
  </si>
  <si>
    <t>Reactor Building Basement Volume</t>
  </si>
  <si>
    <t>Reactor Building Walls</t>
  </si>
  <si>
    <t>Reactor Building Exterior Walls Volume</t>
  </si>
  <si>
    <t>Reactor Building Liner</t>
  </si>
  <si>
    <t>$/m^2</t>
  </si>
  <si>
    <t>Reactor Building Superstructure Area</t>
  </si>
  <si>
    <t>m^2</t>
  </si>
  <si>
    <t>Stewart W.R., Shirvan K., "Capital cost estimation for advanced nuclear power plants," Renewable and Sustainable Energy Reviews, Nov. 2021, 111880</t>
  </si>
  <si>
    <t>https://doi.org/10.1016/j.rser.2021.111880</t>
  </si>
  <si>
    <t>Reactor Building HVAC</t>
  </si>
  <si>
    <t>$/MWt</t>
  </si>
  <si>
    <t>Power MWt</t>
  </si>
  <si>
    <t>MWt</t>
  </si>
  <si>
    <t>Main Function Buildings</t>
  </si>
  <si>
    <t>Energy conversion Building</t>
  </si>
  <si>
    <t>Energy Conversion Building Slab Roof</t>
  </si>
  <si>
    <t>Turbine Building Slab Roof Volume</t>
  </si>
  <si>
    <t xml:space="preserve">RSMeans software: a tool that primarily provides costs for non-nuclear work
</t>
  </si>
  <si>
    <t>Energy Conversion Building Basement</t>
  </si>
  <si>
    <t>Turbine Building Basement Volume</t>
  </si>
  <si>
    <t>Energy Conversion Building Walls</t>
  </si>
  <si>
    <t>Turbine Building Exterior Walls Volume</t>
  </si>
  <si>
    <t>Control building</t>
  </si>
  <si>
    <t>Control Building Slab Roof</t>
  </si>
  <si>
    <t>Control Building Slab Roof Volume</t>
  </si>
  <si>
    <t>Control Building Basement</t>
  </si>
  <si>
    <t>Control Building Basement Volume</t>
  </si>
  <si>
    <t>Control Building Walls</t>
  </si>
  <si>
    <t>Control Building Exterior Walls Volume</t>
  </si>
  <si>
    <t>Integrated Heat Exchanger Building</t>
  </si>
  <si>
    <t>reactor type</t>
  </si>
  <si>
    <t>GCMR</t>
  </si>
  <si>
    <t>Integrated Heat Exchanger Building Slab Roof</t>
  </si>
  <si>
    <t>Integrated Heat Exchanger Building Slab Roof Volume</t>
  </si>
  <si>
    <t>Integrated Heat Exchanger Building Basement</t>
  </si>
  <si>
    <t>Integrated Heat Exchanger Building Basement Volume</t>
  </si>
  <si>
    <t>Integrated Heat Exchanger Building Walls</t>
  </si>
  <si>
    <t>Integrated Heat Exchanger Building Exterior Walls Volume</t>
  </si>
  <si>
    <t>Integrated Heat Exchanger Building Liner</t>
  </si>
  <si>
    <t>Integrated Heat Exchanger Building Superstructure Area</t>
  </si>
  <si>
    <t xml:space="preserve">Buildings to Support Main Function </t>
  </si>
  <si>
    <t>Fuel Management Buildings</t>
  </si>
  <si>
    <t>Refueling Building</t>
  </si>
  <si>
    <t>Refueling Building Slab Roof</t>
  </si>
  <si>
    <t>Refueling Building Slab Roof Volume</t>
  </si>
  <si>
    <t>Refueling Building Basement</t>
  </si>
  <si>
    <t>Refueling Building Basement Volume</t>
  </si>
  <si>
    <t>Refueling Building Walls</t>
  </si>
  <si>
    <t>Refueling Building Exterior Walls Volume</t>
  </si>
  <si>
    <t>Spent Fuel Building</t>
  </si>
  <si>
    <t>Spent Fuel Building Slab Roof</t>
  </si>
  <si>
    <t>Spent Fuel Building Slab Roof Volume</t>
  </si>
  <si>
    <t>Spent Fuel Building Basement</t>
  </si>
  <si>
    <t>Spent Fuel Building Basement Volume</t>
  </si>
  <si>
    <t>Spent Fuel Building Walls</t>
  </si>
  <si>
    <t>Spent Fuel Building Exterior Walls Volume</t>
  </si>
  <si>
    <t>Emergency and Start-up Power Systems Building</t>
  </si>
  <si>
    <t>Emergency Building</t>
  </si>
  <si>
    <t>Emergency Building Slab Roof</t>
  </si>
  <si>
    <t>Emergency Building Slab Roof Volume</t>
  </si>
  <si>
    <t>Emergency Building Basement</t>
  </si>
  <si>
    <t>Emergency Building Basement Volume</t>
  </si>
  <si>
    <t>Emergency Building Walls</t>
  </si>
  <si>
    <t>Emergency Building Exterior Walls Volume</t>
  </si>
  <si>
    <t>Diesel Generator</t>
  </si>
  <si>
    <t>Equipment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</si>
  <si>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</si>
  <si>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</si>
  <si>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</si>
  <si>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Factory Other</t>
  </si>
  <si>
    <t>Auxilliary Building</t>
  </si>
  <si>
    <t>Maniplator Building</t>
  </si>
  <si>
    <t>Manipulator Building Slab Roof</t>
  </si>
  <si>
    <t>Manipulator Building Slab Roof Volume</t>
  </si>
  <si>
    <t>Added a custom building for GCMR based on CAD drawing</t>
  </si>
  <si>
    <t>ManipulatorBuilding Basement</t>
  </si>
  <si>
    <t>Manipulator Building Basement Volume</t>
  </si>
  <si>
    <t>Manipulator Building Exterior Walls</t>
  </si>
  <si>
    <t>Manipulator Building Exterior Walls Volume</t>
  </si>
  <si>
    <t>Supply Chain Buildings</t>
  </si>
  <si>
    <t>Storage Building</t>
  </si>
  <si>
    <t>Storage Building Slab Roof</t>
  </si>
  <si>
    <t>Storage Building Slab Roof Volume</t>
  </si>
  <si>
    <t>Storage Building Basement</t>
  </si>
  <si>
    <t>Storage Building Basement Volume</t>
  </si>
  <si>
    <t>Storage Building Walls</t>
  </si>
  <si>
    <t>Storage Building Exterior Walls Volume</t>
  </si>
  <si>
    <t>Radwaste Building</t>
  </si>
  <si>
    <t>Radwaste Building Slab Roof</t>
  </si>
  <si>
    <t>Radwaste Building Slab Roof Volume</t>
  </si>
  <si>
    <t>Radwaste Building Basement</t>
  </si>
  <si>
    <t>Radwaste Building Basement Volume</t>
  </si>
  <si>
    <t>Radwaste Building Walls</t>
  </si>
  <si>
    <t>Radwaste Building Exterior Walls Volume</t>
  </si>
  <si>
    <t>Reactor System</t>
  </si>
  <si>
    <t>Reactor Components</t>
  </si>
  <si>
    <t>Reactor Vessel and Accessories</t>
  </si>
  <si>
    <t>Reactor Support</t>
  </si>
  <si>
    <t>$/Kg</t>
  </si>
  <si>
    <t>Total Vessels Mass</t>
  </si>
  <si>
    <t>Kg</t>
  </si>
  <si>
    <t>PWR12-ME</t>
  </si>
  <si>
    <t>Unit cost is the cost of support structure divided by the cost of guard vessel plus PCS</t>
  </si>
  <si>
    <t>Factory Primary Structure</t>
  </si>
  <si>
    <t>Outer Vessel Structure</t>
  </si>
  <si>
    <t>Guard Vessel Material</t>
  </si>
  <si>
    <t>stainless_steel</t>
  </si>
  <si>
    <t>Guard Vessel Mass</t>
  </si>
  <si>
    <t>Ganda et al., 2018</t>
  </si>
  <si>
    <t>Ganda, F., Hoffman, E., Taiwo, T. A., Kim, T. K., &amp; Hansen, J. (2019). Report on the ACCERT cost algorithms tool (No. ANL/NSE-19/10). Argonne National Lab.(ANL), Argonne, IL (United States).</t>
  </si>
  <si>
    <t>low_alloy_steel</t>
  </si>
  <si>
    <t>incoloy</t>
  </si>
  <si>
    <t>Inner Vessel Structure</t>
  </si>
  <si>
    <t>Vessel Material</t>
  </si>
  <si>
    <t>Vessel Mass</t>
  </si>
  <si>
    <t>Unit cost if the PCS cost (in MARVEL) divided by the PCS mass in MARVEL</t>
  </si>
  <si>
    <t>Reactor Control Devices</t>
  </si>
  <si>
    <t>Reactivity Control System </t>
  </si>
  <si>
    <t>Reactivity Control System Fabrication</t>
  </si>
  <si>
    <t>$/Drum</t>
  </si>
  <si>
    <t>Drum Count</t>
  </si>
  <si>
    <t xml:space="preserve">MARVEL Project </t>
  </si>
  <si>
    <t>Updated MARVEL Cost Estimate + Communication with MARVEL Team</t>
  </si>
  <si>
    <t>Gerstner, D., &amp; Arafat, Y. (2023). MARVEL 90% Final Design Report (No. INL/RPT-23-74280-Rev000). Idaho National Laboratory (INL), Idaho Falls, ID (United States).
Hanna, B. N., Gonzaga de Oliveira, R. G., Mohammad Al Dawood, K. A., Patterson, M. D., Abou Jaoude, A., &amp; Garcia, S. (2024). Technoeconomic Evaluation of Microreactor Using Detailed Bottom-up Estimate (No. INL/RPT-24-80433-Rev000). Idaho National Laboratory (INL), Idaho Falls, ID (United States).</t>
  </si>
  <si>
    <t>The scaling variable here is the total mass of all the control drums</t>
  </si>
  <si>
    <t>Factory Drums</t>
  </si>
  <si>
    <t>Installation</t>
  </si>
  <si>
    <t>Control Drums Materials (Absorber)</t>
  </si>
  <si>
    <t>Control Drum Absorber</t>
  </si>
  <si>
    <t>B4C_natural</t>
  </si>
  <si>
    <t>Control Drum Absorber Mass</t>
  </si>
  <si>
    <t>Material</t>
  </si>
  <si>
    <t>B4C_enriched</t>
  </si>
  <si>
    <t>Prosser et al., 2023</t>
  </si>
  <si>
    <t>Control Drums Materials (Reflector)</t>
  </si>
  <si>
    <t>Control Drum Reflector</t>
  </si>
  <si>
    <t>BeO</t>
  </si>
  <si>
    <t>Control Drum Reflector Mass</t>
  </si>
  <si>
    <t>Factory BeO</t>
  </si>
  <si>
    <t>Be</t>
  </si>
  <si>
    <t>Factory Be</t>
  </si>
  <si>
    <t>Graphite</t>
  </si>
  <si>
    <t>Naranjo de Candido and Shirvan, 2022</t>
  </si>
  <si>
    <t>Naranjo De Candido and Shirvan. (2022). Graphite Life-Cycle Cost Model for HTGRs, International High-Level Radioactive Waste Management Conference</t>
  </si>
  <si>
    <t>Control System Drive Mechanism</t>
  </si>
  <si>
    <t>First-Principles Cost Estimation of a Sodium Fast  Reactor Nuclear Plant. INL/RPT-23-74316
Table 38, 39</t>
  </si>
  <si>
    <t>Bottom-up Estimation of components with nuclear escalation + contingency</t>
  </si>
  <si>
    <t>Shutdown Rod Absorber Material</t>
  </si>
  <si>
    <t>Shutdown Rod Absorber</t>
  </si>
  <si>
    <t>Shutdown Rod Absorber Mass</t>
  </si>
  <si>
    <t>Existing MARVEL natural-B4C cost retained unchanged for shutdown-rod material costing.</t>
  </si>
  <si>
    <t>First-Principles Cost Estimation of a Sodium Fast Reactor Nuclear Plant. INL/RPT-23-74316</t>
  </si>
  <si>
    <t>Existing enriched-B4C cost retained unchanged for shutdown-rod material costing.</t>
  </si>
  <si>
    <t>Shutdown Rod Cladding Material</t>
  </si>
  <si>
    <t>Shutdown Rod Cladding</t>
  </si>
  <si>
    <t>SS304</t>
  </si>
  <si>
    <t>Shutdown Rod Cladding Mass</t>
  </si>
  <si>
    <t>Ganda, F., Hoffman, E., Taiwo, T. A., Kim, T. K., &amp; Hansen, J. (2019). Report on the ACCERT cost algorithms tool (No. ANL/NSE-19/10).</t>
  </si>
  <si>
    <t>Ganda stainless_steel cost used as a proxy for SS304 shutdown-rod cladding.</t>
  </si>
  <si>
    <t>Non-Fuel Core Internals</t>
  </si>
  <si>
    <t>Reflector</t>
  </si>
  <si>
    <t>Radial Reflector</t>
  </si>
  <si>
    <t>Radial Reflector Mass</t>
  </si>
  <si>
    <t>Axial Reflector</t>
  </si>
  <si>
    <t>Axial Reflector Mass</t>
  </si>
  <si>
    <t>Al2O3</t>
  </si>
  <si>
    <t>NTRD-FCO-2018-000439</t>
  </si>
  <si>
    <t>Shield</t>
  </si>
  <si>
    <t>In Vessel Shield Materials</t>
  </si>
  <si>
    <t>In Vessel Shield Material</t>
  </si>
  <si>
    <t>In Vessel Shield Mass</t>
  </si>
  <si>
    <t>Out The Vessel Shield Materials</t>
  </si>
  <si>
    <t>Out Of Vessel Shield Material</t>
  </si>
  <si>
    <t>WEP</t>
  </si>
  <si>
    <t>Out Of Vessel Shield Mass</t>
  </si>
  <si>
    <t>Moderator</t>
  </si>
  <si>
    <t>Moderator Mass</t>
  </si>
  <si>
    <t>monolith_graphite</t>
  </si>
  <si>
    <t>Monolith graphite is expected to be more expensive so I multiplied the graphite cost by two</t>
  </si>
  <si>
    <t>ZrH</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</si>
  <si>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</si>
  <si>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</si>
  <si>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YHx</t>
  </si>
  <si>
    <t>We do not know the cost of Yhx. This is just a placeholder for now (assumed to be the same as ZrH)</t>
  </si>
  <si>
    <t>Moderator (Booster)</t>
  </si>
  <si>
    <t>Moderator Booster Materials</t>
  </si>
  <si>
    <t>Moderator Booster Mass Graphite</t>
  </si>
  <si>
    <t>Moderator Booster Mass YHx</t>
  </si>
  <si>
    <t>Moderator Booster Mass ZrH</t>
  </si>
  <si>
    <t>Main Heat Transport System</t>
  </si>
  <si>
    <t>Fluid Circulation Drive System</t>
  </si>
  <si>
    <t>Primary Pump</t>
  </si>
  <si>
    <t>nonstandard</t>
  </si>
  <si>
    <t>Yes</t>
  </si>
  <si>
    <t>$/(kg.sec)</t>
  </si>
  <si>
    <t>Primary Pump Mechanical Power</t>
  </si>
  <si>
    <t>Data from non-nuclear power plant + Ratio of safety grade pump nomalized cost compared to non-safety grade pump is btween 10 and 15 (12.5 ratio was used, from the EEDB (Ganda 2019, Figure 23)</t>
  </si>
  <si>
    <t>Roosen, P., Uhlenbruck, S., &amp; Lucas, K. (2003). Pareto optimization of a combined cycle power system as a decision support tool for trading off investment vs. operating costs. International Journal of Thermal Sciences, 42(6), 553-560.
Ganda, F., Hoffman, E., Taiwo, T. A., Kim, T. K., &amp; Hansen, J. (2019). Report on the ACCERT cost algorithms tool (No. ANL/NSE-19/10). Argonne National Lab.(ANL), Argonne, IL (United States).</t>
  </si>
  <si>
    <t>https://www.sciencedirect.com/science/article/pii/S1290072903000218
https://publications.anl.gov/anlpubs/2019/06/152862.pdf</t>
  </si>
  <si>
    <t>Secondary Pump</t>
  </si>
  <si>
    <t>Secondary Pump Mechanical Power</t>
  </si>
  <si>
    <t>Data from non-nuclear power plant</t>
  </si>
  <si>
    <t>Compressor</t>
  </si>
  <si>
    <t>unitless</t>
  </si>
  <si>
    <t>ANL/NSE-20/28</t>
  </si>
  <si>
    <t>Hoffman et al. (2020). Improvement of ACCERT Algorithm - FY20 (No. ANL/NSE-20/28). Argonne National Laboratory.(ANL), Argonne, IL (United States).</t>
  </si>
  <si>
    <t>Implemented on the python side. 
Chosen over default due to uncertainty in compressor Pressure Ratio changes based on reactor TH</t>
  </si>
  <si>
    <t>Reactor Heat Transfer Piping System</t>
  </si>
  <si>
    <t>From EEBD</t>
  </si>
  <si>
    <t>LTMR</t>
  </si>
  <si>
    <t>HPMR</t>
  </si>
  <si>
    <t>$/heatpipe</t>
  </si>
  <si>
    <t>Number of Heatpipes</t>
  </si>
  <si>
    <t>https://inldigitallibrary.inl.gov/sites/sti/sti/Sort_46104.pdf</t>
  </si>
  <si>
    <t>Heat Exchangers</t>
  </si>
  <si>
    <t>Primary Heat Exchanger</t>
  </si>
  <si>
    <t>HX Material</t>
  </si>
  <si>
    <t>SS316</t>
  </si>
  <si>
    <t>Primary HX Mass</t>
  </si>
  <si>
    <t>Non Nuclear Plants</t>
  </si>
  <si>
    <t>Gezelius, K. (2004). Design of compact intermediate heat exchangers for gas cooled fast reactors, Massachusetts Institute of Technology.</t>
  </si>
  <si>
    <t>800H</t>
  </si>
  <si>
    <t>Yoon, S.-J., P. Sabharwall and E.-S. Kim (2013). Analytical study on thermal and mechanical design of printed circuit heat exchanger, Idaho National Lab.(INL), Idaho Falls, ID (United States).</t>
  </si>
  <si>
    <t>Secondary Heat Exchanger</t>
  </si>
  <si>
    <t>Secondary HX Mass</t>
  </si>
  <si>
    <t>Initial Coolant Inventory</t>
  </si>
  <si>
    <t>Coolant</t>
  </si>
  <si>
    <t>Helium</t>
  </si>
  <si>
    <t>Onsite Coolant Inventory</t>
  </si>
  <si>
    <t>Fernandez de Losada. (2024). Assessment of the Lifecycle Cost of Nuclear-Grade Coolants for Advanced Reactors. ETHzurich. Swiss.</t>
  </si>
  <si>
    <t>https://doi.org/10.3929/ethz-b-000709311</t>
  </si>
  <si>
    <t>Vendor Quoate (Linde) for 3000 cylinders of 99.999% purity Helium. 3000 cylinders correspond to ~4 MT of He.</t>
  </si>
  <si>
    <t>NaK</t>
  </si>
  <si>
    <t>Integrated Heat Transfer Vessel</t>
  </si>
  <si>
    <t>Integrated Heat Transfer Vessel Mass</t>
  </si>
  <si>
    <t>Custom Accounts to model the vessel that houses the PCHE, Circulator, and Pipe Connections. These are assumed to be SA508 for now but use the same unit-cost as SS PCHE</t>
  </si>
  <si>
    <t>Integrated Heat Transfer System Support</t>
  </si>
  <si>
    <t>Safety Systems</t>
  </si>
  <si>
    <t>Reactor Cavity Cooling System (Rvacs)</t>
  </si>
  <si>
    <t>Rvacs (Cooling Vessel)</t>
  </si>
  <si>
    <t>Cooling Vessel Mass</t>
  </si>
  <si>
    <t>Rvacs (Intake Vessel)</t>
  </si>
  <si>
    <t>Intake Vessel Mass</t>
  </si>
  <si>
    <t>Other Reactor Plant Equipment</t>
  </si>
  <si>
    <t>MARVEL</t>
  </si>
  <si>
    <t>Primary Loop Mass Flow Rate</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</si>
  <si>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</si>
  <si>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</si>
  <si>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</si>
  <si>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</si>
  <si>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</si>
  <si>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Reactor Instrumentation and Control (I&amp;C)</t>
  </si>
  <si>
    <t>Shirvan et al., 2023</t>
  </si>
  <si>
    <t xml:space="preserve">Shirvan et al,. (2023). UO2-fueled microreactors: Near-term solutions to emerging marktets. Nuclear Engineering and Design. </t>
  </si>
  <si>
    <t>https://doi.org/10.1016/j.nucengdes.2023.112470</t>
  </si>
  <si>
    <t>Cost based on FOAK Digital I&amp;C with 2-out-of-4 voting logic</t>
  </si>
  <si>
    <t>Non-nuclear off-the-shelf</t>
  </si>
  <si>
    <t>Reactor Plant Miscellaneous Items</t>
  </si>
  <si>
    <t>Energy Conversion System </t>
  </si>
  <si>
    <t>Energy Applications</t>
  </si>
  <si>
    <t>Electricity Generation Systems</t>
  </si>
  <si>
    <t>$/kWe</t>
  </si>
  <si>
    <t>BoP Power kWe</t>
  </si>
  <si>
    <t>INL/RPT-24-80433 Rev.1</t>
  </si>
  <si>
    <t>https://www.osti.gov/biblio/2447366</t>
  </si>
  <si>
    <t>Common Instrumentation &amp; Controls</t>
  </si>
  <si>
    <t>Electrical Equipment</t>
  </si>
  <si>
    <t>Switchgear</t>
  </si>
  <si>
    <t>Station Service Equipment</t>
  </si>
  <si>
    <t>Switchboards</t>
  </si>
  <si>
    <t>Protective Equipment</t>
  </si>
  <si>
    <t>Electrical Structure &amp; Wiring Container</t>
  </si>
  <si>
    <t>Power &amp; Control Wiring</t>
  </si>
  <si>
    <t>Initial Fuel Inventory</t>
  </si>
  <si>
    <t>First Core Mining</t>
  </si>
  <si>
    <t>Natural Uranium Mass</t>
  </si>
  <si>
    <t>First Core Conversion </t>
  </si>
  <si>
    <t>First Core Enrichment </t>
  </si>
  <si>
    <t>$/SWU</t>
  </si>
  <si>
    <t>SWU</t>
  </si>
  <si>
    <t>First Core Fuel Assembly Fabrication </t>
  </si>
  <si>
    <t>TRISO Fueled</t>
  </si>
  <si>
    <t>No</t>
  </si>
  <si>
    <t>Fuel</t>
  </si>
  <si>
    <t>TRIGA_fuel</t>
  </si>
  <si>
    <t>Uranium Mass</t>
  </si>
  <si>
    <t xml:space="preserve"> UO2</t>
  </si>
  <si>
    <t>Miscellaneous Equipment (Cranes)</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</si>
  <si>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</si>
  <si>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</si>
  <si>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Capitalized Indirect Services Cost</t>
  </si>
  <si>
    <t>Factory &amp; field indirect costs</t>
  </si>
  <si>
    <t>Factory and construction supervision</t>
  </si>
  <si>
    <t>Startup Costs</t>
  </si>
  <si>
    <t>Shipping and Transportation Costs</t>
  </si>
  <si>
    <t>Engineering Services</t>
  </si>
  <si>
    <t>PM/CM Services</t>
  </si>
  <si>
    <t>Capitalized training costs</t>
  </si>
  <si>
    <t>staff recruitment and training</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</si>
  <si>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</si>
  <si>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</si>
  <si>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 xml:space="preserve">Capitalized Financial Costs </t>
  </si>
  <si>
    <t>Interest</t>
  </si>
  <si>
    <t xml:space="preserve">Annualized O&amp;M Cost </t>
  </si>
  <si>
    <t>O&amp;M Staff</t>
  </si>
  <si>
    <t>Operators </t>
  </si>
  <si>
    <t>$/FTE</t>
  </si>
  <si>
    <t>Number of On-Site Operators per Shift</t>
  </si>
  <si>
    <t>de Candido, I., A. Al Rashdan, A. Abou-Jaoude, and J. Buongiorno. 2024. “Assessment of Technoeconomic Opportunities in Automation for Nuclear Microreactors.” Nuclear Science and Engineering, 1–20. https://doi.org/10.1080/00295639.2024.2372511.</t>
  </si>
  <si>
    <t>Remote Monitoring Technicians </t>
  </si>
  <si>
    <t>Operation Mode</t>
  </si>
  <si>
    <t>Remotely Monitored</t>
  </si>
  <si>
    <t>Reactors Monitored Per Operator</t>
  </si>
  <si>
    <t>Security Staff </t>
  </si>
  <si>
    <t>Security Staff Per Shift</t>
  </si>
  <si>
    <t>Variable Non-Fuel Costs</t>
  </si>
  <si>
    <t>Replacement Coolant Inventory</t>
  </si>
  <si>
    <t>MARVEL Project (communication with MARVEL Team)</t>
  </si>
  <si>
    <t>Vendor Quotes</t>
  </si>
  <si>
    <t>Regulatory Costs</t>
  </si>
  <si>
    <t>https://www.federalregister.gov/documents/2025/02/19/2025-02779/fee-schedules-fee-recovery-for-fiscal-year-2025</t>
  </si>
  <si>
    <t>Capital Plant Expenditures</t>
  </si>
  <si>
    <t>Annualized Outer Vessel Structure Replacements</t>
  </si>
  <si>
    <t>Annualized Inner Vessel Structure Replacements</t>
  </si>
  <si>
    <t>Annualized Moderator Replacements</t>
  </si>
  <si>
    <t>Annualized Reflector Replacements</t>
  </si>
  <si>
    <t>Annualized Reactor Control Devices Replacements</t>
  </si>
  <si>
    <t>Annualized Integrated Heat Transfer Vessel Replacements</t>
  </si>
  <si>
    <t xml:space="preserve">            Annualized Integrated Heat Transfer Vessel Replacements</t>
  </si>
  <si>
    <t>Annualized Moderator Booster Replacements</t>
  </si>
  <si>
    <t>Annualized Plant Maintenance (Misc.)</t>
  </si>
  <si>
    <t>Annualized Building and Structural Maintenance (Accounts 212–215)</t>
  </si>
  <si>
    <t>Annualized Main Heat Transport System Maintenance (Accounts 222.1–222.3 and 222.6)</t>
  </si>
  <si>
    <t>Annualized Safety System Maintenance (Account 223)</t>
  </si>
  <si>
    <t>Annualized Reactor Plant Equipment Maintenance (Accounts 221.11, 226, and 228)</t>
  </si>
  <si>
    <t>Annualized Reactor I&amp;C Maintenance (Account 227)</t>
  </si>
  <si>
    <t>Annualized Energy Conversion System Maintenance (Account 23)</t>
  </si>
  <si>
    <t>Annualized Electrical Equipment Maintenance (Account 24)</t>
  </si>
  <si>
    <t>Annualized Miscellaneous Equipment Maintenance (Account 26)</t>
  </si>
  <si>
    <t>Annualized Decommissioning Cost</t>
  </si>
  <si>
    <t>Implemented on non_direct_cost.py
The cost is scaled as a fraction of CAPEX (15%)</t>
  </si>
  <si>
    <t>Annualized Fuel Cost</t>
  </si>
  <si>
    <t>Refueling Operations</t>
  </si>
  <si>
    <t>Additional Nuclear Fuel</t>
  </si>
  <si>
    <t>Spent Fuel Management</t>
  </si>
  <si>
    <t>$/MWeHour</t>
  </si>
  <si>
    <t>Annual Electricity Production</t>
  </si>
  <si>
    <t>Account ID</t>
  </si>
  <si>
    <t>TOTAL COST (2024 USD)</t>
  </si>
  <si>
    <t>Site Preparation/Yard Work</t>
  </si>
  <si>
    <t>Emergency and Start-up Power Systems</t>
  </si>
  <si>
    <t>Miscellaneous Other Structures</t>
  </si>
  <si>
    <t>Reactor vessel and accessories</t>
  </si>
  <si>
    <t>Reactor support</t>
  </si>
  <si>
    <t>Outer vessel structure</t>
  </si>
  <si>
    <t>Inner vessel structure</t>
  </si>
  <si>
    <t>Reactor control devices</t>
  </si>
  <si>
    <t>Reactivity control system</t>
  </si>
  <si>
    <t>Non-fuel core internals</t>
  </si>
  <si>
    <t>Reflector (Materials: BeO)</t>
  </si>
  <si>
    <t>Reflector (Materials: Be Metal)</t>
  </si>
  <si>
    <t>Reflector (installation</t>
  </si>
  <si>
    <t>222</t>
  </si>
  <si>
    <t>Fluid circulation drive system</t>
  </si>
  <si>
    <t>Reactor Heat Hransfer Piping System</t>
  </si>
  <si>
    <t>Reactor Heat Hransfer Piping System (Mat)</t>
  </si>
  <si>
    <t>Reactor Heat Hransfer Piping System (Fabrication)</t>
  </si>
  <si>
    <t>Reactor Heat Hransfer Piping System (Installation)</t>
  </si>
  <si>
    <t>Pressurizer System</t>
  </si>
  <si>
    <t>Initial Heat Transfer Fluid Inventory</t>
  </si>
  <si>
    <t>224</t>
  </si>
  <si>
    <t>Radioactive Byproduct Processing Systems</t>
  </si>
  <si>
    <t>226</t>
  </si>
  <si>
    <t>227</t>
  </si>
  <si>
    <t>228</t>
  </si>
  <si>
    <t>Energy Conversion System</t>
  </si>
  <si>
    <t>244</t>
  </si>
  <si>
    <t>Protective Systems Equipment</t>
  </si>
  <si>
    <t>245</t>
  </si>
  <si>
    <t>Electrical Raceway Systems</t>
  </si>
  <si>
    <t>246</t>
  </si>
  <si>
    <t>Power and Control Cables and Wiring</t>
  </si>
  <si>
    <t>254 </t>
  </si>
  <si>
    <t>Miscellaneous Equipment</t>
  </si>
  <si>
    <t>Factory &amp; Field Indirect Costs </t>
  </si>
  <si>
    <t>Field Shops</t>
  </si>
  <si>
    <t>Commissioning and Trial Test Runs</t>
  </si>
  <si>
    <t>Initial Fuel Loading Operations</t>
  </si>
  <si>
    <t>Test Runs</t>
  </si>
  <si>
    <t>Fuel Shipping and Transportation </t>
  </si>
  <si>
    <t>Other Shipping and Transportation Costs</t>
  </si>
  <si>
    <t>Off-Site</t>
  </si>
  <si>
    <t>On-Site</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</si>
  <si>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</si>
  <si>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</si>
  <si>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</si>
  <si>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</si>
  <si>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</si>
  <si>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</si>
  <si>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</si>
  <si>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</si>
  <si>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</si>
  <si>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</si>
  <si>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</si>
  <si>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</si>
  <si>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</si>
  <si>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</si>
  <si>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</si>
  <si>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</si>
  <si>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</si>
  <si>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</si>
  <si>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 mass</t>
  </si>
  <si>
    <t>kg</t>
  </si>
  <si>
    <t>UZrH</t>
  </si>
  <si>
    <t>U Weight fraction</t>
  </si>
  <si>
    <t>wt%</t>
  </si>
  <si>
    <t>U/UZrH</t>
  </si>
  <si>
    <t>U enrichment</t>
  </si>
  <si>
    <t>High-assay low-enriched uranium (HALEU)</t>
  </si>
  <si>
    <t>Pins</t>
  </si>
  <si>
    <t>#</t>
  </si>
  <si>
    <t>Outer reflector material</t>
  </si>
  <si>
    <t>99% theoretical density</t>
  </si>
  <si>
    <t>Elements</t>
  </si>
  <si>
    <t>Quarter plates</t>
  </si>
  <si>
    <t>Reflector plate thickness</t>
  </si>
  <si>
    <t>Reflector plate volume</t>
  </si>
  <si>
    <t>cm3/plate</t>
  </si>
  <si>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</si>
  <si>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</si>
  <si>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</si>
  <si>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</si>
  <si>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</si>
  <si>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</si>
  <si>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</si>
  <si>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</si>
  <si>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</si>
  <si>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</si>
  <si>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</si>
  <si>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</si>
  <si>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</si>
  <si>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</si>
  <si>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t>B4C</t>
  </si>
  <si>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</si>
  <si>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</si>
  <si>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</si>
  <si>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</si>
  <si>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</si>
  <si>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</si>
  <si>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</si>
  <si>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</si>
  <si>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</si>
  <si>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TOTAL</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</si>
  <si>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</si>
  <si>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</si>
  <si>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</si>
  <si>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</si>
  <si>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</si>
  <si>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</si>
  <si>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</si>
  <si>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</si>
  <si>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</si>
  <si>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</si>
  <si>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</si>
  <si>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</si>
  <si>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</si>
  <si>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</si>
  <si>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</si>
  <si>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</si>
  <si>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</si>
  <si>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</si>
  <si>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</si>
  <si>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</si>
  <si>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</si>
  <si>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</si>
  <si>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</si>
  <si>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</si>
  <si>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</si>
  <si>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</si>
  <si>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Year</t>
  </si>
  <si>
    <t>Parameter</t>
  </si>
  <si>
    <t>Note</t>
  </si>
  <si>
    <t>Reference</t>
  </si>
  <si>
    <t>indirect to direct field-related cost</t>
  </si>
  <si>
    <t>FTEs Per Onsite Operator (24/7)</t>
  </si>
  <si>
    <t>FTEs Per Offsite Operator (24/7)</t>
  </si>
  <si>
    <t>FTEs Per Security Staff (24/7)</t>
  </si>
  <si>
    <t>Hours Per FTE</t>
  </si>
  <si>
    <t>Work Hours Per Shift</t>
  </si>
  <si>
    <t>Maintenance to Direct Cost Ratio</t>
  </si>
  <si>
    <t>FOAK to NOAK Learning Rates</t>
  </si>
  <si>
    <t>Assessment of Factory Fabrication Considerations
for Nuclear Microreactors
 10.1080/00295450.2023.2206779</t>
  </si>
  <si>
    <t>Calculated based on Refernce Paper + Gyutae's work. Refer to TEM Slides for rationale and methodology</t>
  </si>
  <si>
    <t>Nth of a kind licening was estimated to take 30-42 months  https://www.nrc.gov/docs/ML2426/ML24268A310.pdf
Now, it is estimated to take 6- 12 months https://www.govinfo.gov/content/pkg/FR-2026-05-01/pdf/2026-08550.pdf
Therefor, the cost is estimated to be reduced 4 times (a factor of 0.25). Since MOUSE is using learning rates, this factor is converted to a learning rate of 0.2 assuming 100 units</t>
  </si>
  <si>
    <t>Park, et al., Bottom-up levelized cost estimation of low-enriched and low-pressure nuclear batteries. Nuclear Engineering and Design. 2025.</t>
  </si>
  <si>
    <t>For off-the-shelf commercial components that are not produced in the FB Factory</t>
  </si>
  <si>
    <t>SER Account 30 to Account 20 Ratio</t>
  </si>
  <si>
    <t>Account 30 is 50% of direct cost (Account 20).</t>
  </si>
  <si>
    <t>SER Account 716 to Accounts 711-715 Ratio</t>
  </si>
  <si>
    <t>Continuing education and retraining.</t>
  </si>
  <si>
    <t>SER Account 717 to Accounts 711-715 Ratio</t>
  </si>
  <si>
    <t>Management staff.</t>
  </si>
  <si>
    <t>SER Account 741 to Account 20 Ratio</t>
  </si>
  <si>
    <t>Operating chemicals and lubricants.</t>
  </si>
  <si>
    <t>SER Account 742 to Account 20 Ratio</t>
  </si>
  <si>
    <t>Spare parts.</t>
  </si>
  <si>
    <t>SER Account 743 to Account 20 Ratio</t>
  </si>
  <si>
    <t>Utilities excluding electricity, supplies, and consumables.</t>
  </si>
  <si>
    <t>SER Account 747.1 to Accounts 741-743 Ratio</t>
  </si>
  <si>
    <t>Annualized transportation costs.</t>
  </si>
  <si>
    <t>SER Account 747.4 to Account 20 Ratio</t>
  </si>
  <si>
    <t>Annualized other supplies and utilities.</t>
  </si>
  <si>
    <t>MFG Account 223 to Reactor OCC per Testing Line Ratio</t>
  </si>
  <si>
    <t>REVIEW NEEDED: provisional testing-building assumption.</t>
  </si>
  <si>
    <t>MFG Account 30 to Account 20 Ratio</t>
  </si>
  <si>
    <t>Account 30 is 50% of direct cost.</t>
  </si>
  <si>
    <t>MFG Account 716 to Accounts 711-715 Ratio</t>
  </si>
  <si>
    <t>MFG Account 717 to Accounts 711-715 Ratio</t>
  </si>
  <si>
    <t>MFG Account 741 to Account 20 Ratio</t>
  </si>
  <si>
    <t>MFG Account 742 to Account 20 Ratio</t>
  </si>
  <si>
    <t>MFG Account 743 to Account 20 Ratio</t>
  </si>
  <si>
    <t>MFG Account 747.1 to Accounts 741-743 Ratio</t>
  </si>
  <si>
    <t>MFG Account 747.4 to Account 20 Ratio</t>
  </si>
  <si>
    <t>Count Scaling Variable</t>
  </si>
  <si>
    <t>Count per Variable</t>
  </si>
  <si>
    <t>Constant</t>
  </si>
  <si>
    <t>MFG Campus Land Area</t>
  </si>
  <si>
    <t>MFG Campus Power</t>
  </si>
  <si>
    <t>598</t>
  </si>
  <si>
    <t>MFG Road Length</t>
  </si>
  <si>
    <t>$/ft</t>
  </si>
  <si>
    <t>MFG Site Perimeter</t>
  </si>
  <si>
    <t>MFG Protected Perimeter</t>
  </si>
  <si>
    <t>Servicing Facilities Structures</t>
  </si>
  <si>
    <t>Control Buidlings</t>
  </si>
  <si>
    <t>Local Control Buidling Structure</t>
  </si>
  <si>
    <t>MFG Local Control Building Area</t>
  </si>
  <si>
    <t>100 value from MC30 Cost Estimation of Microreactor Facilities Inital Draft 5-6-2026.pdf, less 30% [temporary, want to add scaling equation]</t>
  </si>
  <si>
    <t>Main Facilities Estimated As Wholes</t>
  </si>
  <si>
    <t>Manufacturing Building</t>
  </si>
  <si>
    <t>Production Rate</t>
  </si>
  <si>
    <t>Rx/yr</t>
  </si>
  <si>
    <t>Fueling Building</t>
  </si>
  <si>
    <t>Testing Building</t>
  </si>
  <si>
    <t>Warehouse</t>
  </si>
  <si>
    <t>MFG Warehouse Building Area</t>
  </si>
  <si>
    <t>Administrative Building</t>
  </si>
  <si>
    <t>MFG Administration Building Area</t>
  </si>
  <si>
    <t>Local Integrated Control Rooms</t>
  </si>
  <si>
    <t>MFG Testing Line Count</t>
  </si>
  <si>
    <t>Auxiliary Infrastructure Equipment</t>
  </si>
  <si>
    <t>Emergency Power</t>
  </si>
  <si>
    <t>MFG Emergency Generator Power</t>
  </si>
  <si>
    <t>2.5 MW generator cost from Central States Generators, nuclear multiple of 5, and guess for pad and connection to building (pad and connection have been requested with cost estimators)</t>
  </si>
  <si>
    <t>Fire Station</t>
  </si>
  <si>
    <t>MFG Fire Station Count</t>
  </si>
  <si>
    <t>Security Building</t>
  </si>
  <si>
    <t>MFG Security Building Area</t>
  </si>
  <si>
    <t>Switchyard</t>
  </si>
  <si>
    <t>MFG Switchyard Rating</t>
  </si>
  <si>
    <t>Scaling relationship created from MC30 Cost Estimation of Microreactor Facilities Inital Draft 5-6-2026.pdf, less 30%</t>
  </si>
  <si>
    <t>Onsite Transport Equipment</t>
  </si>
  <si>
    <t>Local Reactor Transport Vehicles</t>
  </si>
  <si>
    <t>MFG Local Transport Vehicle Count</t>
  </si>
  <si>
    <t>Lallemant report, Table 9, Considered price for 200 MT LTV</t>
  </si>
  <si>
    <t>Lallemant, Lucas. 2023</t>
  </si>
  <si>
    <t>Utility Vehicles</t>
  </si>
  <si>
    <t>MFG Utility Vehicle Count</t>
  </si>
  <si>
    <t>assumption</t>
  </si>
  <si>
    <t>Dispered Infrastructure</t>
  </si>
  <si>
    <t>assumption, guess</t>
  </si>
  <si>
    <t>Communication</t>
  </si>
  <si>
    <t>Manufacturing Campus Area</t>
  </si>
  <si>
    <t>[to become a scaling relationship] MC30 Cost Estimation of Microreactor Facilities Inital Draft 5-6-2026.pdf</t>
  </si>
  <si>
    <t>Security Cameras</t>
  </si>
  <si>
    <t>MFG Security Camera Count</t>
  </si>
  <si>
    <t>MC30 Cost Estimation of Microreactor Facilities Inital Draft 5-6-2026.pdf</t>
  </si>
  <si>
    <t>Motion Detectors</t>
  </si>
  <si>
    <t>MFG Motion Detector Count</t>
  </si>
  <si>
    <t>Guard Station</t>
  </si>
  <si>
    <t>MFG Guard Station Count</t>
  </si>
  <si>
    <t>Operators (Testing Only)</t>
  </si>
  <si>
    <t>MFG Testing Number of Operators</t>
  </si>
  <si>
    <t>Warehouse Staff</t>
  </si>
  <si>
    <t>MFG Warehouse Staff</t>
  </si>
  <si>
    <t>Average of four occupations from Munro work: Forklift Drivers, Supervisors, Shipping/receiving personnel, and Materials Scheduler (high ends for all)</t>
  </si>
  <si>
    <t>INL Fueling - Manufacturing Parts and Equipment List Rev002.xlsx</t>
  </si>
  <si>
    <t>MFG Security Staff Per Shift</t>
  </si>
  <si>
    <t>Maintenance Staff</t>
  </si>
  <si>
    <t>MFG Maintenance Staff Headcount</t>
  </si>
  <si>
    <t>Engineering Staff (Testing Only)</t>
  </si>
  <si>
    <t>MFG Testing Engineering Headcount</t>
  </si>
  <si>
    <t>Continuing Education and Staff Retraining</t>
  </si>
  <si>
    <t>Management Staff</t>
  </si>
  <si>
    <t>Manfuacturing Building Staff</t>
  </si>
  <si>
    <t>Fueling Building Staff</t>
  </si>
  <si>
    <t xml:space="preserve">Fixed O&amp;M Utilities and Materials </t>
  </si>
  <si>
    <t>Operating Chemicals and Lubricants (Except Manufacturing and Fueling)</t>
  </si>
  <si>
    <t>Spare Parts (Except Manufacturing and Fueling)</t>
  </si>
  <si>
    <t>Utilities except electricity, Supplies, and Consumables</t>
  </si>
  <si>
    <t>Electricity</t>
  </si>
  <si>
    <t>Manufacturing Building Equipment</t>
  </si>
  <si>
    <t>Fueling Building Equipment</t>
  </si>
  <si>
    <t>Other annual costs</t>
  </si>
  <si>
    <t>Annualized Transportation Costs</t>
  </si>
  <si>
    <t>Annualized Helium Replenishment</t>
  </si>
  <si>
    <t>MFG Testing Coolant Allotment</t>
  </si>
  <si>
    <t>Annualized Other Supplies and Utilities</t>
  </si>
  <si>
    <t>SER Campus Area</t>
  </si>
  <si>
    <t>SER Switchyard Rating</t>
  </si>
  <si>
    <t>SER Campus Land Area</t>
  </si>
  <si>
    <t>SER Road Length</t>
  </si>
  <si>
    <t>SER Site Perimeter</t>
  </si>
  <si>
    <t>Security Fencing Controlled</t>
  </si>
  <si>
    <t>SER Controlled Perimeter</t>
  </si>
  <si>
    <t>SER Protected Perimeter</t>
  </si>
  <si>
    <t>Servicing Building</t>
  </si>
  <si>
    <t>Servicing Hot Cell Building Structure</t>
  </si>
  <si>
    <t>Servicing Hot Cell Building Area</t>
  </si>
  <si>
    <t>Helium Purification and Storage Building</t>
  </si>
  <si>
    <t>Helium Purification and Storage Building Structure</t>
  </si>
  <si>
    <t>Helium Purification and Storage Building Area</t>
  </si>
  <si>
    <t>100 value from MC30 Cost Estimation of Microreactor Facilities Inital Draft 5-6-2026.pdf [temporary, want to add scaling equation]</t>
  </si>
  <si>
    <t>Local Control Building Structure</t>
  </si>
  <si>
    <t>SER Local Control Building Area</t>
  </si>
  <si>
    <t>Remote Control Center Structure</t>
  </si>
  <si>
    <t>SER Remote Control Building Area</t>
  </si>
  <si>
    <t>Radioactive Waste Processing Building</t>
  </si>
  <si>
    <t>Radioactive Waste Processing Building Structure</t>
  </si>
  <si>
    <t>SER Rad Waste Management Building Area</t>
  </si>
  <si>
    <t>Used Fuel Storage Pads</t>
  </si>
  <si>
    <t>$/(reactors/year)</t>
  </si>
  <si>
    <t>Servicing Rate</t>
  </si>
  <si>
    <t>reactors/year</t>
  </si>
  <si>
    <t>Value for 40,000 MTU option in Cost Estimate for an Away-From-Reactor Generic Interim Storage Facility (GISF) for Spent Nuclear Fuel, EPRI report 1018722</t>
  </si>
  <si>
    <t>https://www.epri.com/research/products/1018722</t>
  </si>
  <si>
    <t>Rad Waste Storage Warehouses</t>
  </si>
  <si>
    <t>Radwaste Storage Warehouses Area</t>
  </si>
  <si>
    <t>Air Tranport Hangar</t>
  </si>
  <si>
    <t>Air Transport Hangar</t>
  </si>
  <si>
    <t>none</t>
  </si>
  <si>
    <t>Reactor Cask Management Yard and Inspection Shop</t>
  </si>
  <si>
    <t>Vehicle Depot and Mechanic Shop</t>
  </si>
  <si>
    <t>Parts Service Center and Warehouse</t>
  </si>
  <si>
    <t>Parts Service Center and Warehouse Building Area</t>
  </si>
  <si>
    <t>SER Administration Building Area</t>
  </si>
  <si>
    <t>Servicing Hot Cell</t>
  </si>
  <si>
    <t>Servicing Hot Cell Count</t>
  </si>
  <si>
    <t>Helium Purification Equipment</t>
  </si>
  <si>
    <t>SER Helium Flowrate</t>
  </si>
  <si>
    <t>0.6 is assumption. Cost is an average of the range given on p. 115 of the Ref. ((4700000+6000000)/2), and flowrate is 200 kg/h as given on p. 113 in the caption of Table 48.</t>
  </si>
  <si>
    <t>Fernandez de Losada, Lucas Javier. Assessment of the Lifecycle Cost of Nuclear-Grade Coolants for Advanced Reactors. (Master's thesis, ETH Zurich, 2024). https://doi.org/10.3929/ethz-b-000709311</t>
  </si>
  <si>
    <t>Radioactive Waste Processing Hot Cell</t>
  </si>
  <si>
    <t>Radioactive Waste Processing Hot Cell Count</t>
  </si>
  <si>
    <t>Should process 5 generating sites' worth of radwaste</t>
  </si>
  <si>
    <t>One-half the cost of the Reactor Instrumentation + Control System of the PWR-12-BE from the EEDB</t>
  </si>
  <si>
    <t>Report on the ACCERT Cost Algorithms Tool, ANL/NSE-19/10</t>
  </si>
  <si>
    <t>https://publications.anl.gov/anlpubs/2019/06/152862.pdf</t>
  </si>
  <si>
    <t>Remote Control Rooms</t>
  </si>
  <si>
    <t>Generating Sites Count</t>
  </si>
  <si>
    <t>Reactor Transport Casks</t>
  </si>
  <si>
    <t>Reactor Transport Cask Count</t>
  </si>
  <si>
    <t>SER Emergency Generator Power</t>
  </si>
  <si>
    <t>Service Air Water Building</t>
  </si>
  <si>
    <t>Service Air Water Building Count</t>
  </si>
  <si>
    <t>SER Fire Station Count</t>
  </si>
  <si>
    <t>SER Security Building Area</t>
  </si>
  <si>
    <t>SER Local Transport Vehicle Count</t>
  </si>
  <si>
    <t>SER Utility Vehicle Count</t>
  </si>
  <si>
    <t>Offsite Transport Equipment</t>
  </si>
  <si>
    <t>Reactor Transport Vehicles</t>
  </si>
  <si>
    <t>Reactor Transport Vehicle Count</t>
  </si>
  <si>
    <t>Helium Transport Trucks</t>
  </si>
  <si>
    <t>Helium Transport Truck Count</t>
  </si>
  <si>
    <t>Water Tanker Trucks</t>
  </si>
  <si>
    <t>Water Tanker Truck Count</t>
  </si>
  <si>
    <t>Maintenance Trucks</t>
  </si>
  <si>
    <t>Maintenance Truck Count</t>
  </si>
  <si>
    <t>Air Transport Equipment</t>
  </si>
  <si>
    <t>Heavy Lift Helicopters</t>
  </si>
  <si>
    <t>Helicopter Count</t>
  </si>
  <si>
    <t>Aircraft Maintenance Equipment</t>
  </si>
  <si>
    <t>SER Security Camera Count</t>
  </si>
  <si>
    <t>SER Motion Detector Count</t>
  </si>
  <si>
    <t>SER Guard Station Count</t>
  </si>
  <si>
    <t>Radiation Monitors</t>
  </si>
  <si>
    <t>SER Radiation Monitor Count</t>
  </si>
  <si>
    <t>$/FTE-year</t>
  </si>
  <si>
    <t>SER Operator FTEs Per Facility</t>
  </si>
  <si>
    <t>Shift To Headcount</t>
  </si>
  <si>
    <t>SER Security Staff Per Shift</t>
  </si>
  <si>
    <t>SER Maintenance Staff Per Shift</t>
  </si>
  <si>
    <t>Engineering Staff</t>
  </si>
  <si>
    <t>SER Engineering Headcount</t>
  </si>
  <si>
    <t>Operating Chemicals and Lubricants</t>
  </si>
  <si>
    <t>Spare Parts</t>
  </si>
  <si>
    <t>SER Switchyard Average Power</t>
  </si>
  <si>
    <t>Annualized Cask Replacements</t>
  </si>
  <si>
    <t>Used Fuel Cask</t>
  </si>
  <si>
    <t>Annual Used Fuel Cask Consumption</t>
  </si>
  <si>
    <t>MIT-ANP-TR-198</t>
  </si>
  <si>
    <t>NUHOMS EOS 37 PTH ESC Cask</t>
  </si>
  <si>
    <t>Reactor Transport Cask</t>
  </si>
  <si>
    <t>Annual Reactor Cask Replacement</t>
  </si>
  <si>
    <t>Radwaste Storage Cask</t>
  </si>
  <si>
    <t>Annual Radwaste Cask Consumption</t>
  </si>
  <si>
    <t>Used Fuel Storage Additional Overpacks</t>
  </si>
  <si>
    <t>He Gas Replenishment</t>
  </si>
  <si>
    <t>Servicing Vehicle O&amp;M</t>
  </si>
  <si>
    <t>Reactor Transport Vehicles O&amp;M</t>
  </si>
  <si>
    <t>Helium Transport Trucks O&amp;M</t>
  </si>
  <si>
    <t>Water Tanker Trucks O&amp;M</t>
  </si>
  <si>
    <t>Maintenance Trucks O&amp;M</t>
  </si>
  <si>
    <t>Cool down buildings</t>
  </si>
  <si>
    <t>Cool down building</t>
  </si>
  <si>
    <t>fixed cost for now - could work on scaling</t>
  </si>
  <si>
    <t>Security buildings</t>
  </si>
  <si>
    <t>Guard station</t>
  </si>
  <si>
    <t>Staff support buildings</t>
  </si>
  <si>
    <t>Staff quarters</t>
  </si>
  <si>
    <t>Encompassing Buildings</t>
  </si>
  <si>
    <t>Overarching steel building</t>
  </si>
  <si>
    <t>MC30 Cost Estimation of Microreactor Facilities Rev 1 Draft Backup Info 8-5-2026.xlsx, less 30%</t>
  </si>
  <si>
    <t>O&amp;M warehouse structure</t>
  </si>
  <si>
    <t>MC30 Cost Estimation of Microreactor Facilities Inital Draft 5-6-2026.pdf, average of O&amp;M Support Building and O&amp;M Warehouse, less 30%</t>
  </si>
  <si>
    <t>O&amp;M support buildings</t>
  </si>
  <si>
    <t>O&amp;M support building structure</t>
  </si>
  <si>
    <t>0.0</t>
  </si>
  <si>
    <t>Backup Power Outdoor</t>
  </si>
  <si>
    <t>0.2</t>
  </si>
  <si>
    <t>Diesel Generator Concrete Pad</t>
  </si>
  <si>
    <t>GEN Security Camera Count</t>
  </si>
  <si>
    <t>GEN Motion Detector Count</t>
  </si>
  <si>
    <t>GEN Radiation Monitor Count</t>
  </si>
  <si>
    <t>MC30 Cost Estimation of Microreactor Facilities Rev 1 Draft Backup Info 8-5-2026.xlsx, full cost</t>
  </si>
  <si>
    <t>Dispersed Infrastructure</t>
  </si>
  <si>
    <t>MC30 Cost Estimation of Microreactor Facilities Rev 1 Draft Backup Info 8-5-2026.xlsx, less 30% [temporary, want to add scaling equation]</t>
  </si>
  <si>
    <t>Judgement</t>
  </si>
  <si>
    <t>Assumption: $1 million per reactor, to approximately match Enrique's engineering judgment that a total cost of the remote control room of $1 billion per 1,000 reactors monitored would be reasonable.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</si>
</sst>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_(* \(#,##0.00\);_(* \-??_);_(@_)"/>
    <numFmt numFmtId="165" formatCode="_(* #,##0_);_(* \(#,##0\);_(* \-??_);_(@_)"/>
    <numFmt numFmtId="166" formatCode="_(* #,##0.0_);_(* \(#,##0.0\);_(* \-?_);_(@_)"/>
    <numFmt numFmtId="167" formatCode="0.0"/>
    <numFmt numFmtId="168" formatCode="_(* #,##0.000_);_(* \(#,##0.000\);_(* \-??_);_(@_)"/>
    <numFmt numFmtId="169" formatCode="#,##0.000"/>
    <numFmt numFmtId="170" formatCode="0.000"/>
    <numFmt numFmtId="171" formatCode="#,##0.000_);\(#,##0.000\)"/>
    <numFmt numFmtId="172" formatCode="\$#,##0_);[Red]&quot;($&quot;#,##0\)"/>
    <numFmt numFmtId="173" formatCode="#,##0.0000_);\(#,##0.0000\)"/>
    <numFmt numFmtId="174" formatCode="_(* #,##0_);_(* \(#,##0\);_(* &quot;-&quot;??_);_(@_)"/>
    <numFmt numFmtId="175" formatCode="_(* #,##0.0_);_(* \(#,##0.0\);_(* &quot;-&quot;?_);_(@_)"/>
  </numFmts>
  <fonts count="37">
    <font>
      <sz val="11"/>
      <color theme="1"/>
      <name val="Calibri"/>
    </font>
    <font>
      <sz val="10"/>
      <name val="Arial"/>
      <family val="2"/>
    </font>
    <font>
      <sz val="11"/>
      <color theme="10"/>
      <name val="Calibri"/>
      <family val="2"/>
    </font>
    <font>
      <sz val="10"/>
      <color rgb="FF000000"/>
      <name val="Times New Roman"/>
      <family val="1"/>
    </font>
    <font>
      <sz val="11"/>
      <color theme="1"/>
      <name val="Calibri"/>
      <family val="2"/>
    </font>
    <font>
      <sz val="10"/>
      <color theme="1"/>
      <name val="Calibri"/>
      <family val="2"/>
    </font>
    <font>
      <b/>
      <sz val="10"/>
      <color rgb="FF000000"/>
      <name val="Times New Roman"/>
      <family val="1"/>
    </font>
    <font>
      <b/>
      <sz val="10"/>
      <color theme="1"/>
      <name val="Times New Roman"/>
      <family val="1"/>
    </font>
    <font>
      <b/>
      <sz val="10"/>
      <color theme="1"/>
      <name val="Calibri"/>
      <family val="2"/>
    </font>
    <font>
      <sz val="10"/>
      <color theme="1"/>
      <name val="Times New Roman"/>
      <family val="1"/>
    </font>
    <font>
      <sz val="10"/>
      <color theme="10"/>
      <name val="Times New Roman"/>
      <family val="1"/>
    </font>
    <font>
      <sz val="10"/>
      <name val="Times New Roman"/>
      <family val="1"/>
    </font>
    <font>
      <sz val="10"/>
      <color theme="10"/>
      <name val="Times New Roman"/>
      <family val="1"/>
    </font>
    <font>
      <sz val="9"/>
      <color theme="1"/>
      <name val="Calibri"/>
      <family val="2"/>
    </font>
    <font>
      <sz val="10"/>
      <color rgb="FF212529"/>
      <name val="Times New Roman"/>
      <family val="1"/>
    </font>
    <font>
      <sz val="10"/>
      <color rgb="FF383A42"/>
      <name val="Menlo"/>
    </font>
    <font>
      <b/>
      <sz val="11"/>
      <color theme="1"/>
      <name val="Calibri"/>
      <family val="2"/>
    </font>
    <font>
      <b/>
      <sz val="12"/>
      <color rgb="FF000000"/>
      <name val="Times New Roman"/>
      <family val="1"/>
    </font>
    <font>
      <sz val="11"/>
      <color rgb="FF000000"/>
      <name val="Calibri"/>
      <family val="2"/>
    </font>
    <font>
      <b/>
      <sz val="10"/>
      <color rgb="FF92D050"/>
      <name val="Times New Roman"/>
      <family val="1"/>
    </font>
    <font>
      <sz val="10"/>
      <color rgb="FFFFC000"/>
      <name val="Times New Roman"/>
      <family val="1"/>
    </font>
    <font>
      <b/>
      <sz val="10"/>
      <color rgb="FF7030A0"/>
      <name val="Times New Roman"/>
      <family val="1"/>
    </font>
    <font>
      <b/>
      <sz val="10"/>
      <color theme="9"/>
      <name val="Times New Roman"/>
      <family val="1"/>
    </font>
    <font>
      <sz val="10"/>
      <color rgb="FFFF0000"/>
      <name val="Times New Roman"/>
      <family val="1"/>
    </font>
    <font>
      <b/>
      <sz val="10"/>
      <color rgb="FFFF0000"/>
      <name val="Times New Roman"/>
      <family val="1"/>
    </font>
    <font>
      <b/>
      <sz val="10"/>
      <color rgb="FFFFC000"/>
      <name val="Times New Roman"/>
      <family val="1"/>
    </font>
    <font>
      <b/>
      <sz val="10"/>
      <name val="Times New Roman"/>
      <family val="1"/>
    </font>
    <font>
      <sz val="10"/>
      <color rgb="FF7030A0"/>
      <name val="Times New Roman"/>
      <family val="1"/>
    </font>
    <font>
      <sz val="10"/>
      <color theme="9"/>
      <name val="Times New Roman"/>
      <family val="1"/>
    </font>
    <font>
      <u/>
      <sz val="11"/>
      <color theme="10"/>
      <name val="Calibri"/>
      <family val="2"/>
    </font>
    <font>
      <sz val="10"/>
      <color rgb="FF000000"/>
      <name val="Times New Roman"/>
      <family val="1"/>
    </font>
    <font>
      <b/>
      <sz val="10"/>
      <color rgb="FF000000"/>
      <name val="Times New Roman"/>
      <family val="1"/>
    </font>
    <font>
      <sz val="10"/>
      <color theme="1"/>
      <name val="Times New Roman"/>
      <family val="1"/>
    </font>
    <font>
      <u/>
      <sz val="10"/>
      <color theme="10"/>
      <name val="Times New Roman"/>
      <family val="1"/>
    </font>
    <font>
      <b/>
      <sz val="10"/>
      <color theme="1"/>
      <name val="Times New Roman"/>
      <family val="1"/>
    </font>
    <font>
      <sz val="9"/>
      <color theme="1"/>
      <name val="Calibri"/>
      <family val="2"/>
      <scheme val="minor"/>
    </font>
    <font>
      <sz val="8"/>
      <name val="Calibri"/>
      <family val="2"/>
    </font>
  </fonts>
  <fills count="10">
    <fill>
      <patternFill patternType="none"/>
    </fill>
    <fill>
      <patternFill patternType="gray125"/>
    </fill>
    <fill>
      <patternFill patternType="solid">
        <fgColor rgb="FFFFFF00"/>
      </patternFill>
    </fill>
    <fill>
      <patternFill patternType="solid">
        <fgColor rgb="FFF2F2F2"/>
      </patternFill>
    </fill>
    <fill>
      <patternFill patternType="solid">
        <fgColor theme="7" tint="0.59987182226020086"/>
        <bgColor indexed="65"/>
      </patternFill>
    </fill>
    <fill>
      <patternFill patternType="solid">
        <fgColor rgb="FFFFC000"/>
      </patternFill>
    </fill>
    <fill>
      <patternFill patternType="solid">
        <fgColor rgb="FFFFFFFF"/>
      </patternFill>
    </fill>
    <fill>
      <patternFill patternType="solid">
        <fgColor rgb="FF00B0F0"/>
      </patternFill>
    </fill>
    <fill>
      <patternFill patternType="solid">
        <fgColor rgb="FFFF0000"/>
        <bgColor indexed="64"/>
      </patternFill>
    </fill>
    <fill>
      <patternFill patternType="solid">
        <fgColor rgb="FFFFC0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2">
    <xf numFmtId="0" fontId="0" fillId="0" borderId="0"/>
    <xf numFmtId="0" fontId="29" fillId="0" borderId="0" applyNumberFormat="0" applyFill="0" applyBorder="0" applyAlignment="0" applyProtection="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164" fontId="4" fillId="0" borderId="0"/>
    <xf numFmtId="0" fontId="2" fillId="0" borderId="0"/>
    <xf numFmtId="0" fontId="2" fillId="0" borderId="0"/>
    <xf numFmtId="0" fontId="3" fillId="0" borderId="0"/>
    <xf numFmtId="0" fontId="4" fillId="0" borderId="0"/>
  </cellStyleXfs>
  <cellXfs count="212">
    <xf numFmtId="0" fontId="0" fillId="0" borderId="0" xfId="0"/>
    <xf numFmtId="0" fontId="9" fillId="0" borderId="5" xfId="0" applyFont="1" applyBorder="1"/>
    <xf numFmtId="0" fontId="6" fillId="0" borderId="1" xfId="0" applyFont="1" applyBorder="1" applyAlignment="1">
      <alignment horizontal="left" wrapText="1"/>
    </xf>
    <xf numFmtId="0" fontId="9" fillId="0" borderId="5" xfId="0" applyFont="1" applyBorder="1" applyAlignment="1">
      <alignment wrapText="1"/>
    </xf>
    <xf numFmtId="0" fontId="9" fillId="0" borderId="1" xfId="0" applyFont="1" applyBorder="1"/>
    <xf numFmtId="0" fontId="0" fillId="0" borderId="2" xfId="0" applyBorder="1"/>
    <xf numFmtId="0" fontId="3" fillId="0" borderId="1" xfId="0" applyFont="1" applyBorder="1" applyAlignment="1">
      <alignment horizontal="center" wrapText="1"/>
    </xf>
    <xf numFmtId="0" fontId="9" fillId="0" borderId="1" xfId="0" applyFont="1" applyBorder="1" applyAlignment="1">
      <alignment horizontal="center" wrapText="1"/>
    </xf>
    <xf numFmtId="0" fontId="9" fillId="0" borderId="1" xfId="0" applyFont="1" applyBorder="1" applyAlignment="1">
      <alignment horizontal="center"/>
    </xf>
    <xf numFmtId="0" fontId="10" fillId="0" borderId="1" xfId="0" applyFont="1" applyBorder="1" applyAlignment="1">
      <alignment horizontal="left"/>
    </xf>
    <xf numFmtId="0" fontId="9" fillId="0" borderId="1" xfId="0" applyFont="1" applyBorder="1" applyAlignment="1">
      <alignment horizontal="left" wrapText="1"/>
    </xf>
    <xf numFmtId="0" fontId="5" fillId="0" borderId="0" xfId="0" applyFont="1"/>
    <xf numFmtId="0" fontId="5" fillId="0" borderId="0" xfId="0" applyFont="1" applyAlignment="1">
      <alignment horizontal="left" wrapText="1"/>
    </xf>
    <xf numFmtId="0" fontId="5" fillId="0" borderId="0" xfId="0" applyFont="1" applyAlignment="1">
      <alignment horizontal="right"/>
    </xf>
    <xf numFmtId="3" fontId="6" fillId="0" borderId="1" xfId="0" applyNumberFormat="1" applyFont="1" applyBorder="1" applyAlignment="1">
      <alignment horizontal="left" wrapText="1"/>
    </xf>
    <xf numFmtId="0" fontId="6" fillId="0" borderId="1" xfId="0" applyFont="1" applyBorder="1" applyAlignment="1">
      <alignment horizontal="left"/>
    </xf>
    <xf numFmtId="0" fontId="7" fillId="0" borderId="1" xfId="0" applyFont="1" applyBorder="1" applyAlignment="1">
      <alignment horizontal="left" wrapText="1"/>
    </xf>
    <xf numFmtId="0" fontId="8" fillId="0" borderId="0" xfId="0" applyFont="1" applyAlignment="1">
      <alignment horizontal="left" wrapText="1"/>
    </xf>
    <xf numFmtId="3" fontId="6" fillId="0" borderId="1" xfId="0" applyNumberFormat="1" applyFont="1" applyBorder="1" applyAlignment="1">
      <alignment horizontal="left"/>
    </xf>
    <xf numFmtId="3" fontId="3" fillId="0" borderId="1" xfId="0" applyNumberFormat="1" applyFont="1" applyBorder="1" applyAlignment="1">
      <alignment horizontal="left" wrapText="1"/>
    </xf>
    <xf numFmtId="3" fontId="6" fillId="0" borderId="1" xfId="0" applyNumberFormat="1" applyFont="1" applyBorder="1" applyAlignment="1">
      <alignment horizontal="right"/>
    </xf>
    <xf numFmtId="0" fontId="7" fillId="0" borderId="1" xfId="0" applyFont="1" applyBorder="1"/>
    <xf numFmtId="0" fontId="7" fillId="0" borderId="1" xfId="0" applyFont="1" applyBorder="1" applyAlignment="1">
      <alignment horizontal="right"/>
    </xf>
    <xf numFmtId="0" fontId="8" fillId="0" borderId="0" xfId="0" applyFont="1"/>
    <xf numFmtId="0" fontId="3" fillId="0" borderId="1" xfId="0" applyFont="1" applyBorder="1" applyAlignment="1">
      <alignment horizontal="left" wrapText="1"/>
    </xf>
    <xf numFmtId="165" fontId="9" fillId="0" borderId="1" xfId="0" applyNumberFormat="1" applyFont="1" applyBorder="1" applyAlignment="1">
      <alignment horizontal="right"/>
    </xf>
    <xf numFmtId="3" fontId="9" fillId="0" borderId="1" xfId="0" applyNumberFormat="1" applyFont="1" applyBorder="1" applyAlignment="1">
      <alignment horizontal="right"/>
    </xf>
    <xf numFmtId="0" fontId="9" fillId="0" borderId="1" xfId="0" applyFont="1" applyBorder="1" applyAlignment="1">
      <alignment horizontal="left"/>
    </xf>
    <xf numFmtId="165" fontId="9" fillId="0" borderId="1" xfId="0" applyNumberFormat="1" applyFont="1" applyBorder="1"/>
    <xf numFmtId="0" fontId="9" fillId="0" borderId="1" xfId="0" applyFont="1" applyBorder="1" applyAlignment="1">
      <alignment horizontal="right"/>
    </xf>
    <xf numFmtId="166" fontId="7" fillId="0" borderId="1" xfId="0" applyNumberFormat="1" applyFont="1" applyBorder="1" applyAlignment="1">
      <alignment horizontal="right"/>
    </xf>
    <xf numFmtId="0" fontId="4" fillId="0" borderId="0" xfId="0" applyFont="1" applyAlignment="1">
      <alignment wrapText="1"/>
    </xf>
    <xf numFmtId="0" fontId="9" fillId="0" borderId="1" xfId="0" applyFont="1" applyBorder="1" applyAlignment="1">
      <alignment wrapText="1"/>
    </xf>
    <xf numFmtId="3" fontId="6" fillId="0" borderId="1" xfId="0" applyNumberFormat="1" applyFont="1" applyBorder="1" applyAlignment="1">
      <alignment horizontal="right" wrapText="1"/>
    </xf>
    <xf numFmtId="0" fontId="6" fillId="0" borderId="1" xfId="0" applyFont="1" applyBorder="1" applyAlignment="1">
      <alignment horizontal="right" wrapText="1"/>
    </xf>
    <xf numFmtId="165" fontId="9" fillId="0" borderId="1" xfId="0" applyNumberFormat="1" applyFont="1" applyBorder="1" applyAlignment="1">
      <alignment wrapText="1"/>
    </xf>
    <xf numFmtId="0" fontId="3" fillId="0" borderId="1" xfId="0" applyFont="1" applyBorder="1" applyAlignment="1">
      <alignment horizontal="left"/>
    </xf>
    <xf numFmtId="167" fontId="3" fillId="0" borderId="1" xfId="0" applyNumberFormat="1" applyFont="1" applyBorder="1" applyAlignment="1">
      <alignment horizontal="left"/>
    </xf>
    <xf numFmtId="0" fontId="11" fillId="0" borderId="1" xfId="0" applyFont="1" applyBorder="1" applyAlignment="1">
      <alignment wrapText="1"/>
    </xf>
    <xf numFmtId="0" fontId="12" fillId="0" borderId="1" xfId="0" applyFont="1" applyBorder="1" applyAlignment="1">
      <alignment horizontal="left"/>
    </xf>
    <xf numFmtId="0" fontId="2" fillId="0" borderId="1" xfId="0" applyFont="1" applyBorder="1" applyAlignment="1">
      <alignment horizontal="left"/>
    </xf>
    <xf numFmtId="0" fontId="13" fillId="0" borderId="0" xfId="0" applyFont="1"/>
    <xf numFmtId="0" fontId="3" fillId="0" borderId="1" xfId="0" applyFont="1" applyBorder="1" applyAlignment="1">
      <alignment wrapText="1"/>
    </xf>
    <xf numFmtId="3" fontId="3" fillId="0" borderId="1" xfId="0" applyNumberFormat="1" applyFont="1" applyBorder="1" applyAlignment="1">
      <alignment horizontal="right"/>
    </xf>
    <xf numFmtId="0" fontId="10" fillId="0" borderId="1" xfId="0" applyFont="1" applyBorder="1" applyAlignment="1">
      <alignment wrapText="1"/>
    </xf>
    <xf numFmtId="3" fontId="14" fillId="0" borderId="1" xfId="0" applyNumberFormat="1" applyFont="1" applyBorder="1" applyAlignment="1">
      <alignment horizontal="right"/>
    </xf>
    <xf numFmtId="0" fontId="3" fillId="0" borderId="1" xfId="0" applyFont="1" applyBorder="1" applyAlignment="1">
      <alignment horizontal="right"/>
    </xf>
    <xf numFmtId="3" fontId="3" fillId="0" borderId="1" xfId="0" applyNumberFormat="1" applyFont="1" applyBorder="1" applyAlignment="1">
      <alignment horizontal="right" wrapText="1"/>
    </xf>
    <xf numFmtId="0" fontId="3" fillId="0" borderId="1" xfId="0" applyFont="1" applyBorder="1" applyAlignment="1">
      <alignment vertical="center" wrapText="1"/>
    </xf>
    <xf numFmtId="0" fontId="9" fillId="0" borderId="1" xfId="0" applyFont="1" applyBorder="1" applyAlignment="1">
      <alignment horizontal="center" vertical="center" wrapText="1"/>
    </xf>
    <xf numFmtId="0" fontId="15" fillId="0" borderId="0" xfId="0" applyFont="1"/>
    <xf numFmtId="0" fontId="0" fillId="0" borderId="3" xfId="0" applyBorder="1"/>
    <xf numFmtId="0" fontId="3" fillId="0" borderId="2" xfId="0" applyFont="1" applyBorder="1" applyAlignment="1">
      <alignment horizontal="left"/>
    </xf>
    <xf numFmtId="3" fontId="6" fillId="0" borderId="2" xfId="0" applyNumberFormat="1" applyFont="1" applyBorder="1" applyAlignment="1">
      <alignment horizontal="left"/>
    </xf>
    <xf numFmtId="3" fontId="3" fillId="0" borderId="0" xfId="0" applyNumberFormat="1" applyFont="1" applyAlignment="1">
      <alignment horizontal="left" wrapText="1"/>
    </xf>
    <xf numFmtId="0" fontId="10" fillId="0" borderId="1" xfId="0" applyFont="1" applyBorder="1" applyAlignment="1">
      <alignment horizontal="center" wrapText="1"/>
    </xf>
    <xf numFmtId="0" fontId="2" fillId="0" borderId="1" xfId="0" applyFont="1" applyBorder="1"/>
    <xf numFmtId="0" fontId="10" fillId="0" borderId="1" xfId="0" applyFont="1" applyBorder="1"/>
    <xf numFmtId="168" fontId="9" fillId="0" borderId="1" xfId="0" applyNumberFormat="1" applyFont="1" applyBorder="1" applyAlignment="1">
      <alignment horizontal="right"/>
    </xf>
    <xf numFmtId="0" fontId="3" fillId="0" borderId="1" xfId="0" applyFont="1" applyBorder="1"/>
    <xf numFmtId="169" fontId="9" fillId="0" borderId="1" xfId="0" applyNumberFormat="1" applyFont="1" applyBorder="1" applyAlignment="1">
      <alignment horizontal="right"/>
    </xf>
    <xf numFmtId="2" fontId="4" fillId="0" borderId="0" xfId="0" applyNumberFormat="1" applyFont="1" applyAlignment="1">
      <alignment horizontal="left" vertical="center"/>
    </xf>
    <xf numFmtId="0" fontId="4" fillId="0" borderId="0" xfId="0" applyFont="1" applyAlignment="1">
      <alignment vertical="center" wrapText="1"/>
    </xf>
    <xf numFmtId="3" fontId="4" fillId="0" borderId="0" xfId="0" applyNumberFormat="1" applyFont="1"/>
    <xf numFmtId="2" fontId="16" fillId="0" borderId="1" xfId="0" applyNumberFormat="1" applyFont="1" applyBorder="1" applyAlignment="1">
      <alignment horizontal="left" vertical="center"/>
    </xf>
    <xf numFmtId="0" fontId="16" fillId="0" borderId="1" xfId="0" applyFont="1" applyBorder="1" applyAlignment="1">
      <alignment vertical="center" wrapText="1"/>
    </xf>
    <xf numFmtId="3" fontId="16" fillId="0" borderId="1" xfId="0" applyNumberFormat="1" applyFont="1" applyBorder="1"/>
    <xf numFmtId="2" fontId="4" fillId="0" borderId="1" xfId="0" applyNumberFormat="1" applyFont="1" applyBorder="1" applyAlignment="1">
      <alignment horizontal="left" vertical="center"/>
    </xf>
    <xf numFmtId="0" fontId="4" fillId="0" borderId="1" xfId="0" applyFont="1" applyBorder="1" applyAlignment="1">
      <alignment vertical="center" wrapText="1"/>
    </xf>
    <xf numFmtId="3" fontId="4" fillId="0" borderId="1" xfId="0" applyNumberFormat="1" applyFont="1" applyBorder="1"/>
    <xf numFmtId="164" fontId="0" fillId="0" borderId="0" xfId="0" applyNumberFormat="1"/>
    <xf numFmtId="0" fontId="4" fillId="0" borderId="1" xfId="0" applyFont="1" applyBorder="1" applyAlignment="1">
      <alignment horizontal="left" vertical="center" wrapText="1"/>
    </xf>
    <xf numFmtId="0" fontId="3" fillId="0" borderId="6" xfId="0" applyFont="1" applyBorder="1" applyAlignment="1">
      <alignment horizontal="left"/>
    </xf>
    <xf numFmtId="0" fontId="3" fillId="0" borderId="7" xfId="0" applyFont="1" applyBorder="1" applyAlignment="1">
      <alignment vertical="center" wrapText="1"/>
    </xf>
    <xf numFmtId="3" fontId="0" fillId="0" borderId="0" xfId="0" applyNumberFormat="1"/>
    <xf numFmtId="170" fontId="4" fillId="0" borderId="1" xfId="0" applyNumberFormat="1" applyFont="1" applyBorder="1" applyAlignment="1">
      <alignment horizontal="left" vertical="center"/>
    </xf>
    <xf numFmtId="0" fontId="3" fillId="0" borderId="0" xfId="0" applyFont="1" applyAlignment="1">
      <alignment horizontal="left" vertical="top"/>
    </xf>
    <xf numFmtId="0" fontId="17" fillId="3" borderId="6" xfId="0" applyFont="1" applyFill="1" applyBorder="1" applyAlignment="1">
      <alignment horizontal="center" vertical="center"/>
    </xf>
    <xf numFmtId="0" fontId="17" fillId="3" borderId="8" xfId="0" applyFont="1" applyFill="1" applyBorder="1" applyAlignment="1">
      <alignment horizontal="center" vertical="center"/>
    </xf>
    <xf numFmtId="0" fontId="3" fillId="0" borderId="7" xfId="0" applyFont="1" applyBorder="1" applyAlignment="1">
      <alignment vertical="center"/>
    </xf>
    <xf numFmtId="0" fontId="3" fillId="0" borderId="9" xfId="0" applyFont="1" applyBorder="1" applyAlignment="1">
      <alignment horizontal="right" vertical="center"/>
    </xf>
    <xf numFmtId="0" fontId="3" fillId="0" borderId="9" xfId="0" applyFont="1" applyBorder="1" applyAlignment="1">
      <alignment vertical="center"/>
    </xf>
    <xf numFmtId="0" fontId="9" fillId="0" borderId="9" xfId="0" applyFont="1" applyBorder="1"/>
    <xf numFmtId="0" fontId="3" fillId="2" borderId="7" xfId="0" applyFont="1" applyFill="1" applyBorder="1" applyAlignment="1">
      <alignment vertical="center"/>
    </xf>
    <xf numFmtId="0" fontId="3" fillId="2" borderId="9" xfId="0" applyFont="1" applyFill="1" applyBorder="1" applyAlignment="1">
      <alignment horizontal="right" vertical="center"/>
    </xf>
    <xf numFmtId="0" fontId="3" fillId="2" borderId="9" xfId="0" applyFont="1" applyFill="1" applyBorder="1" applyAlignment="1">
      <alignment vertical="center"/>
    </xf>
    <xf numFmtId="0" fontId="3" fillId="2" borderId="9" xfId="0" applyFont="1" applyFill="1" applyBorder="1" applyAlignment="1">
      <alignment vertical="center" wrapText="1"/>
    </xf>
    <xf numFmtId="0" fontId="3" fillId="2" borderId="0" xfId="0" applyFont="1" applyFill="1" applyAlignment="1">
      <alignment horizontal="left" vertical="top"/>
    </xf>
    <xf numFmtId="0" fontId="16" fillId="0" borderId="0" xfId="0" applyFont="1" applyAlignment="1">
      <alignment horizontal="center"/>
    </xf>
    <xf numFmtId="170" fontId="0" fillId="0" borderId="0" xfId="0" applyNumberFormat="1"/>
    <xf numFmtId="169" fontId="0" fillId="0" borderId="0" xfId="0" applyNumberFormat="1"/>
    <xf numFmtId="0" fontId="16" fillId="0" borderId="0" xfId="0" applyFont="1"/>
    <xf numFmtId="0" fontId="4" fillId="0" borderId="0" xfId="0" applyFont="1" applyAlignment="1">
      <alignment horizontal="center" wrapText="1"/>
    </xf>
    <xf numFmtId="0" fontId="0" fillId="0" borderId="0" xfId="0" applyAlignment="1">
      <alignment horizontal="center" wrapText="1"/>
    </xf>
    <xf numFmtId="0" fontId="18" fillId="0" borderId="0" xfId="0" applyFont="1" applyAlignment="1">
      <alignment horizontal="center" wrapText="1"/>
    </xf>
    <xf numFmtId="0" fontId="0" fillId="0" borderId="0" xfId="0" applyAlignment="1">
      <alignment wrapText="1"/>
    </xf>
    <xf numFmtId="4" fontId="5" fillId="0" borderId="0" xfId="0" applyNumberFormat="1" applyFont="1" applyAlignment="1">
      <alignment horizontal="left" wrapText="1"/>
    </xf>
    <xf numFmtId="4" fontId="6" fillId="0" borderId="1" xfId="0" applyNumberFormat="1" applyFont="1" applyBorder="1" applyAlignment="1">
      <alignment horizontal="left" wrapText="1"/>
    </xf>
    <xf numFmtId="0" fontId="7" fillId="4" borderId="1" xfId="0" applyFont="1" applyFill="1" applyBorder="1" applyAlignment="1">
      <alignment horizontal="left" wrapText="1"/>
    </xf>
    <xf numFmtId="4" fontId="3" fillId="0" borderId="1" xfId="0" applyNumberFormat="1" applyFont="1" applyBorder="1" applyAlignment="1">
      <alignment horizontal="left" wrapText="1"/>
    </xf>
    <xf numFmtId="0" fontId="11" fillId="5" borderId="1" xfId="0" applyFont="1" applyFill="1" applyBorder="1" applyAlignment="1">
      <alignment horizontal="left"/>
    </xf>
    <xf numFmtId="165" fontId="11" fillId="0" borderId="1" xfId="0" applyNumberFormat="1" applyFont="1" applyBorder="1"/>
    <xf numFmtId="0" fontId="11" fillId="0" borderId="1" xfId="0" applyFont="1" applyBorder="1" applyAlignment="1">
      <alignment horizontal="left"/>
    </xf>
    <xf numFmtId="165" fontId="11" fillId="0" borderId="1" xfId="0" applyNumberFormat="1" applyFont="1" applyBorder="1" applyAlignment="1">
      <alignment horizontal="right"/>
    </xf>
    <xf numFmtId="0" fontId="11" fillId="0" borderId="1" xfId="0" applyFont="1" applyBorder="1" applyAlignment="1">
      <alignment horizontal="right"/>
    </xf>
    <xf numFmtId="0" fontId="11" fillId="0" borderId="1" xfId="0" applyFont="1" applyBorder="1" applyAlignment="1">
      <alignment horizontal="left" wrapText="1"/>
    </xf>
    <xf numFmtId="3" fontId="19" fillId="0" borderId="1" xfId="0" applyNumberFormat="1" applyFont="1" applyBorder="1" applyAlignment="1">
      <alignment horizontal="right"/>
    </xf>
    <xf numFmtId="0" fontId="19" fillId="0" borderId="1" xfId="0" applyFont="1" applyBorder="1" applyAlignment="1">
      <alignment horizontal="left"/>
    </xf>
    <xf numFmtId="0" fontId="20" fillId="5" borderId="1" xfId="0" applyFont="1" applyFill="1" applyBorder="1" applyAlignment="1">
      <alignment horizontal="left"/>
    </xf>
    <xf numFmtId="165" fontId="20" fillId="0" borderId="1" xfId="0" applyNumberFormat="1" applyFont="1" applyBorder="1"/>
    <xf numFmtId="165" fontId="19" fillId="0" borderId="1" xfId="0" applyNumberFormat="1" applyFont="1" applyBorder="1" applyAlignment="1">
      <alignment horizontal="right"/>
    </xf>
    <xf numFmtId="0" fontId="20" fillId="0" borderId="1" xfId="0" applyFont="1" applyBorder="1" applyAlignment="1">
      <alignment horizontal="right"/>
    </xf>
    <xf numFmtId="0" fontId="20" fillId="0" borderId="1" xfId="0" applyFont="1" applyBorder="1" applyAlignment="1">
      <alignment horizontal="left"/>
    </xf>
    <xf numFmtId="0" fontId="20" fillId="0" borderId="1" xfId="0" applyFont="1" applyBorder="1" applyAlignment="1">
      <alignment horizontal="left" wrapText="1"/>
    </xf>
    <xf numFmtId="3" fontId="21" fillId="0" borderId="1" xfId="0" applyNumberFormat="1" applyFont="1" applyBorder="1" applyAlignment="1">
      <alignment horizontal="right"/>
    </xf>
    <xf numFmtId="165" fontId="9" fillId="6" borderId="1" xfId="0" applyNumberFormat="1" applyFont="1" applyFill="1" applyBorder="1"/>
    <xf numFmtId="165" fontId="9" fillId="6" borderId="1" xfId="0" applyNumberFormat="1" applyFont="1" applyFill="1" applyBorder="1" applyAlignment="1">
      <alignment horizontal="right"/>
    </xf>
    <xf numFmtId="165" fontId="9" fillId="6" borderId="1" xfId="0" applyNumberFormat="1" applyFont="1" applyFill="1" applyBorder="1" applyAlignment="1">
      <alignment wrapText="1"/>
    </xf>
    <xf numFmtId="0" fontId="9" fillId="6" borderId="1" xfId="0" applyFont="1" applyFill="1" applyBorder="1"/>
    <xf numFmtId="166" fontId="9" fillId="6" borderId="1" xfId="0" applyNumberFormat="1" applyFont="1" applyFill="1" applyBorder="1" applyAlignment="1">
      <alignment horizontal="right"/>
    </xf>
    <xf numFmtId="0" fontId="9" fillId="6" borderId="1" xfId="0" applyFont="1" applyFill="1" applyBorder="1" applyAlignment="1">
      <alignment horizontal="right"/>
    </xf>
    <xf numFmtId="0" fontId="3" fillId="6" borderId="1" xfId="0" applyFont="1" applyFill="1" applyBorder="1" applyAlignment="1">
      <alignment horizontal="left"/>
    </xf>
    <xf numFmtId="3" fontId="3" fillId="6" borderId="1" xfId="0" applyNumberFormat="1" applyFont="1" applyFill="1" applyBorder="1" applyAlignment="1">
      <alignment horizontal="left"/>
    </xf>
    <xf numFmtId="0" fontId="3" fillId="6" borderId="1" xfId="0" applyFont="1" applyFill="1" applyBorder="1" applyAlignment="1">
      <alignment horizontal="left" wrapText="1"/>
    </xf>
    <xf numFmtId="3" fontId="3" fillId="6" borderId="1" xfId="0" applyNumberFormat="1" applyFont="1" applyFill="1" applyBorder="1" applyAlignment="1">
      <alignment horizontal="left" wrapText="1"/>
    </xf>
    <xf numFmtId="3" fontId="22" fillId="6" borderId="1" xfId="0" applyNumberFormat="1" applyFont="1" applyFill="1" applyBorder="1" applyAlignment="1">
      <alignment horizontal="left" wrapText="1"/>
    </xf>
    <xf numFmtId="4" fontId="3" fillId="6" borderId="1" xfId="0" applyNumberFormat="1" applyFont="1" applyFill="1" applyBorder="1" applyAlignment="1">
      <alignment horizontal="left" wrapText="1"/>
    </xf>
    <xf numFmtId="3" fontId="9" fillId="6" borderId="1" xfId="0" applyNumberFormat="1" applyFont="1" applyFill="1" applyBorder="1" applyAlignment="1">
      <alignment horizontal="right"/>
    </xf>
    <xf numFmtId="165" fontId="21" fillId="6" borderId="1" xfId="0" applyNumberFormat="1" applyFont="1" applyFill="1" applyBorder="1" applyAlignment="1">
      <alignment wrapText="1"/>
    </xf>
    <xf numFmtId="171" fontId="9" fillId="6" borderId="1" xfId="0" applyNumberFormat="1" applyFont="1" applyFill="1" applyBorder="1" applyAlignment="1">
      <alignment horizontal="right"/>
    </xf>
    <xf numFmtId="0" fontId="23" fillId="6" borderId="1" xfId="0" applyFont="1" applyFill="1" applyBorder="1" applyAlignment="1">
      <alignment horizontal="left"/>
    </xf>
    <xf numFmtId="3" fontId="23" fillId="6" borderId="1" xfId="0" applyNumberFormat="1" applyFont="1" applyFill="1" applyBorder="1" applyAlignment="1">
      <alignment horizontal="left"/>
    </xf>
    <xf numFmtId="0" fontId="23" fillId="6" borderId="1" xfId="0" applyFont="1" applyFill="1" applyBorder="1" applyAlignment="1">
      <alignment horizontal="left" wrapText="1"/>
    </xf>
    <xf numFmtId="3" fontId="23" fillId="6" borderId="1" xfId="0" applyNumberFormat="1" applyFont="1" applyFill="1" applyBorder="1" applyAlignment="1">
      <alignment horizontal="left" wrapText="1"/>
    </xf>
    <xf numFmtId="165" fontId="24" fillId="6" borderId="1" xfId="0" applyNumberFormat="1" applyFont="1" applyFill="1" applyBorder="1" applyAlignment="1">
      <alignment wrapText="1"/>
    </xf>
    <xf numFmtId="3" fontId="23" fillId="6" borderId="1" xfId="0" applyNumberFormat="1" applyFont="1" applyFill="1" applyBorder="1" applyAlignment="1">
      <alignment horizontal="right"/>
    </xf>
    <xf numFmtId="0" fontId="9" fillId="6" borderId="1" xfId="0" applyFont="1" applyFill="1" applyBorder="1" applyAlignment="1">
      <alignment horizontal="left"/>
    </xf>
    <xf numFmtId="0" fontId="3" fillId="6" borderId="1" xfId="0" applyFont="1" applyFill="1" applyBorder="1" applyAlignment="1">
      <alignment wrapText="1"/>
    </xf>
    <xf numFmtId="0" fontId="9" fillId="6" borderId="1" xfId="0" applyFont="1" applyFill="1" applyBorder="1" applyAlignment="1">
      <alignment wrapText="1"/>
    </xf>
    <xf numFmtId="0" fontId="9" fillId="6" borderId="1" xfId="0" applyFont="1" applyFill="1" applyBorder="1" applyAlignment="1">
      <alignment horizontal="left" wrapText="1"/>
    </xf>
    <xf numFmtId="0" fontId="2" fillId="6" borderId="1" xfId="0" applyFont="1" applyFill="1" applyBorder="1" applyAlignment="1">
      <alignment horizontal="left"/>
    </xf>
    <xf numFmtId="3" fontId="25" fillId="0" borderId="1" xfId="0" applyNumberFormat="1" applyFont="1" applyBorder="1" applyAlignment="1">
      <alignment horizontal="right" wrapText="1"/>
    </xf>
    <xf numFmtId="0" fontId="9" fillId="7" borderId="1" xfId="0" applyFont="1" applyFill="1" applyBorder="1"/>
    <xf numFmtId="0" fontId="20" fillId="0" borderId="1" xfId="0" applyFont="1" applyBorder="1" applyAlignment="1">
      <alignment wrapText="1"/>
    </xf>
    <xf numFmtId="0" fontId="20" fillId="0" borderId="0" xfId="0" applyFont="1"/>
    <xf numFmtId="0" fontId="20" fillId="0" borderId="1" xfId="0" applyFont="1" applyBorder="1"/>
    <xf numFmtId="3" fontId="26" fillId="0" borderId="1" xfId="0" applyNumberFormat="1" applyFont="1" applyBorder="1" applyAlignment="1">
      <alignment horizontal="right"/>
    </xf>
    <xf numFmtId="3" fontId="9" fillId="0" borderId="1" xfId="0" applyNumberFormat="1" applyFont="1" applyBorder="1" applyAlignment="1">
      <alignment horizontal="left"/>
    </xf>
    <xf numFmtId="3" fontId="11" fillId="0" borderId="1" xfId="0" applyNumberFormat="1" applyFont="1" applyBorder="1" applyAlignment="1">
      <alignment horizontal="right" wrapText="1"/>
    </xf>
    <xf numFmtId="172" fontId="11" fillId="0" borderId="1" xfId="0" applyNumberFormat="1" applyFont="1" applyBorder="1" applyAlignment="1">
      <alignment horizontal="right" wrapText="1"/>
    </xf>
    <xf numFmtId="3" fontId="27" fillId="0" borderId="1" xfId="0" applyNumberFormat="1" applyFont="1" applyBorder="1" applyAlignment="1">
      <alignment horizontal="right"/>
    </xf>
    <xf numFmtId="0" fontId="27" fillId="0" borderId="1" xfId="0" applyFont="1" applyBorder="1" applyAlignment="1">
      <alignment wrapText="1"/>
    </xf>
    <xf numFmtId="3" fontId="9" fillId="0" borderId="5" xfId="0" applyNumberFormat="1" applyFont="1" applyBorder="1" applyAlignment="1">
      <alignment horizontal="right"/>
    </xf>
    <xf numFmtId="0" fontId="9" fillId="0" borderId="5" xfId="0" applyFont="1" applyBorder="1" applyAlignment="1">
      <alignment horizontal="right"/>
    </xf>
    <xf numFmtId="0" fontId="28" fillId="0" borderId="1" xfId="0" applyFont="1" applyBorder="1" applyAlignment="1">
      <alignment wrapText="1"/>
    </xf>
    <xf numFmtId="0" fontId="28" fillId="0" borderId="1" xfId="0" applyFont="1" applyBorder="1" applyAlignment="1">
      <alignment horizontal="center" wrapText="1"/>
    </xf>
    <xf numFmtId="4" fontId="5" fillId="0" borderId="1" xfId="0" applyNumberFormat="1" applyFont="1" applyBorder="1" applyAlignment="1">
      <alignment horizontal="left" wrapText="1"/>
    </xf>
    <xf numFmtId="0" fontId="5" fillId="0" borderId="1" xfId="0" applyFont="1" applyBorder="1" applyAlignment="1">
      <alignment horizontal="left" wrapText="1"/>
    </xf>
    <xf numFmtId="3" fontId="5" fillId="0" borderId="1" xfId="0" applyNumberFormat="1" applyFont="1" applyBorder="1" applyAlignment="1">
      <alignment horizontal="right"/>
    </xf>
    <xf numFmtId="0" fontId="5" fillId="0" borderId="1" xfId="0" applyFont="1" applyBorder="1" applyAlignment="1">
      <alignment horizontal="right"/>
    </xf>
    <xf numFmtId="0" fontId="5" fillId="0" borderId="1" xfId="0" applyFont="1" applyBorder="1"/>
    <xf numFmtId="3" fontId="24" fillId="0" borderId="1" xfId="0" applyNumberFormat="1" applyFont="1" applyBorder="1" applyAlignment="1">
      <alignment horizontal="right"/>
    </xf>
    <xf numFmtId="39" fontId="9" fillId="6" borderId="1" xfId="0" applyNumberFormat="1" applyFont="1" applyFill="1" applyBorder="1" applyAlignment="1">
      <alignment horizontal="right"/>
    </xf>
    <xf numFmtId="3" fontId="11" fillId="0" borderId="1" xfId="0" applyNumberFormat="1" applyFont="1" applyBorder="1" applyAlignment="1">
      <alignment horizontal="right"/>
    </xf>
    <xf numFmtId="3" fontId="6" fillId="6" borderId="1" xfId="0" applyNumberFormat="1" applyFont="1" applyFill="1" applyBorder="1" applyAlignment="1">
      <alignment horizontal="left"/>
    </xf>
    <xf numFmtId="173" fontId="9" fillId="6" borderId="1" xfId="0" applyNumberFormat="1" applyFont="1" applyFill="1" applyBorder="1"/>
    <xf numFmtId="0" fontId="9" fillId="0" borderId="0" xfId="0" applyFont="1"/>
    <xf numFmtId="166" fontId="9" fillId="0" borderId="1" xfId="0" applyNumberFormat="1" applyFont="1" applyBorder="1" applyAlignment="1">
      <alignment horizontal="right"/>
    </xf>
    <xf numFmtId="0" fontId="30" fillId="0" borderId="10" xfId="0" applyFont="1" applyBorder="1" applyAlignment="1">
      <alignment horizontal="left"/>
    </xf>
    <xf numFmtId="3" fontId="31" fillId="0" borderId="10" xfId="0" applyNumberFormat="1" applyFont="1" applyBorder="1" applyAlignment="1">
      <alignment horizontal="left"/>
    </xf>
    <xf numFmtId="0" fontId="30" fillId="0" borderId="10" xfId="0" applyFont="1" applyBorder="1" applyAlignment="1">
      <alignment horizontal="left" wrapText="1"/>
    </xf>
    <xf numFmtId="3" fontId="30" fillId="0" borderId="10" xfId="0" applyNumberFormat="1" applyFont="1" applyBorder="1" applyAlignment="1">
      <alignment horizontal="left" wrapText="1"/>
    </xf>
    <xf numFmtId="174" fontId="32" fillId="0" borderId="10" xfId="2" applyNumberFormat="1" applyFont="1" applyBorder="1" applyAlignment="1">
      <alignment horizontal="right"/>
    </xf>
    <xf numFmtId="3" fontId="32" fillId="0" borderId="10" xfId="2" applyNumberFormat="1" applyFont="1" applyBorder="1" applyAlignment="1">
      <alignment horizontal="right"/>
    </xf>
    <xf numFmtId="0" fontId="32" fillId="0" borderId="10" xfId="0" applyFont="1" applyBorder="1" applyAlignment="1">
      <alignment horizontal="left"/>
    </xf>
    <xf numFmtId="0" fontId="32" fillId="0" borderId="10" xfId="0" applyFont="1" applyBorder="1" applyAlignment="1">
      <alignment horizontal="left" wrapText="1"/>
    </xf>
    <xf numFmtId="174" fontId="32" fillId="0" borderId="10" xfId="2" applyNumberFormat="1" applyFont="1" applyBorder="1" applyAlignment="1"/>
    <xf numFmtId="0" fontId="32" fillId="0" borderId="10" xfId="0" applyFont="1" applyBorder="1" applyAlignment="1">
      <alignment horizontal="right"/>
    </xf>
    <xf numFmtId="0" fontId="33" fillId="0" borderId="10" xfId="1" applyFont="1" applyFill="1" applyBorder="1" applyAlignment="1">
      <alignment horizontal="left"/>
    </xf>
    <xf numFmtId="0" fontId="32" fillId="0" borderId="10" xfId="0" applyFont="1" applyBorder="1"/>
    <xf numFmtId="0" fontId="34" fillId="0" borderId="10" xfId="0" applyFont="1" applyBorder="1"/>
    <xf numFmtId="175" fontId="34" fillId="0" borderId="10" xfId="0" applyNumberFormat="1" applyFont="1" applyBorder="1" applyAlignment="1">
      <alignment horizontal="right"/>
    </xf>
    <xf numFmtId="0" fontId="34" fillId="0" borderId="10" xfId="0" applyFont="1" applyBorder="1" applyAlignment="1">
      <alignment horizontal="right"/>
    </xf>
    <xf numFmtId="0" fontId="35" fillId="0" borderId="0" xfId="0" applyFont="1"/>
    <xf numFmtId="174" fontId="32" fillId="8" borderId="10" xfId="2" applyNumberFormat="1" applyFont="1" applyFill="1" applyBorder="1" applyAlignment="1">
      <alignment horizontal="right"/>
    </xf>
    <xf numFmtId="0" fontId="30" fillId="0" borderId="10" xfId="0" applyFont="1" applyBorder="1" applyAlignment="1">
      <alignment wrapText="1"/>
    </xf>
    <xf numFmtId="0" fontId="32" fillId="0" borderId="11" xfId="0" applyFont="1" applyBorder="1" applyAlignment="1">
      <alignment horizontal="left" wrapText="1"/>
    </xf>
    <xf numFmtId="0" fontId="33" fillId="0" borderId="11" xfId="1" applyFont="1" applyFill="1" applyBorder="1" applyAlignment="1">
      <alignment horizontal="left" wrapText="1"/>
    </xf>
    <xf numFmtId="0" fontId="32" fillId="0" borderId="11" xfId="0" applyFont="1" applyBorder="1" applyAlignment="1">
      <alignment horizontal="center"/>
    </xf>
    <xf numFmtId="3" fontId="9" fillId="9" borderId="1" xfId="0" applyNumberFormat="1" applyFont="1" applyFill="1" applyBorder="1" applyAlignment="1">
      <alignment horizontal="right"/>
    </xf>
    <xf numFmtId="0" fontId="9" fillId="9" borderId="1" xfId="0" applyFont="1" applyFill="1" applyBorder="1" applyAlignment="1">
      <alignment horizontal="right"/>
    </xf>
    <xf numFmtId="0" fontId="9" fillId="9" borderId="1" xfId="0" applyFont="1" applyFill="1" applyBorder="1"/>
    <xf numFmtId="0" fontId="9" fillId="9" borderId="1" xfId="0" applyFont="1" applyFill="1" applyBorder="1" applyAlignment="1">
      <alignment wrapText="1"/>
    </xf>
    <xf numFmtId="0" fontId="6" fillId="0" borderId="1" xfId="0" applyFont="1" applyBorder="1" applyAlignment="1">
      <alignment horizontal="left" wrapText="1"/>
    </xf>
    <xf numFmtId="0" fontId="9" fillId="0" borderId="5" xfId="0" applyFont="1" applyBorder="1" applyAlignment="1">
      <alignment wrapText="1"/>
    </xf>
    <xf numFmtId="0" fontId="9" fillId="0" borderId="5" xfId="0" applyFont="1" applyBorder="1" applyAlignment="1">
      <alignment horizontal="center" wrapText="1"/>
    </xf>
    <xf numFmtId="0" fontId="9" fillId="0" borderId="5" xfId="0" applyFont="1" applyBorder="1"/>
    <xf numFmtId="0" fontId="5" fillId="0" borderId="4" xfId="0" applyFont="1" applyBorder="1"/>
    <xf numFmtId="0" fontId="9" fillId="0" borderId="1" xfId="0" applyFont="1" applyBorder="1"/>
    <xf numFmtId="0" fontId="0" fillId="0" borderId="2" xfId="0" applyBorder="1"/>
    <xf numFmtId="0" fontId="9" fillId="0" borderId="1" xfId="0" applyFont="1" applyBorder="1" applyAlignment="1">
      <alignment horizontal="center" wrapText="1"/>
    </xf>
    <xf numFmtId="0" fontId="3" fillId="0" borderId="1" xfId="0" applyFont="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left" wrapText="1"/>
    </xf>
    <xf numFmtId="0" fontId="10" fillId="0" borderId="1" xfId="0" applyFont="1" applyBorder="1" applyAlignment="1">
      <alignment horizontal="left" wrapText="1"/>
    </xf>
    <xf numFmtId="0" fontId="10" fillId="0" borderId="1" xfId="0" applyFont="1" applyBorder="1" applyAlignment="1">
      <alignment horizontal="left"/>
    </xf>
    <xf numFmtId="0" fontId="16"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3" fillId="3" borderId="6" xfId="0" applyFont="1" applyFill="1" applyBorder="1" applyAlignment="1">
      <alignment horizontal="center" vertical="center"/>
    </xf>
    <xf numFmtId="0" fontId="4" fillId="0" borderId="0" xfId="0" applyFont="1" applyAlignment="1">
      <alignment horizontal="center" wrapText="1"/>
    </xf>
    <xf numFmtId="0" fontId="0" fillId="0" borderId="0" xfId="0" applyAlignment="1">
      <alignment horizontal="center" wrapText="1"/>
    </xf>
  </cellXfs>
  <cellStyles count="12">
    <cellStyle name="Comma" xfId="2" xr:uid="{00000000-0005-0000-0000-000001000000}"/>
    <cellStyle name="Comma [0]" xfId="3" xr:uid="{00000000-0005-0000-0000-000002000000}"/>
    <cellStyle name="Comma 2" xfId="7" xr:uid="{00000000-0005-0000-0000-000006000000}"/>
    <cellStyle name="Currency" xfId="4" xr:uid="{00000000-0005-0000-0000-000003000000}"/>
    <cellStyle name="Currency [0]" xfId="5" xr:uid="{00000000-0005-0000-0000-000004000000}"/>
    <cellStyle name="Hyperlink" xfId="1" builtinId="8"/>
    <cellStyle name="Hyperlink 1" xfId="8" xr:uid="{00000000-0005-0000-0000-000007000000}"/>
    <cellStyle name="Hyperlink 2" xfId="9" xr:uid="{00000000-0005-0000-0000-000008000000}"/>
    <cellStyle name="Normal" xfId="0" builtinId="0"/>
    <cellStyle name="Normal 2" xfId="10" xr:uid="{00000000-0005-0000-0000-000009000000}"/>
    <cellStyle name="Normal 2 5" xfId="11" xr:uid="{00000000-0005-0000-0000-00000A000000}"/>
    <cellStyle name="Percent" xfId="6" xr:uid="{00000000-0005-0000-0000-000005000000}"/>
  </cellStyles>
  <dxfs count="161">
    <dxf>
      <fill>
        <patternFill>
          <bgColor rgb="FFFF0000"/>
        </patternFill>
      </fill>
    </dxf>
    <dxf>
      <fill>
        <patternFill>
          <bgColor rgb="FFFF0000"/>
        </patternFill>
      </fill>
    </dxf>
    <dxf>
      <fill>
        <patternFill>
          <bgColor rgb="FFFF0000"/>
        </patternFill>
      </fill>
    </dxf>
    <dxf>
      <font>
        <b/>
      </font>
    </dxf>
    <dxf>
      <font>
        <b/>
      </font>
    </dxf>
    <dxf>
      <font>
        <b/>
      </font>
    </dxf>
    <dxf>
      <font>
        <b/>
      </font>
    </dxf>
    <dxf>
      <font>
        <b/>
      </font>
    </dxf>
    <dxf>
      <fill>
        <patternFill>
          <bgColor rgb="FFFFFFBA"/>
        </patternFill>
      </fill>
    </dxf>
    <dxf>
      <fill>
        <patternFill>
          <bgColor theme="6" tint="0.79989013336588644"/>
        </patternFill>
      </fill>
    </dxf>
    <dxf>
      <fill>
        <patternFill>
          <bgColor rgb="FFFFFFBA"/>
        </patternFill>
      </fill>
    </dxf>
    <dxf>
      <fill>
        <patternFill>
          <bgColor rgb="FFFFFFBA"/>
        </patternFill>
      </fill>
    </dxf>
    <dxf>
      <fill>
        <patternFill>
          <bgColor theme="9" tint="0.39988402966399123"/>
        </patternFill>
      </fill>
    </dxf>
    <dxf>
      <fill>
        <patternFill>
          <bgColor theme="6" tint="0.79989013336588644"/>
        </patternFill>
      </fill>
    </dxf>
    <dxf>
      <font>
        <b/>
        <i/>
      </font>
      <fill>
        <patternFill>
          <bgColor rgb="FFE0E0E0"/>
        </patternFill>
      </fill>
    </dxf>
    <dxf>
      <fill>
        <patternFill>
          <bgColor theme="6" tint="0.79989013336588644"/>
        </patternFill>
      </fill>
    </dxf>
    <dxf>
      <fill>
        <patternFill>
          <bgColor rgb="FFFFFFBA"/>
        </patternFill>
      </fill>
    </dxf>
    <dxf>
      <fill>
        <patternFill>
          <bgColor theme="9" tint="0.39988402966399123"/>
        </patternFill>
      </fill>
    </dxf>
    <dxf>
      <fill>
        <patternFill>
          <bgColor theme="6" tint="0.79989013336588644"/>
        </patternFill>
      </fill>
    </dxf>
    <dxf>
      <fill>
        <patternFill>
          <bgColor rgb="FFFFFFBA"/>
        </patternFill>
      </fill>
    </dxf>
    <dxf>
      <fill>
        <patternFill>
          <bgColor theme="9" tint="0.39988402966399123"/>
        </patternFill>
      </fill>
    </dxf>
    <dxf>
      <font>
        <b/>
        <i/>
      </font>
      <fill>
        <patternFill>
          <bgColor rgb="FFE0E0E0"/>
        </patternFill>
      </fill>
    </dxf>
    <dxf>
      <fill>
        <patternFill>
          <bgColor theme="9" tint="0.39988402966399123"/>
        </patternFill>
      </fill>
    </dxf>
    <dxf>
      <fill>
        <patternFill>
          <bgColor rgb="FFFFFFBA"/>
        </patternFill>
      </fill>
    </dxf>
    <dxf>
      <fill>
        <patternFill>
          <bgColor theme="6" tint="0.79989013336588644"/>
        </patternFill>
      </fill>
    </dxf>
    <dxf>
      <fill>
        <patternFill>
          <bgColor theme="9" tint="0.39988402966399123"/>
        </patternFill>
      </fill>
    </dxf>
    <dxf>
      <fill>
        <patternFill>
          <bgColor theme="6" tint="0.79989013336588644"/>
        </patternFill>
      </fill>
    </dxf>
    <dxf>
      <font>
        <b/>
      </font>
    </dxf>
    <dxf>
      <fill>
        <patternFill>
          <bgColor rgb="FFFFFFBA"/>
        </patternFill>
      </fill>
    </dxf>
    <dxf>
      <font>
        <b/>
      </font>
    </dxf>
    <dxf>
      <fill>
        <patternFill>
          <bgColor theme="9" tint="0.39988402966399123"/>
        </patternFill>
      </fill>
    </dxf>
    <dxf>
      <fill>
        <patternFill>
          <bgColor rgb="FFFFFFBA"/>
        </patternFill>
      </fill>
    </dxf>
    <dxf>
      <fill>
        <patternFill>
          <bgColor theme="6" tint="0.79989013336588644"/>
        </patternFill>
      </fill>
    </dxf>
    <dxf>
      <font>
        <b/>
        <i/>
      </font>
      <fill>
        <patternFill>
          <bgColor rgb="FFE0E0E0"/>
        </patternFill>
      </fill>
    </dxf>
    <dxf>
      <font>
        <b/>
      </font>
    </dxf>
    <dxf>
      <font>
        <b/>
        <i/>
      </font>
      <fill>
        <patternFill>
          <bgColor rgb="FFE0E0E0"/>
        </patternFill>
      </fill>
    </dxf>
    <dxf>
      <fill>
        <patternFill>
          <bgColor rgb="FFFF0000"/>
        </patternFill>
      </fill>
    </dxf>
    <dxf>
      <font>
        <b/>
      </font>
    </dxf>
    <dxf>
      <font>
        <b/>
      </font>
    </dxf>
    <dxf>
      <font>
        <b/>
      </font>
    </dxf>
    <dxf>
      <fill>
        <patternFill>
          <bgColor theme="6" tint="0.79989013336588644"/>
        </patternFill>
      </fill>
    </dxf>
    <dxf>
      <fill>
        <patternFill>
          <bgColor rgb="FFFFFFBA"/>
        </patternFill>
      </fill>
    </dxf>
    <dxf>
      <fill>
        <patternFill>
          <bgColor theme="9" tint="0.39988402966399123"/>
        </patternFill>
      </fill>
    </dxf>
    <dxf>
      <fill>
        <patternFill>
          <bgColor theme="9" tint="0.39988402966399123"/>
        </patternFill>
      </fill>
    </dxf>
    <dxf>
      <fill>
        <patternFill>
          <bgColor theme="6" tint="0.79989013336588644"/>
        </patternFill>
      </fill>
    </dxf>
    <dxf>
      <fill>
        <patternFill>
          <bgColor rgb="FFFFFFBA"/>
        </patternFill>
      </fill>
    </dxf>
    <dxf>
      <fill>
        <patternFill>
          <bgColor theme="9" tint="0.39988402966399123"/>
        </patternFill>
      </fill>
    </dxf>
    <dxf>
      <fill>
        <patternFill>
          <bgColor rgb="FFFFFFBA"/>
        </patternFill>
      </fill>
    </dxf>
    <dxf>
      <fill>
        <patternFill>
          <bgColor theme="9" tint="0.39988402966399123"/>
        </patternFill>
      </fill>
    </dxf>
    <dxf>
      <fill>
        <patternFill>
          <bgColor theme="6" tint="0.79989013336588644"/>
        </patternFill>
      </fill>
    </dxf>
    <dxf>
      <fill>
        <patternFill>
          <bgColor rgb="FFFF0000"/>
        </patternFill>
      </fill>
    </dxf>
    <dxf>
      <fill>
        <patternFill>
          <bgColor rgb="FFFF0000"/>
        </patternFill>
      </fill>
    </dxf>
    <dxf>
      <fill>
        <patternFill>
          <bgColor rgb="FFFF0000"/>
        </patternFill>
      </fill>
    </dxf>
    <dxf>
      <font>
        <b/>
      </font>
    </dxf>
    <dxf>
      <fill>
        <patternFill>
          <bgColor theme="6" tint="0.79989013336588644"/>
        </patternFill>
      </fill>
    </dxf>
    <dxf>
      <fill>
        <patternFill>
          <bgColor theme="9" tint="0.39988402966399123"/>
        </patternFill>
      </fill>
    </dxf>
    <dxf>
      <fill>
        <patternFill>
          <bgColor rgb="FFFFFFBA"/>
        </patternFill>
      </fill>
    </dxf>
    <dxf>
      <fill>
        <patternFill>
          <bgColor rgb="FFFFFFBA"/>
        </patternFill>
      </fill>
    </dxf>
    <dxf>
      <fill>
        <patternFill>
          <bgColor theme="9" tint="0.39988402966399123"/>
        </patternFill>
      </fill>
    </dxf>
    <dxf>
      <fill>
        <patternFill>
          <bgColor rgb="FFFFFFBA"/>
        </patternFill>
      </fill>
    </dxf>
    <dxf>
      <fill>
        <patternFill>
          <bgColor theme="6" tint="0.79989013336588644"/>
        </patternFill>
      </fill>
    </dxf>
    <dxf>
      <fill>
        <patternFill>
          <bgColor theme="6" tint="0.79989013336588644"/>
        </patternFill>
      </fill>
    </dxf>
    <dxf>
      <font>
        <b/>
        <i/>
      </font>
      <fill>
        <patternFill>
          <bgColor rgb="FFE0E0E0"/>
        </patternFill>
      </fill>
    </dxf>
    <dxf>
      <fill>
        <patternFill>
          <bgColor theme="9" tint="0.39988402966399123"/>
        </patternFill>
      </fill>
    </dxf>
    <dxf>
      <fill>
        <patternFill>
          <bgColor rgb="FFFFFFBA"/>
        </patternFill>
      </fill>
    </dxf>
    <dxf>
      <fill>
        <patternFill>
          <bgColor theme="9" tint="0.39988402966399123"/>
        </patternFill>
      </fill>
    </dxf>
    <dxf>
      <fill>
        <patternFill>
          <bgColor rgb="FFFFFFBA"/>
        </patternFill>
      </fill>
    </dxf>
    <dxf>
      <fill>
        <patternFill>
          <bgColor theme="6" tint="0.79989013336588644"/>
        </patternFill>
      </fill>
    </dxf>
    <dxf>
      <font>
        <b/>
        <i/>
      </font>
      <fill>
        <patternFill>
          <bgColor rgb="FFE0E0E0"/>
        </patternFill>
      </fill>
    </dxf>
    <dxf>
      <fill>
        <patternFill>
          <bgColor theme="9" tint="0.39988402966399123"/>
        </patternFill>
      </fill>
    </dxf>
    <dxf>
      <fill>
        <patternFill>
          <bgColor rgb="FFFFFFBA"/>
        </patternFill>
      </fill>
    </dxf>
    <dxf>
      <fill>
        <patternFill>
          <bgColor theme="6" tint="0.79989013336588644"/>
        </patternFill>
      </fill>
    </dxf>
    <dxf>
      <fill>
        <patternFill>
          <bgColor theme="9" tint="0.39988402966399123"/>
        </patternFill>
      </fill>
    </dxf>
    <dxf>
      <fill>
        <patternFill>
          <bgColor rgb="FFFFFFBA"/>
        </patternFill>
      </fill>
    </dxf>
    <dxf>
      <fill>
        <patternFill>
          <bgColor theme="6" tint="0.79989013336588644"/>
        </patternFill>
      </fill>
    </dxf>
    <dxf>
      <font>
        <b/>
      </font>
    </dxf>
    <dxf>
      <font>
        <b/>
      </font>
    </dxf>
    <dxf>
      <fill>
        <patternFill>
          <bgColor theme="9" tint="0.39988402966399123"/>
        </patternFill>
      </fill>
    </dxf>
    <dxf>
      <fill>
        <patternFill>
          <bgColor rgb="FFFFFFBA"/>
        </patternFill>
      </fill>
    </dxf>
    <dxf>
      <fill>
        <patternFill>
          <bgColor theme="6" tint="0.79989013336588644"/>
        </patternFill>
      </fill>
    </dxf>
    <dxf>
      <fill>
        <patternFill>
          <bgColor rgb="FFFFFFBA"/>
        </patternFill>
      </fill>
    </dxf>
    <dxf>
      <fill>
        <patternFill>
          <bgColor theme="6" tint="0.79989013336588644"/>
        </patternFill>
      </fill>
    </dxf>
    <dxf>
      <fill>
        <patternFill>
          <bgColor theme="9" tint="0.39988402966399123"/>
        </patternFill>
      </fill>
    </dxf>
    <dxf>
      <fill>
        <patternFill>
          <bgColor rgb="FFFFFFBA"/>
        </patternFill>
      </fill>
    </dxf>
    <dxf>
      <fill>
        <patternFill>
          <bgColor theme="6" tint="0.79989013336588644"/>
        </patternFill>
      </fill>
    </dxf>
    <dxf>
      <font>
        <b/>
        <i/>
      </font>
      <fill>
        <patternFill>
          <bgColor rgb="FFE0E0E0"/>
        </patternFill>
      </fill>
    </dxf>
    <dxf>
      <fill>
        <patternFill>
          <bgColor rgb="FFFF0000"/>
        </patternFill>
      </fill>
    </dxf>
    <dxf>
      <font>
        <b/>
        <i/>
      </font>
      <fill>
        <patternFill>
          <bgColor rgb="FFE0E0E0"/>
        </patternFill>
      </fill>
    </dxf>
    <dxf>
      <font>
        <b/>
      </font>
    </dxf>
    <dxf>
      <fill>
        <patternFill>
          <bgColor rgb="FFFF0000"/>
        </patternFill>
      </fill>
    </dxf>
    <dxf>
      <fill>
        <patternFill>
          <bgColor theme="9" tint="0.39988402966399123"/>
        </patternFill>
      </fill>
    </dxf>
    <dxf>
      <font>
        <b/>
      </font>
    </dxf>
    <dxf>
      <fill>
        <patternFill>
          <bgColor rgb="FFFFFFBA"/>
        </patternFill>
      </fill>
    </dxf>
    <dxf>
      <fill>
        <patternFill>
          <bgColor theme="6" tint="0.79989013336588644"/>
        </patternFill>
      </fill>
    </dxf>
    <dxf>
      <fill>
        <patternFill>
          <bgColor theme="9" tint="0.39988402966399123"/>
        </patternFill>
      </fill>
    </dxf>
    <dxf>
      <fill>
        <patternFill>
          <bgColor rgb="FFFFFFBA"/>
        </patternFill>
      </fill>
    </dxf>
    <dxf>
      <fill>
        <patternFill>
          <bgColor theme="6" tint="0.79989013336588644"/>
        </patternFill>
      </fill>
    </dxf>
    <dxf>
      <fill>
        <patternFill>
          <bgColor theme="9" tint="0.39988402966399123"/>
        </patternFill>
      </fill>
    </dxf>
    <dxf>
      <fill>
        <patternFill>
          <bgColor theme="6" tint="0.79989013336588644"/>
        </patternFill>
      </fill>
    </dxf>
    <dxf>
      <fill>
        <patternFill>
          <bgColor rgb="FFFFFFBA"/>
        </patternFill>
      </fill>
    </dxf>
    <dxf>
      <fill>
        <patternFill>
          <bgColor theme="9" tint="0.39988402966399123"/>
        </patternFill>
      </fill>
    </dxf>
    <dxf>
      <fill>
        <patternFill>
          <bgColor rgb="FFFF0000"/>
        </patternFill>
      </fill>
    </dxf>
    <dxf>
      <fill>
        <patternFill>
          <bgColor rgb="FFFF0000"/>
        </patternFill>
      </fill>
    </dxf>
    <dxf>
      <fill>
        <patternFill>
          <bgColor rgb="FFFF0000"/>
        </patternFill>
      </fill>
    </dxf>
    <dxf>
      <font>
        <b/>
        <i val="0"/>
      </font>
    </dxf>
    <dxf>
      <fill>
        <patternFill>
          <bgColor theme="6" tint="0.79998168889431442"/>
        </patternFill>
      </fill>
    </dxf>
    <dxf>
      <font>
        <b/>
        <i val="0"/>
      </font>
    </dxf>
    <dxf>
      <fill>
        <patternFill>
          <bgColor rgb="FFFFFFBA"/>
        </patternFill>
      </fill>
    </dxf>
    <dxf>
      <fill>
        <patternFill>
          <bgColor rgb="FFFFFFBA"/>
        </patternFill>
      </fill>
    </dxf>
    <dxf>
      <fill>
        <patternFill>
          <bgColor theme="6" tint="0.79989013336588644"/>
        </patternFill>
      </fill>
    </dxf>
    <dxf>
      <font>
        <b/>
        <i val="0"/>
      </font>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theme="6" tint="0.79998168889431442"/>
        </patternFill>
      </fill>
    </dxf>
    <dxf>
      <font>
        <b/>
        <i val="0"/>
      </font>
    </dxf>
    <dxf>
      <fill>
        <patternFill>
          <bgColor rgb="FFFFFFBA"/>
        </patternFill>
      </fill>
    </dxf>
    <dxf>
      <fill>
        <patternFill>
          <bgColor theme="6" tint="0.79989013336588644"/>
        </patternFill>
      </fill>
    </dxf>
    <dxf>
      <fill>
        <patternFill>
          <bgColor theme="9" tint="0.3999450666829432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ont>
        <b/>
        <i val="0"/>
      </font>
    </dxf>
    <dxf>
      <font>
        <b/>
        <i/>
      </font>
      <fill>
        <patternFill patternType="gray125"/>
      </fill>
    </dxf>
    <dxf>
      <font>
        <b/>
        <i/>
      </font>
      <fill>
        <patternFill patternType="gray125"/>
      </fill>
    </dxf>
    <dxf>
      <font>
        <b/>
        <i/>
      </font>
      <fill>
        <patternFill patternType="gray125"/>
      </fill>
    </dxf>
    <dxf>
      <font>
        <b/>
        <i/>
      </font>
      <fill>
        <patternFill>
          <bgColor rgb="FFE0E0E0"/>
        </patternFill>
      </fill>
    </dxf>
    <dxf>
      <fill>
        <patternFill>
          <bgColor rgb="FFFF0000"/>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88402966399123"/>
        </patternFill>
      </fill>
    </dxf>
    <dxf>
      <font>
        <b/>
      </font>
    </dxf>
    <dxf>
      <fill>
        <patternFill>
          <bgColor theme="9" tint="0.39988402966399123"/>
        </patternFill>
      </fill>
    </dxf>
    <dxf>
      <fill>
        <patternFill>
          <bgColor theme="6" tint="0.79989013336588644"/>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7030A0"/>
      <rgbColor rgb="FFFFFFBA"/>
      <rgbColor rgb="FFF2F2F2"/>
      <rgbColor rgb="FF660066"/>
      <rgbColor rgb="FFFF8080"/>
      <rgbColor rgb="FF0066CC"/>
      <rgbColor rgb="FFE0E0E0"/>
      <rgbColor rgb="FF000080"/>
      <rgbColor rgb="FFFF00FF"/>
      <rgbColor rgb="FFFFFF00"/>
      <rgbColor rgb="FF00FFFF"/>
      <rgbColor rgb="FF800080"/>
      <rgbColor rgb="FF800000"/>
      <rgbColor rgb="FF008080"/>
      <rgbColor rgb="FF0000FF"/>
      <rgbColor rgb="FF00B0F0"/>
      <rgbColor rgb="FFCCFFFF"/>
      <rgbColor rgb="FFEBF1DE"/>
      <rgbColor rgb="FFFFFF99"/>
      <rgbColor rgb="FF99CCFF"/>
      <rgbColor rgb="FFFF99CC"/>
      <rgbColor rgb="FFCC99FF"/>
      <rgbColor rgb="FFFAC090"/>
      <rgbColor rgb="FF3366FF"/>
      <rgbColor rgb="FF33CCCC"/>
      <rgbColor rgb="FF92D050"/>
      <rgbColor rgb="FFFFC000"/>
      <rgbColor rgb="FFF79646"/>
      <rgbColor rgb="FFFF6600"/>
      <rgbColor rgb="FF666699"/>
      <rgbColor rgb="FF969696"/>
      <rgbColor rgb="FF003366"/>
      <rgbColor rgb="FF339966"/>
      <rgbColor rgb="FF003300"/>
      <rgbColor rgb="FF212529"/>
      <rgbColor rgb="FF993300"/>
      <rgbColor rgb="FF993366"/>
      <rgbColor rgb="FF333399"/>
      <rgbColor rgb="FF383A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114300</xdr:colOff>
      <xdr:row>33</xdr:row>
      <xdr:rowOff>63500</xdr:rowOff>
    </xdr:to>
    <xdr:sp macro="" textlink="">
      <xdr:nvSpPr>
        <xdr:cNvPr id="1026" name="Text Box 2" hidden="1">
          <a:extLst>
            <a:ext uri="{FF2B5EF4-FFF2-40B4-BE49-F238E27FC236}">
              <a16:creationId xmlns:a16="http://schemas.microsoft.com/office/drawing/2014/main" id="{97BF7551-14ED-F1B8-45A9-AFB72DA0714C}"/>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25400</xdr:colOff>
      <xdr:row>20</xdr:row>
      <xdr:rowOff>57150</xdr:rowOff>
    </xdr:to>
    <xdr:sp macro="" textlink="">
      <xdr:nvSpPr>
        <xdr:cNvPr id="2074" name="Text Box 26" hidden="1">
          <a:extLst>
            <a:ext uri="{FF2B5EF4-FFF2-40B4-BE49-F238E27FC236}">
              <a16:creationId xmlns:a16="http://schemas.microsoft.com/office/drawing/2014/main" id="{3446CEA0-9BE6-34C9-1B58-420D1C00FEAD}"/>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25400</xdr:colOff>
      <xdr:row>19</xdr:row>
      <xdr:rowOff>514350</xdr:rowOff>
    </xdr:to>
    <xdr:sp macro="" textlink="">
      <xdr:nvSpPr>
        <xdr:cNvPr id="3105" name="Text Box 33" hidden="1">
          <a:extLst>
            <a:ext uri="{FF2B5EF4-FFF2-40B4-BE49-F238E27FC236}">
              <a16:creationId xmlns:a16="http://schemas.microsoft.com/office/drawing/2014/main" id="{72D135FA-D486-D296-95FC-0BA007DED2AD}"/>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Jakub Toman" id="{B7322856-7726-4F08-A6C5-52E460039E7D}" userId="S::Jakub.Toman@inl.gov::bf7c5114-fb17-4d32-bc2c-1a30d3cc16ae" providerId="AD"/>
  <person displayName="Chandu Bolisetti" id="{45770540-40A3-4D9B-97C2-39D6A0043F29}" userId="S::Chandrakanth.Bolisetti@inl.gov::ebe2a4a8-97a8-4a90-84d3-f9c2c3532604"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gs>
          </a:gsLst>
          <a:lin ang="16200000" scaled="1"/>
          <a:tileRect/>
        </a:gradFill>
        <a:gradFill>
          <a:gsLst>
            <a:gs pos="0">
              <a:schemeClr val="phClr">
                <a:tint val="51000"/>
              </a:schemeClr>
            </a:gs>
            <a:gs pos="80000">
              <a:schemeClr val="phClr">
                <a:tint val="15000"/>
              </a:schemeClr>
            </a:gs>
            <a:gs pos="100000">
              <a:schemeClr val="phClr">
                <a:tint val="94000"/>
              </a:schemeClr>
            </a:gs>
          </a:gsLst>
          <a:lin ang="16200000" scaled="1"/>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a:gradFill>
        <a:gradFill>
          <a:gsLst>
            <a:gs pos="0">
              <a:schemeClr val="phClr"/>
            </a:gs>
            <a:gs pos="100000">
              <a:schemeClr val="phClr">
                <a:tint val="8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68" dT="2026-07-14T16:11:39.63" personId="{45770540-40A3-4D9B-97C2-39D6A0043F29}" id="{B56C1952-97C6-44D7-9432-F1677C8D64A0}" done="1">
    <text xml:space="preserve">check if we're using cost estimators </text>
  </threadedComment>
  <threadedComment ref="J80" dT="2026-07-14T16:19:23.95" personId="{45770540-40A3-4D9B-97C2-39D6A0043F29}" id="{72913FA6-02F1-4F92-A421-7F26D1CB7466}" done="1">
    <text>replace with cost estimators</text>
  </threadedComment>
  <threadedComment ref="J80" dT="2026-07-14T16:21:19.88" personId="{45770540-40A3-4D9B-97C2-39D6A0043F29}" id="{0D106A65-43E5-4214-AFFE-57633350B97E}" parentId="{72913FA6-02F1-4F92-A421-7F26D1CB7466}">
    <text>overlaps with manipulator building. Remove one of them.</text>
  </threadedComment>
  <threadedComment ref="J80" dT="2026-09-24T00:48:48.26" personId="{B7322856-7726-4F08-A6C5-52E460039E7D}" id="{24B70AC5-B425-4182-BB56-6D2E5B36B74D}" parentId="{72913FA6-02F1-4F92-A421-7F26D1CB7466}">
    <text>Manipulator building volumes set to zero in my baseline python input file: watts_exec_GCMR_A_H1_height_180_3yr_fleet.py</text>
  </threadedComment>
  <threadedComment ref="K140" dT="2026-09-24T03:35:46.21" personId="{B7322856-7726-4F08-A6C5-52E460039E7D}" id="{2B93038D-D836-4C72-8B47-7C42B2DEB65C}">
    <text>Changed to match unit cost of “Inner Vessel Structure” account with material “stainless_steel”. Previous values was $50/kg. I imagine the logic was that the IHX pressure vessel does not need to be nuclear safety graded. Breaking that assumption here. This should make the IHX vessel ~35x more expensive in the current baseline (September 23, 2026).</text>
  </threadedComment>
  <threadedComment ref="K141" dT="2026-09-24T03:39:44.79" personId="{B7322856-7726-4F08-A6C5-52E460039E7D}" id="{1CF750C8-77CF-4E27-87B2-22FFEBE2E286}">
    <text>Changed to match unit cost of “Reactor Support” account. Previous values was $8/kg. I imagine the logic was that the IHX support does not need to be nuclear safety graded. Breaking that assumption here. (September 23, 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K35" dT="2026-09-24T04:51:14.60" personId="{B7322856-7726-4F08-A6C5-52E460039E7D}" id="{068DCE02-74FF-47BF-AA91-236036CF0586}">
    <text>Increased ~13.5x to match Enrique’s engineering judgement of how much this service center should cost. (September 23, 2026)</text>
  </threadedComment>
  <threadedComment ref="K39" dT="2026-09-24T04:04:30.57" personId="{B7322856-7726-4F08-A6C5-52E460039E7D}" id="{9D95DDD6-6B95-44D6-9E68-16117FCA2665}">
    <text>Multiplied by 10 to reflect Enrique’s engineering judgement that this system should be an order-of-magnitude more expensive because it’s receiving dirty helium from reactors that do NOT have continuous purification. (September 23, 2026)</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hyperlink" Target="https://doi.org/10.3929/ethz-b-000709311" TargetMode="External"/><Relationship Id="rId3" Type="http://schemas.openxmlformats.org/officeDocument/2006/relationships/hyperlink" Target="https://doi.org/10.1016/j.rser.2021.111880" TargetMode="External"/><Relationship Id="rId7" Type="http://schemas.openxmlformats.org/officeDocument/2006/relationships/hyperlink" Target="https://www.sciencedirect.com/science/article/pii/S1290072903000218" TargetMode="External"/><Relationship Id="rId12" Type="http://schemas.openxmlformats.org/officeDocument/2006/relationships/hyperlink" Target="https://doi.org/10.1016/j.nucengdes.2023.112470" TargetMode="External"/><Relationship Id="rId2" Type="http://schemas.openxmlformats.org/officeDocument/2006/relationships/hyperlink" Target="https://art.inl.gov/NGNP/INL%20Documents/Year%202012/Assessment%20of%20High%20Temperature%20Gas-Cooled%20Reactor%20-%20HTGR%20-%20Capital%20and%20Operating%20Costs.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inldigitallibrary.inl.gov/sites/sti/sti/Sort_129862.pdf" TargetMode="External"/><Relationship Id="rId11" Type="http://schemas.openxmlformats.org/officeDocument/2006/relationships/hyperlink" Target="https://www.osti.gov/biblio/2447366" TargetMode="External"/><Relationship Id="rId5" Type="http://schemas.openxmlformats.org/officeDocument/2006/relationships/hyperlink" Target="https://doi.org/10.1016/j.rser.2021.111880" TargetMode="External"/><Relationship Id="rId15" Type="http://schemas.openxmlformats.org/officeDocument/2006/relationships/comments" Target="../comments1.xml"/><Relationship Id="rId10" Type="http://schemas.openxmlformats.org/officeDocument/2006/relationships/hyperlink" Target="https://doi.org/10.1016/j.nucengdes.2023.112470" TargetMode="External"/><Relationship Id="rId4" Type="http://schemas.openxmlformats.org/officeDocument/2006/relationships/hyperlink" Target="https://doi.org/10.1016/j.rser.2021.111880" TargetMode="External"/><Relationship Id="rId9" Type="http://schemas.openxmlformats.org/officeDocument/2006/relationships/hyperlink" Target="https://www.osti.gov/servlets/purl/5084245" TargetMode="External"/><Relationship Id="rId1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3929/ethz-b-000709311" TargetMode="External"/><Relationship Id="rId2" Type="http://schemas.openxmlformats.org/officeDocument/2006/relationships/hyperlink" Target="https://doi.org/10.1016/j.nucengdes.2023.112470" TargetMode="External"/><Relationship Id="rId1" Type="http://schemas.openxmlformats.org/officeDocument/2006/relationships/hyperlink" Target="https://inldigitallibrary.inl.gov/sites/sti/sti/Sort_107010.pdf"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doi.org/10.3929/ethz-b-000709311" TargetMode="External"/><Relationship Id="rId7" Type="http://schemas.openxmlformats.org/officeDocument/2006/relationships/comments" Target="../comments2.xml"/><Relationship Id="rId2" Type="http://schemas.openxmlformats.org/officeDocument/2006/relationships/hyperlink" Target="https://www.epri.com/research/products/1018722" TargetMode="External"/><Relationship Id="rId1" Type="http://schemas.openxmlformats.org/officeDocument/2006/relationships/hyperlink" Target="https://inldigitallibrary.inl.gov/sites/sti/sti/Sort_107010.pdf"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hyperlink" Target="https://publications.anl.gov/anlpubs/2019/06/152862.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14"/>
  <sheetViews>
    <sheetView tabSelected="1" topLeftCell="A78" zoomScale="108" workbookViewId="0">
      <selection activeCell="A80" sqref="A80"/>
    </sheetView>
    <sheetView tabSelected="1" workbookViewId="1"/>
  </sheetViews>
  <sheetFormatPr defaultColWidth="10.6328125" defaultRowHeight="13"/>
  <cols>
    <col min="1" max="1" width="8.6328125" style="11" customWidth="1"/>
    <col min="2" max="2" width="9.54296875" style="11" customWidth="1"/>
    <col min="3" max="3" width="29.54296875" style="11" customWidth="1"/>
    <col min="4" max="4" width="41.6328125" style="12" customWidth="1"/>
    <col min="5" max="5" width="14.36328125" style="12" customWidth="1"/>
    <col min="6" max="6" width="21.36328125" style="12" customWidth="1"/>
    <col min="7" max="7" width="18.453125" style="12" customWidth="1"/>
    <col min="8" max="8" width="11" style="12" bestFit="1" customWidth="1"/>
    <col min="9" max="9" width="17.6328125" style="12" customWidth="1"/>
    <col min="10" max="10" width="12.36328125" style="13" customWidth="1"/>
    <col min="11" max="11" width="15.36328125" style="13" customWidth="1"/>
    <col min="12" max="12" width="10" style="11" customWidth="1"/>
    <col min="13" max="13" width="15.6328125" style="11" customWidth="1"/>
    <col min="14" max="14" width="8.6328125" style="11" customWidth="1"/>
    <col min="15" max="15" width="7.36328125" style="11" customWidth="1"/>
    <col min="16" max="16" width="7.6328125" style="11" customWidth="1"/>
    <col min="17" max="17" width="19.81640625" style="11" customWidth="1"/>
    <col min="18" max="18" width="10.6328125" style="11"/>
    <col min="19" max="19" width="29" style="11" customWidth="1"/>
    <col min="20" max="20" width="37.1796875" style="11" customWidth="1"/>
    <col min="21" max="21" width="81.1796875" style="11" customWidth="1"/>
    <col min="22" max="22" width="18.6328125" style="11" customWidth="1"/>
    <col min="23" max="23" width="28.1796875" style="11" customWidth="1"/>
    <col min="24" max="25" width="16.6328125" style="13" customWidth="1"/>
    <col min="26" max="26" width="12.453125" style="11" customWidth="1"/>
    <col min="27" max="28" width="16.6328125" style="13" customWidth="1"/>
    <col min="29" max="29" width="12.453125" style="11" customWidth="1"/>
    <col min="30" max="30" width="6.6328125" style="13" customWidth="1"/>
    <col min="31" max="31" width="21.453125" style="13" customWidth="1"/>
    <col min="32" max="32" width="12.36328125" style="13" customWidth="1"/>
    <col min="33" max="33" width="15.36328125" style="11" customWidth="1"/>
    <col min="34" max="16384" width="10.6328125" style="11"/>
  </cols>
  <sheetData>
    <row r="1" spans="1:33" s="17" customFormat="1" ht="93.75" customHeight="1">
      <c r="A1" s="2" t="s">
        <v>0</v>
      </c>
      <c r="B1" s="14" t="s">
        <v>1</v>
      </c>
      <c r="C1" s="2" t="s">
        <v>2</v>
      </c>
      <c r="D1" s="14" t="s">
        <v>3</v>
      </c>
      <c r="E1" s="14" t="s">
        <v>4</v>
      </c>
      <c r="F1" s="14" t="s">
        <v>5</v>
      </c>
      <c r="G1" s="14" t="s">
        <v>6</v>
      </c>
      <c r="H1" s="14" t="s">
        <v>7</v>
      </c>
      <c r="I1" s="14" t="s">
        <v>8</v>
      </c>
      <c r="J1" s="2" t="s">
        <v>9</v>
      </c>
      <c r="K1" s="2" t="s">
        <v>10</v>
      </c>
      <c r="L1" s="2" t="s">
        <v>11</v>
      </c>
      <c r="M1" s="15" t="s">
        <v>12</v>
      </c>
      <c r="N1" s="2" t="s">
        <v>13</v>
      </c>
      <c r="O1" s="2" t="s">
        <v>14</v>
      </c>
      <c r="P1" s="2" t="s">
        <v>15</v>
      </c>
      <c r="Q1" s="2" t="s">
        <v>16</v>
      </c>
      <c r="R1" s="2" t="s">
        <v>17</v>
      </c>
      <c r="S1" s="2" t="s">
        <v>18</v>
      </c>
      <c r="T1" s="2" t="s">
        <v>19</v>
      </c>
      <c r="U1" s="2" t="s">
        <v>20</v>
      </c>
      <c r="V1" s="2" t="s">
        <v>21</v>
      </c>
      <c r="W1" s="16" t="s">
        <v>22</v>
      </c>
      <c r="X1" s="16" t="s">
        <v>23</v>
      </c>
      <c r="Y1" s="16" t="s">
        <v>24</v>
      </c>
      <c r="Z1" s="16" t="s">
        <v>25</v>
      </c>
      <c r="AA1" s="16" t="s">
        <v>26</v>
      </c>
      <c r="AB1" s="16" t="s">
        <v>27</v>
      </c>
      <c r="AC1" s="16" t="s">
        <v>28</v>
      </c>
      <c r="AD1" s="16" t="s">
        <v>29</v>
      </c>
      <c r="AE1" s="16" t="s">
        <v>30</v>
      </c>
      <c r="AF1" s="16" t="s">
        <v>31</v>
      </c>
      <c r="AG1" s="16" t="s">
        <v>32</v>
      </c>
    </row>
    <row r="2" spans="1:33" s="23" customFormat="1" ht="26.25" customHeight="1">
      <c r="A2" s="15">
        <v>10</v>
      </c>
      <c r="B2" s="18">
        <f>IF(ISNUMBER(A2),
    IF(AND(A2=INT(A2), MOD(A2, 10) = 0), 0,
        IF(AND(A2=INT(A2), LEN(A2)=2), 1,
            IF(AND(A2=INT(A2), LEN(A2)=3), 2,
                LEN(A2) - FIND(".", A2) + 2)
        )
    ),
"")</f>
        <v>0</v>
      </c>
      <c r="C2" s="19" t="s">
        <v>33</v>
      </c>
      <c r="D2" s="19" t="str">
        <f t="shared" ref="D2:D33" si="0">REPT("   ", B2*2) &amp; C2</f>
        <v>Capitalized Pre-Construction Costs</v>
      </c>
      <c r="E2" s="19"/>
      <c r="F2" s="19"/>
      <c r="G2" s="19"/>
      <c r="H2" s="19"/>
      <c r="I2" s="19"/>
      <c r="J2" s="20"/>
      <c r="K2" s="20"/>
      <c r="L2" s="18"/>
      <c r="M2" s="18"/>
      <c r="N2" s="18"/>
      <c r="O2" s="18"/>
      <c r="P2" s="18"/>
      <c r="Q2" s="20"/>
      <c r="R2" s="18"/>
      <c r="S2" s="14"/>
      <c r="T2" s="18"/>
      <c r="U2" s="18"/>
      <c r="V2" s="18"/>
      <c r="W2" s="21"/>
      <c r="X2" s="22"/>
      <c r="Y2" s="22"/>
      <c r="Z2" s="21"/>
      <c r="AA2" s="22"/>
      <c r="AB2" s="22"/>
      <c r="AC2" s="21"/>
      <c r="AD2" s="22"/>
      <c r="AE2" s="22"/>
      <c r="AF2" s="22"/>
      <c r="AG2" s="21"/>
    </row>
    <row r="3" spans="1:33" ht="45" customHeight="1">
      <c r="A3" s="15">
        <v>11</v>
      </c>
      <c r="B3" s="18">
        <f>IF(ISNUMBER(A3),
    IF(AND(A3=INT(A3), MOD(A3, 10) = 0), 0,
        IF(AND(A3=INT(A3), LEN(A3)=2), 1,
            IF(AND(A3=INT(A3), LEN(A3)=3), 2,
                LEN(A3) - FIND(".", A3) + 2)
        )
    ),
"")</f>
        <v>1</v>
      </c>
      <c r="C3" s="24" t="s">
        <v>34</v>
      </c>
      <c r="D3" s="19" t="str">
        <f t="shared" si="0"/>
        <v xml:space="preserve">      Land Cost</v>
      </c>
      <c r="E3" s="19" t="s">
        <v>35</v>
      </c>
      <c r="F3" s="19"/>
      <c r="G3" s="19"/>
      <c r="H3" s="19"/>
      <c r="I3" s="19"/>
      <c r="J3" s="25"/>
      <c r="K3" s="26">
        <v>3800</v>
      </c>
      <c r="L3" s="27" t="s">
        <v>36</v>
      </c>
      <c r="M3" s="27" t="s">
        <v>37</v>
      </c>
      <c r="N3" s="28"/>
      <c r="O3" s="27" t="s">
        <v>38</v>
      </c>
      <c r="P3" s="27"/>
      <c r="Q3" s="29">
        <v>2022</v>
      </c>
      <c r="R3" s="27" t="s">
        <v>39</v>
      </c>
      <c r="S3" s="10" t="s">
        <v>40</v>
      </c>
      <c r="T3" s="203" t="s">
        <v>41</v>
      </c>
      <c r="U3" s="205" t="s">
        <v>42</v>
      </c>
      <c r="V3" s="4"/>
      <c r="W3" s="21" t="s">
        <v>43</v>
      </c>
      <c r="X3" s="30">
        <f>0.9*$J3</f>
        <v>0</v>
      </c>
      <c r="Y3" s="30">
        <f>1.5*J3</f>
        <v>0</v>
      </c>
      <c r="Z3" s="21" t="s">
        <v>44</v>
      </c>
      <c r="AA3" s="22">
        <f>0.9*K3</f>
        <v>3420</v>
      </c>
      <c r="AB3" s="22">
        <f>1.3*K3</f>
        <v>4940</v>
      </c>
      <c r="AC3" s="21" t="s">
        <v>44</v>
      </c>
      <c r="AD3" s="22" t="s">
        <v>45</v>
      </c>
      <c r="AE3" s="22" t="s">
        <v>46</v>
      </c>
      <c r="AF3" s="22" t="s">
        <v>47</v>
      </c>
      <c r="AG3" s="21" t="s">
        <v>48</v>
      </c>
    </row>
    <row r="4" spans="1:33" ht="26.25" customHeight="1">
      <c r="A4" s="15">
        <v>12</v>
      </c>
      <c r="B4" s="18">
        <f>IF(ISNUMBER(A4),
IF(AND(A4=INT(A4), MOD(A4, 10) = 0), 0,
IF(AND(A4=INT(A4), LEN(A4)=2), 1,
IF(AND(A4=INT(A4), LEN(A4)=3), 2,
LEN(A4) - FIND(".", A4) + 2)
)
),
"")</f>
        <v>1</v>
      </c>
      <c r="C4" s="24" t="s">
        <v>49</v>
      </c>
      <c r="D4" s="19" t="str">
        <f t="shared" si="0"/>
        <v xml:space="preserve">      Site Permits</v>
      </c>
      <c r="E4" s="19" t="s">
        <v>35</v>
      </c>
      <c r="F4" s="19"/>
      <c r="G4" s="19"/>
      <c r="H4" s="19"/>
      <c r="I4" s="19"/>
      <c r="J4" s="25"/>
      <c r="K4" s="26">
        <f>10.03*1000</f>
        <v>10030</v>
      </c>
      <c r="L4" s="27" t="s">
        <v>50</v>
      </c>
      <c r="M4" s="27" t="s">
        <v>51</v>
      </c>
      <c r="N4" s="28"/>
      <c r="O4" s="27" t="s">
        <v>52</v>
      </c>
      <c r="P4" s="27"/>
      <c r="Q4" s="29">
        <v>2022</v>
      </c>
      <c r="R4" s="27" t="s">
        <v>53</v>
      </c>
      <c r="S4" s="10" t="s">
        <v>54</v>
      </c>
      <c r="T4" s="203"/>
      <c r="U4" s="203"/>
      <c r="V4" s="4"/>
      <c r="W4" s="21" t="s">
        <v>43</v>
      </c>
      <c r="X4" s="30">
        <f>0.9*$J4</f>
        <v>0</v>
      </c>
      <c r="Y4" s="30">
        <f>1.5*J4</f>
        <v>0</v>
      </c>
      <c r="Z4" s="21" t="s">
        <v>44</v>
      </c>
      <c r="AA4" s="22">
        <f>0.9*K4</f>
        <v>9027</v>
      </c>
      <c r="AB4" s="22">
        <f>1.3*K4</f>
        <v>13039</v>
      </c>
      <c r="AC4" s="21" t="s">
        <v>44</v>
      </c>
      <c r="AD4" s="22" t="s">
        <v>45</v>
      </c>
      <c r="AE4" s="22" t="s">
        <v>46</v>
      </c>
      <c r="AF4" s="22" t="s">
        <v>47</v>
      </c>
      <c r="AG4" s="21" t="s">
        <v>48</v>
      </c>
    </row>
    <row r="5" spans="1:33" ht="113.25" customHeight="1">
      <c r="A5" s="15">
        <v>13</v>
      </c>
      <c r="B5" s="18">
        <f>IF(ISNUMBER(A5),
IF(AND(A5=INT(A5), MOD(A5, 10) = 0), 0,
IF(AND(A5=INT(A5), LEN(A5)=2), 1,
IF(AND(A5=INT(A5), LEN(A5)=3), 2,
LEN(A5) - FIND(".", A5) + 2)
)
),
"")</f>
        <v>1</v>
      </c>
      <c r="C5" s="24" t="s">
        <v>55</v>
      </c>
      <c r="D5" s="19" t="str">
        <f t="shared" si="0"/>
        <v xml:space="preserve">      Plant Licensing</v>
      </c>
      <c r="E5" s="19" t="s">
        <v>35</v>
      </c>
      <c r="F5" s="19"/>
      <c r="G5" s="19"/>
      <c r="H5" s="19"/>
      <c r="I5" s="19"/>
      <c r="J5" s="25">
        <f>0.5*(X5+Y5)</f>
        <v>28113008</v>
      </c>
      <c r="K5" s="26"/>
      <c r="L5" s="28"/>
      <c r="M5" s="28"/>
      <c r="N5" s="28"/>
      <c r="O5" s="27"/>
      <c r="P5" s="27"/>
      <c r="Q5" s="29">
        <v>2025</v>
      </c>
      <c r="R5" s="27" t="s">
        <v>53</v>
      </c>
      <c r="S5" s="10" t="s">
        <v>56</v>
      </c>
      <c r="T5" s="31" t="s">
        <v>57</v>
      </c>
      <c r="U5" s="205" t="s">
        <v>58</v>
      </c>
      <c r="V5" s="4"/>
      <c r="W5" s="21" t="s">
        <v>59</v>
      </c>
      <c r="X5" s="30">
        <f>154*108000</f>
        <v>16632000</v>
      </c>
      <c r="Y5" s="30">
        <f>154*257104</f>
        <v>39594016</v>
      </c>
      <c r="Z5" s="21" t="s">
        <v>60</v>
      </c>
      <c r="AA5" s="22">
        <f>0.9*K5</f>
        <v>0</v>
      </c>
      <c r="AB5" s="22">
        <f>1.3*K5</f>
        <v>0</v>
      </c>
      <c r="AC5" s="21" t="s">
        <v>44</v>
      </c>
      <c r="AD5" s="22" t="s">
        <v>45</v>
      </c>
      <c r="AE5" s="22" t="s">
        <v>46</v>
      </c>
      <c r="AF5" s="22" t="s">
        <v>47</v>
      </c>
      <c r="AG5" s="21" t="s">
        <v>48</v>
      </c>
    </row>
    <row r="6" spans="1:33" ht="26.25" customHeight="1">
      <c r="A6" s="15">
        <v>14</v>
      </c>
      <c r="B6" s="18">
        <f>IF(ISNUMBER(A6),
IF(AND(A6=INT(A6), MOD(A6, 10) = 0), 0,
IF(AND(A6=INT(A6), LEN(A6)=2), 1,
IF(AND(A6=INT(A6), LEN(A6)=3), 2,
LEN(A6) - FIND(".", A6) + 2)
)
),
"")</f>
        <v>1</v>
      </c>
      <c r="C6" s="24" t="s">
        <v>61</v>
      </c>
      <c r="D6" s="19" t="str">
        <f t="shared" si="0"/>
        <v xml:space="preserve">      Plant Permits</v>
      </c>
      <c r="E6" s="19" t="s">
        <v>35</v>
      </c>
      <c r="F6" s="19"/>
      <c r="G6" s="19"/>
      <c r="H6" s="19"/>
      <c r="I6" s="19"/>
      <c r="J6" s="25">
        <v>3000000</v>
      </c>
      <c r="K6" s="26"/>
      <c r="L6" s="28"/>
      <c r="M6" s="28"/>
      <c r="N6" s="28"/>
      <c r="O6" s="27"/>
      <c r="P6" s="27"/>
      <c r="Q6" s="29">
        <v>2009</v>
      </c>
      <c r="R6" s="27" t="s">
        <v>53</v>
      </c>
      <c r="S6" s="10" t="s">
        <v>62</v>
      </c>
      <c r="T6" s="32" t="s">
        <v>63</v>
      </c>
      <c r="U6" s="205"/>
      <c r="V6" s="4"/>
      <c r="W6" s="21" t="s">
        <v>43</v>
      </c>
      <c r="X6" s="30">
        <f>0.9*$J6</f>
        <v>2700000</v>
      </c>
      <c r="Y6" s="30">
        <f>1.5*J6</f>
        <v>4500000</v>
      </c>
      <c r="Z6" s="21" t="s">
        <v>44</v>
      </c>
      <c r="AA6" s="22">
        <f>0.9*K6</f>
        <v>0</v>
      </c>
      <c r="AB6" s="22">
        <f>1.3*K6</f>
        <v>0</v>
      </c>
      <c r="AC6" s="21" t="s">
        <v>44</v>
      </c>
      <c r="AD6" s="22" t="s">
        <v>45</v>
      </c>
      <c r="AE6" s="22" t="s">
        <v>46</v>
      </c>
      <c r="AF6" s="22" t="s">
        <v>47</v>
      </c>
      <c r="AG6" s="21" t="s">
        <v>48</v>
      </c>
    </row>
    <row r="7" spans="1:33" ht="42.75" customHeight="1">
      <c r="A7" s="15">
        <v>15</v>
      </c>
      <c r="B7" s="18">
        <f>IF(ISNUMBER(A7),
IF(AND(A7=INT(A7), MOD(A7, 10) = 0), 0,
IF(AND(A7=INT(A7), LEN(A7)=2), 1,
IF(AND(A7=INT(A7), LEN(A7)=3), 2,
LEN(A7) - FIND(".", A7) + 2)
)
),
"")</f>
        <v>1</v>
      </c>
      <c r="C7" s="24" t="s">
        <v>64</v>
      </c>
      <c r="D7" s="19" t="str">
        <f t="shared" si="0"/>
        <v xml:space="preserve">      Plant Studies</v>
      </c>
      <c r="E7" s="19" t="s">
        <v>35</v>
      </c>
      <c r="F7" s="19"/>
      <c r="G7" s="19"/>
      <c r="H7" s="19"/>
      <c r="I7" s="19"/>
      <c r="J7" s="25">
        <f>MARVEL_Cost!C4</f>
        <v>5210451</v>
      </c>
      <c r="K7" s="26"/>
      <c r="L7" s="28"/>
      <c r="M7" s="28"/>
      <c r="N7" s="28"/>
      <c r="O7" s="27"/>
      <c r="P7" s="27"/>
      <c r="Q7" s="29">
        <v>2024</v>
      </c>
      <c r="R7" s="27" t="s">
        <v>53</v>
      </c>
      <c r="S7" s="10" t="s">
        <v>65</v>
      </c>
      <c r="T7" s="10" t="s">
        <v>66</v>
      </c>
      <c r="U7" s="4" t="s">
        <v>67</v>
      </c>
      <c r="V7" s="27" t="s">
        <v>68</v>
      </c>
      <c r="W7" s="21" t="s">
        <v>43</v>
      </c>
      <c r="X7" s="30">
        <f>0.9*$J7</f>
        <v>4689405.9000000004</v>
      </c>
      <c r="Y7" s="30">
        <f>1.5*J7</f>
        <v>7815676.5</v>
      </c>
      <c r="Z7" s="21" t="s">
        <v>44</v>
      </c>
      <c r="AA7" s="22">
        <f>0.9*K7</f>
        <v>0</v>
      </c>
      <c r="AB7" s="22">
        <f>1.3*K7</f>
        <v>0</v>
      </c>
      <c r="AC7" s="21" t="s">
        <v>44</v>
      </c>
      <c r="AD7" s="22" t="s">
        <v>45</v>
      </c>
      <c r="AE7" s="22" t="s">
        <v>46</v>
      </c>
      <c r="AF7" s="22" t="s">
        <v>47</v>
      </c>
      <c r="AG7" s="21" t="s">
        <v>48</v>
      </c>
    </row>
    <row r="8" spans="1:33" ht="26.25" customHeight="1">
      <c r="A8" s="2">
        <v>20</v>
      </c>
      <c r="B8" s="18">
        <f>IF(ISNUMBER(A8),
    IF(AND(A8=INT(A8), MOD(A8, 10) = 0), 0,
        IF(AND(A8=INT(A8), LEN(A8)=2), 1,
            IF(AND(A8=INT(A8), LEN(A8)=3), 2,
                LEN(A8) - FIND(".", A8) + 2)
        )
    ),
"")</f>
        <v>0</v>
      </c>
      <c r="C8" s="24" t="s">
        <v>69</v>
      </c>
      <c r="D8" s="19" t="str">
        <f t="shared" si="0"/>
        <v>Capitalized Direct Costs</v>
      </c>
      <c r="E8" s="19"/>
      <c r="F8" s="19"/>
      <c r="G8" s="19"/>
      <c r="H8" s="19"/>
      <c r="I8" s="19"/>
      <c r="J8" s="25"/>
      <c r="K8" s="33"/>
      <c r="L8" s="2"/>
      <c r="M8" s="15"/>
      <c r="N8" s="2"/>
      <c r="O8" s="2"/>
      <c r="P8" s="2"/>
      <c r="Q8" s="34"/>
      <c r="R8" s="2"/>
      <c r="S8" s="2"/>
      <c r="T8" s="2"/>
      <c r="U8" s="2"/>
      <c r="V8" s="2"/>
      <c r="W8" s="21"/>
      <c r="X8" s="30"/>
      <c r="Y8" s="30"/>
      <c r="Z8" s="21"/>
      <c r="AA8" s="22"/>
      <c r="AB8" s="22"/>
      <c r="AC8" s="21"/>
      <c r="AD8" s="22"/>
      <c r="AE8" s="22"/>
      <c r="AF8" s="22"/>
      <c r="AG8" s="21"/>
    </row>
    <row r="9" spans="1:33" ht="26.25" customHeight="1">
      <c r="A9" s="15">
        <v>21</v>
      </c>
      <c r="B9" s="18">
        <f>IF(ISNUMBER(A9),
IF(AND(A9=INT(A9), MOD(A9, 10) = 0), 0,
IF(AND(A9=INT(A9), LEN(A9)=2), 1,
IF(AND(A9=INT(A9), LEN(A9)=3), 2,
LEN(A9) - FIND(".", A9) + 2)
)
),
"")</f>
        <v>1</v>
      </c>
      <c r="C9" s="24" t="s">
        <v>70</v>
      </c>
      <c r="D9" s="19" t="str">
        <f t="shared" si="0"/>
        <v xml:space="preserve">      Structures and Improvements</v>
      </c>
      <c r="E9" s="19"/>
      <c r="F9" s="19"/>
      <c r="G9" s="19"/>
      <c r="H9" s="19"/>
      <c r="I9" s="19"/>
      <c r="J9" s="25"/>
      <c r="K9" s="26"/>
      <c r="L9" s="28"/>
      <c r="M9" s="28"/>
      <c r="N9" s="28"/>
      <c r="O9" s="28"/>
      <c r="P9" s="28"/>
      <c r="Q9" s="25"/>
      <c r="R9" s="28"/>
      <c r="S9" s="35"/>
      <c r="T9" s="28"/>
      <c r="U9" s="28"/>
      <c r="V9" s="4"/>
      <c r="W9" s="21"/>
      <c r="X9" s="30"/>
      <c r="Y9" s="30"/>
      <c r="Z9" s="21"/>
      <c r="AA9" s="22"/>
      <c r="AB9" s="22"/>
      <c r="AC9" s="21"/>
      <c r="AD9" s="22"/>
      <c r="AE9" s="22"/>
      <c r="AF9" s="22"/>
      <c r="AG9" s="21"/>
    </row>
    <row r="10" spans="1:33" ht="26.25" customHeight="1">
      <c r="A10" s="36">
        <v>211</v>
      </c>
      <c r="B10" s="18">
        <f>IF(ISNUMBER(A10),
IF(AND(A10=INT(A10), MOD(A10, 10) = 0), 0,
IF(AND(A10=INT(A10), LEN(A10)=2), 1,
IF(AND(A10=INT(A10), LEN(A10)=3), 2,
LEN(A10) - FIND(".", A10) + 2)
)
),
"")</f>
        <v>2</v>
      </c>
      <c r="C10" s="24" t="s">
        <v>71</v>
      </c>
      <c r="D10" s="19" t="str">
        <f t="shared" si="0"/>
        <v xml:space="preserve">            Site Preparation/ Yard Work</v>
      </c>
      <c r="E10" s="19"/>
      <c r="F10" s="19"/>
      <c r="G10" s="19"/>
      <c r="H10" s="19"/>
      <c r="I10" s="19"/>
      <c r="J10" s="25"/>
      <c r="K10" s="26"/>
      <c r="L10" s="28"/>
      <c r="M10" s="28"/>
      <c r="N10" s="28"/>
      <c r="O10" s="28"/>
      <c r="P10" s="28"/>
      <c r="Q10" s="25"/>
      <c r="R10" s="28"/>
      <c r="S10" s="35"/>
      <c r="T10" s="28"/>
      <c r="U10" s="28"/>
      <c r="V10" s="4"/>
      <c r="W10" s="21"/>
      <c r="X10" s="30"/>
      <c r="Y10" s="30"/>
      <c r="Z10" s="21"/>
      <c r="AA10" s="22"/>
      <c r="AB10" s="22"/>
      <c r="AC10" s="21"/>
      <c r="AD10" s="22"/>
      <c r="AE10" s="22"/>
      <c r="AF10" s="22"/>
      <c r="AG10" s="21"/>
    </row>
    <row r="11" spans="1:33" ht="26.25" customHeight="1">
      <c r="A11" s="37">
        <v>211.1</v>
      </c>
      <c r="B11" s="18">
        <f>IF(ISNUMBER(A11),
IF(AND(A11=INT(A11), MOD(A11, 10) = 0), 0,
IF(AND(A11=INT(A11), LEN(A11)=2), 1,
IF(AND(A11=INT(A11), LEN(A11)=3), 2,
LEN(A11) - FIND(".", A11) + 2)
)
),
"")</f>
        <v>3</v>
      </c>
      <c r="C11" s="24" t="s">
        <v>72</v>
      </c>
      <c r="D11" s="19" t="str">
        <f t="shared" si="0"/>
        <v xml:space="preserve">                  Cleaning and Grubbing</v>
      </c>
      <c r="E11" s="19" t="s">
        <v>35</v>
      </c>
      <c r="F11" s="19"/>
      <c r="G11" s="19"/>
      <c r="H11" s="19"/>
      <c r="I11" s="19"/>
      <c r="J11" s="25"/>
      <c r="K11" s="26">
        <f>4408.18*1.33</f>
        <v>5862.8794000000007</v>
      </c>
      <c r="L11" s="27" t="s">
        <v>36</v>
      </c>
      <c r="M11" s="27" t="s">
        <v>37</v>
      </c>
      <c r="N11" s="28"/>
      <c r="O11" s="27" t="s">
        <v>38</v>
      </c>
      <c r="P11" s="28"/>
      <c r="Q11" s="29">
        <v>2024</v>
      </c>
      <c r="R11" s="27" t="s">
        <v>73</v>
      </c>
      <c r="S11" s="203" t="s">
        <v>74</v>
      </c>
      <c r="T11" s="203" t="s">
        <v>75</v>
      </c>
      <c r="U11" s="204" t="s">
        <v>76</v>
      </c>
      <c r="V11" s="4"/>
      <c r="W11" s="21" t="s">
        <v>77</v>
      </c>
      <c r="X11" s="30">
        <f>0.9*$J11</f>
        <v>0</v>
      </c>
      <c r="Y11" s="30">
        <f>1.5*J11</f>
        <v>0</v>
      </c>
      <c r="Z11" s="21" t="s">
        <v>44</v>
      </c>
      <c r="AA11" s="22">
        <f>0.9*K11</f>
        <v>5276.5914600000006</v>
      </c>
      <c r="AB11" s="22">
        <f>1.3*K11</f>
        <v>7621.7432200000012</v>
      </c>
      <c r="AC11" s="21" t="s">
        <v>44</v>
      </c>
      <c r="AD11" s="22" t="s">
        <v>45</v>
      </c>
      <c r="AE11" s="22" t="s">
        <v>46</v>
      </c>
      <c r="AF11" s="22" t="s">
        <v>47</v>
      </c>
      <c r="AG11" s="21" t="s">
        <v>48</v>
      </c>
    </row>
    <row r="12" spans="1:33" ht="26.25" customHeight="1">
      <c r="A12" s="36">
        <v>211.2</v>
      </c>
      <c r="B12" s="18">
        <f>IF(ISNUMBER(A12),
    IF(AND(A12=INT(A12), MOD(A12, 10) = 0), 0,
        IF(AND(A12=INT(A12), LEN(A12)=2), 1,
            IF(AND(A12=INT(A12), LEN(A12)=3), 2,
                LEN(A12) - FIND(".", A12) + 2)
        )
    ),
"")</f>
        <v>3</v>
      </c>
      <c r="C12" s="24" t="s">
        <v>78</v>
      </c>
      <c r="D12" s="19" t="str">
        <f t="shared" si="0"/>
        <v xml:space="preserve">                  Stripping Topsoil</v>
      </c>
      <c r="E12" s="19" t="s">
        <v>35</v>
      </c>
      <c r="F12" s="19"/>
      <c r="G12" s="19"/>
      <c r="H12" s="19"/>
      <c r="I12" s="19"/>
      <c r="J12" s="25"/>
      <c r="K12" s="26">
        <f>2565.2*1.33</f>
        <v>3411.7159999999999</v>
      </c>
      <c r="L12" s="27" t="s">
        <v>36</v>
      </c>
      <c r="M12" s="27" t="s">
        <v>37</v>
      </c>
      <c r="N12" s="28"/>
      <c r="O12" s="27" t="s">
        <v>38</v>
      </c>
      <c r="P12" s="28"/>
      <c r="Q12" s="29">
        <v>2024</v>
      </c>
      <c r="R12" s="27" t="s">
        <v>73</v>
      </c>
      <c r="S12" s="203"/>
      <c r="T12" s="203"/>
      <c r="U12" s="203"/>
      <c r="V12" s="4"/>
      <c r="W12" s="21" t="s">
        <v>77</v>
      </c>
      <c r="X12" s="30">
        <f>0.9*$J12</f>
        <v>0</v>
      </c>
      <c r="Y12" s="30">
        <f>1.5*J12</f>
        <v>0</v>
      </c>
      <c r="Z12" s="21" t="s">
        <v>44</v>
      </c>
      <c r="AA12" s="22">
        <f>0.9*K12</f>
        <v>3070.5443999999998</v>
      </c>
      <c r="AB12" s="22">
        <f>1.3*K12</f>
        <v>4435.2308000000003</v>
      </c>
      <c r="AC12" s="21" t="s">
        <v>44</v>
      </c>
      <c r="AD12" s="22" t="s">
        <v>45</v>
      </c>
      <c r="AE12" s="22" t="s">
        <v>46</v>
      </c>
      <c r="AF12" s="22" t="s">
        <v>47</v>
      </c>
      <c r="AG12" s="21" t="s">
        <v>48</v>
      </c>
    </row>
    <row r="13" spans="1:33" ht="147.75" customHeight="1">
      <c r="A13" s="36">
        <v>211.3</v>
      </c>
      <c r="B13" s="18">
        <f>IF(ISNUMBER(A13),
IF(AND(A13=INT(A13), MOD(A13, 10) = 0), 0,
IF(AND(A13=INT(A13), LEN(A13)=2), 1,
IF(AND(A13=INT(A13), LEN(A13)=3), 2,
LEN(A13) - FIND(".", A13) + 2)
)
),
"")</f>
        <v>3</v>
      </c>
      <c r="C13" s="24" t="s">
        <v>79</v>
      </c>
      <c r="D13" s="19" t="str">
        <f t="shared" si="0"/>
        <v xml:space="preserve">                  Excavation</v>
      </c>
      <c r="E13" s="19" t="s">
        <v>35</v>
      </c>
      <c r="F13" s="19"/>
      <c r="G13" s="19"/>
      <c r="H13" s="19"/>
      <c r="I13" s="19"/>
      <c r="J13" s="25"/>
      <c r="K13" s="26">
        <f>22.86*1.4</f>
        <v>32.003999999999998</v>
      </c>
      <c r="L13" s="27" t="s">
        <v>80</v>
      </c>
      <c r="M13" s="27" t="s">
        <v>81</v>
      </c>
      <c r="N13" s="28"/>
      <c r="O13" s="27" t="s">
        <v>82</v>
      </c>
      <c r="P13" s="28"/>
      <c r="Q13" s="29">
        <v>2024</v>
      </c>
      <c r="R13" s="27" t="s">
        <v>73</v>
      </c>
      <c r="S13" s="203"/>
      <c r="T13" s="203"/>
      <c r="U13" s="203"/>
      <c r="V13" s="4"/>
      <c r="W13" s="21" t="s">
        <v>77</v>
      </c>
      <c r="X13" s="30">
        <f>0.9*$J13</f>
        <v>0</v>
      </c>
      <c r="Y13" s="30">
        <f>1.5*J13</f>
        <v>0</v>
      </c>
      <c r="Z13" s="21" t="s">
        <v>44</v>
      </c>
      <c r="AA13" s="22">
        <f>0.9*K13</f>
        <v>28.803599999999999</v>
      </c>
      <c r="AB13" s="22">
        <f>1.3*K13</f>
        <v>41.605199999999996</v>
      </c>
      <c r="AC13" s="21" t="s">
        <v>44</v>
      </c>
      <c r="AD13" s="22" t="s">
        <v>45</v>
      </c>
      <c r="AE13" s="22" t="s">
        <v>46</v>
      </c>
      <c r="AF13" s="22" t="s">
        <v>47</v>
      </c>
      <c r="AG13" s="21" t="s">
        <v>48</v>
      </c>
    </row>
    <row r="14" spans="1:33" ht="34.5" customHeight="1">
      <c r="A14" s="36">
        <v>211.4</v>
      </c>
      <c r="B14" s="18">
        <f>IF(ISNUMBER(A14),
    IF(AND(A14=INT(A14), MOD(A14, 10) = 0), 0,
        IF(AND(A14=INT(A14), LEN(A14)=2), 1,
            IF(AND(A14=INT(A14), LEN(A14)=3), 2,
                LEN(A14) - FIND(".", A14) + 2)
        )
    ),
"")</f>
        <v>3</v>
      </c>
      <c r="C14" s="24" t="s">
        <v>83</v>
      </c>
      <c r="D14" s="19" t="str">
        <f t="shared" si="0"/>
        <v xml:space="preserve">                  Roads</v>
      </c>
      <c r="E14" s="19" t="s">
        <v>35</v>
      </c>
      <c r="F14" s="19"/>
      <c r="G14" s="19"/>
      <c r="H14" s="19"/>
      <c r="I14" s="19"/>
      <c r="J14" s="25"/>
      <c r="K14" s="26">
        <f>0.7*7873200*1.609/1000</f>
        <v>8867.5851600000005</v>
      </c>
      <c r="L14" s="27" t="s">
        <v>84</v>
      </c>
      <c r="M14" s="27" t="s">
        <v>85</v>
      </c>
      <c r="N14" s="28"/>
      <c r="O14" s="27" t="s">
        <v>86</v>
      </c>
      <c r="P14" s="28"/>
      <c r="Q14" s="29">
        <v>2025</v>
      </c>
      <c r="R14" s="27" t="s">
        <v>39</v>
      </c>
      <c r="S14" s="38" t="s">
        <v>87</v>
      </c>
      <c r="T14" s="10"/>
      <c r="U14" s="39"/>
      <c r="V14" s="4"/>
      <c r="W14" s="21" t="s">
        <v>77</v>
      </c>
      <c r="X14" s="30">
        <f>0.9*$J14</f>
        <v>0</v>
      </c>
      <c r="Y14" s="30">
        <f>1.5*J14</f>
        <v>0</v>
      </c>
      <c r="Z14" s="21" t="s">
        <v>44</v>
      </c>
      <c r="AA14" s="22">
        <f>0.9*K14</f>
        <v>7980.8266440000007</v>
      </c>
      <c r="AB14" s="22">
        <f>1.3*K14</f>
        <v>11527.860708000002</v>
      </c>
      <c r="AC14" s="21" t="s">
        <v>44</v>
      </c>
      <c r="AD14" s="22" t="s">
        <v>45</v>
      </c>
      <c r="AE14" s="22" t="s">
        <v>46</v>
      </c>
      <c r="AF14" s="22" t="s">
        <v>47</v>
      </c>
      <c r="AG14" s="21" t="s">
        <v>48</v>
      </c>
    </row>
    <row r="15" spans="1:33" ht="13.5" customHeight="1">
      <c r="A15" s="36">
        <v>211.9</v>
      </c>
      <c r="B15" s="18">
        <f>IF(ISNUMBER(A15),
    IF(AND(A15=INT(A15), MOD(A15, 10) = 0), 0,
        IF(AND(A15=INT(A15), LEN(A15)=2), 1,
            IF(AND(A15=INT(A15), LEN(A15)=3), 2,
                LEN(A15) - FIND(".", A15) + 2)
        )
    ),
"")</f>
        <v>3</v>
      </c>
      <c r="C15" s="24" t="s">
        <v>88</v>
      </c>
      <c r="D15" s="19" t="str">
        <f t="shared" si="0"/>
        <v xml:space="preserve">                  Security Fencing</v>
      </c>
      <c r="E15" s="19"/>
      <c r="F15" s="19"/>
      <c r="G15" s="19"/>
      <c r="H15" s="19"/>
      <c r="I15" s="19"/>
      <c r="J15" s="25"/>
      <c r="K15" s="26"/>
      <c r="L15" s="27"/>
      <c r="M15" s="27"/>
      <c r="N15" s="28"/>
      <c r="O15" s="27"/>
      <c r="P15" s="28"/>
      <c r="Q15" s="29"/>
      <c r="R15" s="27"/>
      <c r="S15" s="10"/>
      <c r="T15" s="10"/>
      <c r="U15" s="39"/>
      <c r="V15" s="4"/>
      <c r="W15" s="21"/>
      <c r="X15" s="30"/>
      <c r="Y15" s="30"/>
      <c r="Z15" s="21"/>
      <c r="AA15" s="22"/>
      <c r="AB15" s="22"/>
      <c r="AC15" s="21"/>
      <c r="AD15" s="22"/>
      <c r="AE15" s="22"/>
      <c r="AF15" s="22"/>
      <c r="AG15" s="21"/>
    </row>
    <row r="16" spans="1:33" ht="34.5" customHeight="1">
      <c r="A16" s="36">
        <v>211.91</v>
      </c>
      <c r="B16" s="18">
        <f>IF(ISNUMBER(A16),
    IF(AND(A16=INT(A16), MOD(A16, 10) = 0), 0,
        IF(AND(A16=INT(A16), LEN(A16)=2), 1,
            IF(AND(A16=INT(A16), LEN(A16)=3), 2,
                LEN(A16) - FIND(".", A16) + 2)
        )
    ),
"")</f>
        <v>4</v>
      </c>
      <c r="C16" s="24" t="s">
        <v>89</v>
      </c>
      <c r="D16" s="19" t="str">
        <f t="shared" si="0"/>
        <v xml:space="preserve">                        Security Fencing Limited</v>
      </c>
      <c r="E16" s="19" t="s">
        <v>35</v>
      </c>
      <c r="F16" s="19"/>
      <c r="G16" s="19"/>
      <c r="H16" s="19"/>
      <c r="I16" s="19"/>
      <c r="J16" s="25"/>
      <c r="K16" s="26">
        <f>0.7*273.38*3.2808</f>
        <v>627.83357279999996</v>
      </c>
      <c r="L16" s="27" t="s">
        <v>84</v>
      </c>
      <c r="M16" s="27" t="s">
        <v>90</v>
      </c>
      <c r="N16" s="28"/>
      <c r="O16" s="27" t="s">
        <v>86</v>
      </c>
      <c r="P16" s="28"/>
      <c r="Q16" s="29">
        <v>2025</v>
      </c>
      <c r="R16" s="27" t="s">
        <v>39</v>
      </c>
      <c r="S16" s="38" t="s">
        <v>87</v>
      </c>
      <c r="T16" s="10"/>
      <c r="U16" s="39"/>
      <c r="V16" s="4"/>
      <c r="W16" s="21" t="s">
        <v>77</v>
      </c>
      <c r="X16" s="30">
        <f>0.9*$J16</f>
        <v>0</v>
      </c>
      <c r="Y16" s="30">
        <f>1.5*J16</f>
        <v>0</v>
      </c>
      <c r="Z16" s="21" t="s">
        <v>44</v>
      </c>
      <c r="AA16" s="22">
        <f>0.9*K16</f>
        <v>565.05021551999994</v>
      </c>
      <c r="AB16" s="22">
        <f>1.3*K16</f>
        <v>816.18364464000001</v>
      </c>
      <c r="AC16" s="21" t="s">
        <v>44</v>
      </c>
      <c r="AD16" s="22" t="s">
        <v>45</v>
      </c>
      <c r="AE16" s="22" t="s">
        <v>46</v>
      </c>
      <c r="AF16" s="22" t="s">
        <v>47</v>
      </c>
      <c r="AG16" s="21" t="s">
        <v>48</v>
      </c>
    </row>
    <row r="17" spans="1:33" ht="34.5" customHeight="1">
      <c r="A17" s="36">
        <v>211.93</v>
      </c>
      <c r="B17" s="18">
        <f>IF(ISNUMBER(A17),
    IF(AND(A17=INT(A17), MOD(A17, 10) = 0), 0,
        IF(AND(A17=INT(A17), LEN(A17)=2), 1,
            IF(AND(A17=INT(A17), LEN(A17)=3), 2,
                LEN(A17) - FIND(".", A17) + 2)
        )
    ),
"")</f>
        <v>4</v>
      </c>
      <c r="C17" s="24" t="s">
        <v>91</v>
      </c>
      <c r="D17" s="19" t="str">
        <f t="shared" si="0"/>
        <v xml:space="preserve">                        Security Fencing Protected</v>
      </c>
      <c r="E17" s="19" t="s">
        <v>35</v>
      </c>
      <c r="F17" s="19"/>
      <c r="G17" s="19"/>
      <c r="H17" s="19"/>
      <c r="I17" s="19"/>
      <c r="J17" s="25"/>
      <c r="K17" s="26">
        <f>0.7*15183.17*3.2808</f>
        <v>34869.060895199997</v>
      </c>
      <c r="L17" s="27" t="s">
        <v>84</v>
      </c>
      <c r="M17" s="27" t="s">
        <v>92</v>
      </c>
      <c r="N17" s="28"/>
      <c r="O17" s="27" t="s">
        <v>86</v>
      </c>
      <c r="P17" s="28"/>
      <c r="Q17" s="29">
        <v>2025</v>
      </c>
      <c r="R17" s="27" t="s">
        <v>39</v>
      </c>
      <c r="S17" s="38" t="s">
        <v>87</v>
      </c>
      <c r="T17" s="10"/>
      <c r="U17" s="39"/>
      <c r="V17" s="4"/>
      <c r="W17" s="21" t="s">
        <v>77</v>
      </c>
      <c r="X17" s="30">
        <f>0.9*$J17</f>
        <v>0</v>
      </c>
      <c r="Y17" s="30">
        <f>1.5*J17</f>
        <v>0</v>
      </c>
      <c r="Z17" s="21" t="s">
        <v>44</v>
      </c>
      <c r="AA17" s="22">
        <f>0.9*K17</f>
        <v>31382.154805679998</v>
      </c>
      <c r="AB17" s="22">
        <f>1.3*K17</f>
        <v>45329.779163759995</v>
      </c>
      <c r="AC17" s="21" t="s">
        <v>44</v>
      </c>
      <c r="AD17" s="22" t="s">
        <v>45</v>
      </c>
      <c r="AE17" s="22" t="s">
        <v>46</v>
      </c>
      <c r="AF17" s="22" t="s">
        <v>47</v>
      </c>
      <c r="AG17" s="21" t="s">
        <v>48</v>
      </c>
    </row>
    <row r="18" spans="1:33" ht="26.25" customHeight="1">
      <c r="A18" s="36">
        <v>212</v>
      </c>
      <c r="B18" s="18">
        <f t="shared" ref="B18:B55" si="1">IF(ISNUMBER(A18),
IF(AND(A18=INT(A18), MOD(A18, 10) = 0), 0,
IF(AND(A18=INT(A18), LEN(A18)=2), 1,
IF(AND(A18=INT(A18), LEN(A18)=3), 2,
LEN(A18) - FIND(".", A18) + 2)
)
),
"")</f>
        <v>2</v>
      </c>
      <c r="C18" s="24" t="s">
        <v>93</v>
      </c>
      <c r="D18" s="19" t="str">
        <f t="shared" si="0"/>
        <v xml:space="preserve">            Reactor Island Civil Structures</v>
      </c>
      <c r="E18" s="19"/>
      <c r="F18" s="19"/>
      <c r="G18" s="19"/>
      <c r="H18" s="19"/>
      <c r="I18" s="19"/>
      <c r="J18" s="25"/>
      <c r="K18" s="26"/>
      <c r="L18" s="28"/>
      <c r="M18" s="28"/>
      <c r="N18" s="28"/>
      <c r="O18" s="28"/>
      <c r="P18" s="28"/>
      <c r="Q18" s="29"/>
      <c r="R18" s="28"/>
      <c r="S18" s="10"/>
      <c r="T18" s="27"/>
      <c r="U18" s="4"/>
      <c r="V18" s="4"/>
      <c r="W18" s="21"/>
      <c r="X18" s="30"/>
      <c r="Y18" s="30"/>
      <c r="Z18" s="21"/>
      <c r="AA18" s="22"/>
      <c r="AB18" s="22"/>
      <c r="AC18" s="21"/>
      <c r="AD18" s="22"/>
      <c r="AE18" s="22"/>
      <c r="AF18" s="22"/>
      <c r="AG18" s="21"/>
    </row>
    <row r="19" spans="1:33" ht="51.75" customHeight="1">
      <c r="A19" s="36">
        <v>212.1</v>
      </c>
      <c r="B19" s="18">
        <f t="shared" si="1"/>
        <v>3</v>
      </c>
      <c r="C19" s="24" t="s">
        <v>94</v>
      </c>
      <c r="D19" s="19" t="str">
        <f t="shared" si="0"/>
        <v xml:space="preserve">                  Reactor Building Slab Roof</v>
      </c>
      <c r="E19" s="19" t="s">
        <v>35</v>
      </c>
      <c r="F19" s="10"/>
      <c r="G19" s="19"/>
      <c r="H19" s="19"/>
      <c r="I19" s="19"/>
      <c r="J19" s="25"/>
      <c r="K19" s="26">
        <f>1200 *1.53</f>
        <v>1836</v>
      </c>
      <c r="L19" s="27" t="s">
        <v>80</v>
      </c>
      <c r="M19" s="10" t="s">
        <v>95</v>
      </c>
      <c r="N19" s="28"/>
      <c r="O19" s="27" t="s">
        <v>82</v>
      </c>
      <c r="P19" s="28"/>
      <c r="Q19" s="29">
        <v>2024</v>
      </c>
      <c r="R19" s="27" t="s">
        <v>96</v>
      </c>
      <c r="S19" s="203" t="s">
        <v>74</v>
      </c>
      <c r="T19" s="203" t="s">
        <v>75</v>
      </c>
      <c r="U19" s="204" t="s">
        <v>76</v>
      </c>
      <c r="V19" s="4"/>
      <c r="W19" s="21" t="s">
        <v>77</v>
      </c>
      <c r="X19" s="30">
        <f>0.9*$J19</f>
        <v>0</v>
      </c>
      <c r="Y19" s="30">
        <f>1.5*J19</f>
        <v>0</v>
      </c>
      <c r="Z19" s="21" t="s">
        <v>44</v>
      </c>
      <c r="AA19" s="22">
        <f>0.9*K19</f>
        <v>1652.4</v>
      </c>
      <c r="AB19" s="22">
        <f>1.3*K19</f>
        <v>2386.8000000000002</v>
      </c>
      <c r="AC19" s="21" t="s">
        <v>44</v>
      </c>
      <c r="AD19" s="22" t="s">
        <v>45</v>
      </c>
      <c r="AE19" s="22" t="s">
        <v>46</v>
      </c>
      <c r="AF19" s="22" t="s">
        <v>47</v>
      </c>
      <c r="AG19" s="21" t="s">
        <v>48</v>
      </c>
    </row>
    <row r="20" spans="1:33" ht="51.75" customHeight="1">
      <c r="A20" s="36">
        <v>212.2</v>
      </c>
      <c r="B20" s="18">
        <f t="shared" si="1"/>
        <v>3</v>
      </c>
      <c r="C20" s="24" t="s">
        <v>97</v>
      </c>
      <c r="D20" s="19" t="str">
        <f t="shared" si="0"/>
        <v xml:space="preserve">                  Reactor Building Basement</v>
      </c>
      <c r="E20" s="19" t="s">
        <v>35</v>
      </c>
      <c r="F20" s="19"/>
      <c r="G20" s="19"/>
      <c r="H20" s="19"/>
      <c r="I20" s="19"/>
      <c r="J20" s="25"/>
      <c r="K20" s="26">
        <f>943.9*1.53</f>
        <v>1444.1669999999999</v>
      </c>
      <c r="L20" s="27" t="s">
        <v>80</v>
      </c>
      <c r="M20" s="10" t="s">
        <v>98</v>
      </c>
      <c r="N20" s="28"/>
      <c r="O20" s="27" t="s">
        <v>82</v>
      </c>
      <c r="P20" s="28"/>
      <c r="Q20" s="29">
        <v>2024</v>
      </c>
      <c r="R20" s="27" t="s">
        <v>96</v>
      </c>
      <c r="S20" s="203"/>
      <c r="T20" s="203"/>
      <c r="U20" s="203"/>
      <c r="V20" s="4"/>
      <c r="W20" s="21" t="s">
        <v>77</v>
      </c>
      <c r="X20" s="30">
        <f>0.9*$J20</f>
        <v>0</v>
      </c>
      <c r="Y20" s="30">
        <f>1.5*J20</f>
        <v>0</v>
      </c>
      <c r="Z20" s="21" t="s">
        <v>44</v>
      </c>
      <c r="AA20" s="22">
        <f>0.9*K20</f>
        <v>1299.7502999999999</v>
      </c>
      <c r="AB20" s="22">
        <f>1.3*K20</f>
        <v>1877.4170999999999</v>
      </c>
      <c r="AC20" s="21" t="s">
        <v>44</v>
      </c>
      <c r="AD20" s="22" t="s">
        <v>45</v>
      </c>
      <c r="AE20" s="22" t="s">
        <v>46</v>
      </c>
      <c r="AF20" s="22" t="s">
        <v>47</v>
      </c>
      <c r="AG20" s="21" t="s">
        <v>48</v>
      </c>
    </row>
    <row r="21" spans="1:33" ht="75.75" customHeight="1">
      <c r="A21" s="36">
        <v>212.3</v>
      </c>
      <c r="B21" s="18">
        <f t="shared" si="1"/>
        <v>3</v>
      </c>
      <c r="C21" s="24" t="s">
        <v>99</v>
      </c>
      <c r="D21" s="19" t="str">
        <f t="shared" si="0"/>
        <v xml:space="preserve">                  Reactor Building Walls</v>
      </c>
      <c r="E21" s="19" t="s">
        <v>35</v>
      </c>
      <c r="F21" s="19"/>
      <c r="G21" s="19"/>
      <c r="H21" s="19"/>
      <c r="I21" s="19"/>
      <c r="J21" s="25"/>
      <c r="K21" s="26">
        <f>721.21*1.53</f>
        <v>1103.4513000000002</v>
      </c>
      <c r="L21" s="27" t="s">
        <v>80</v>
      </c>
      <c r="M21" s="10" t="s">
        <v>100</v>
      </c>
      <c r="N21" s="28"/>
      <c r="O21" s="27" t="s">
        <v>82</v>
      </c>
      <c r="P21" s="28"/>
      <c r="Q21" s="29">
        <v>2024</v>
      </c>
      <c r="R21" s="27" t="s">
        <v>96</v>
      </c>
      <c r="S21" s="203"/>
      <c r="T21" s="203"/>
      <c r="U21" s="203"/>
      <c r="V21" s="4"/>
      <c r="W21" s="21" t="s">
        <v>77</v>
      </c>
      <c r="X21" s="30">
        <f>0.9*$J21</f>
        <v>0</v>
      </c>
      <c r="Y21" s="30">
        <f>1.5*J21</f>
        <v>0</v>
      </c>
      <c r="Z21" s="21" t="s">
        <v>44</v>
      </c>
      <c r="AA21" s="22">
        <f>0.9*K21</f>
        <v>993.10617000000013</v>
      </c>
      <c r="AB21" s="22">
        <f>1.3*K21</f>
        <v>1434.4866900000002</v>
      </c>
      <c r="AC21" s="21" t="s">
        <v>44</v>
      </c>
      <c r="AD21" s="22" t="s">
        <v>45</v>
      </c>
      <c r="AE21" s="22" t="s">
        <v>46</v>
      </c>
      <c r="AF21" s="22" t="s">
        <v>47</v>
      </c>
      <c r="AG21" s="21" t="s">
        <v>48</v>
      </c>
    </row>
    <row r="22" spans="1:33" ht="101.25" customHeight="1">
      <c r="A22" s="36">
        <v>212.4</v>
      </c>
      <c r="B22" s="18">
        <f t="shared" si="1"/>
        <v>3</v>
      </c>
      <c r="C22" s="24" t="s">
        <v>101</v>
      </c>
      <c r="D22" s="19" t="str">
        <f t="shared" si="0"/>
        <v xml:space="preserve">                  Reactor Building Liner</v>
      </c>
      <c r="E22" s="19" t="s">
        <v>35</v>
      </c>
      <c r="F22" s="19"/>
      <c r="G22" s="19"/>
      <c r="H22" s="19"/>
      <c r="I22" s="19"/>
      <c r="J22" s="25"/>
      <c r="K22" s="26">
        <f>60848829/9373</f>
        <v>6491.9267043635973</v>
      </c>
      <c r="L22" s="27" t="s">
        <v>102</v>
      </c>
      <c r="M22" s="10" t="s">
        <v>103</v>
      </c>
      <c r="N22" s="28">
        <v>9373</v>
      </c>
      <c r="O22" s="27" t="s">
        <v>104</v>
      </c>
      <c r="P22" s="28">
        <v>1</v>
      </c>
      <c r="Q22" s="29">
        <v>2018</v>
      </c>
      <c r="R22" s="27" t="s">
        <v>96</v>
      </c>
      <c r="S22" s="10" t="s">
        <v>105</v>
      </c>
      <c r="T22" s="10" t="s">
        <v>105</v>
      </c>
      <c r="U22" s="40" t="s">
        <v>106</v>
      </c>
      <c r="V22" s="4"/>
      <c r="W22" s="21" t="s">
        <v>77</v>
      </c>
      <c r="X22" s="30">
        <f>0.9*$J22</f>
        <v>0</v>
      </c>
      <c r="Y22" s="30">
        <f>1.5*J22</f>
        <v>0</v>
      </c>
      <c r="Z22" s="21" t="s">
        <v>44</v>
      </c>
      <c r="AA22" s="22">
        <f>0.9*K22</f>
        <v>5842.7340339272378</v>
      </c>
      <c r="AB22" s="22">
        <f>1.3*K22</f>
        <v>8439.504715672676</v>
      </c>
      <c r="AC22" s="21" t="s">
        <v>44</v>
      </c>
      <c r="AD22" s="22" t="s">
        <v>45</v>
      </c>
      <c r="AE22" s="22" t="s">
        <v>46</v>
      </c>
      <c r="AF22" s="22" t="s">
        <v>47</v>
      </c>
      <c r="AG22" s="21" t="s">
        <v>48</v>
      </c>
    </row>
    <row r="23" spans="1:33" ht="101.25" customHeight="1">
      <c r="A23" s="36">
        <v>212.5</v>
      </c>
      <c r="B23" s="18">
        <f t="shared" si="1"/>
        <v>3</v>
      </c>
      <c r="C23" s="24" t="s">
        <v>107</v>
      </c>
      <c r="D23" s="19" t="str">
        <f t="shared" si="0"/>
        <v xml:space="preserve">                  Reactor Building HVAC</v>
      </c>
      <c r="E23" s="19" t="s">
        <v>35</v>
      </c>
      <c r="F23" s="19"/>
      <c r="G23" s="19"/>
      <c r="H23" s="19"/>
      <c r="I23" s="19"/>
      <c r="J23" s="25"/>
      <c r="K23" s="26">
        <f>5917967/N23</f>
        <v>1731.9189347380743</v>
      </c>
      <c r="L23" s="27" t="s">
        <v>108</v>
      </c>
      <c r="M23" s="10" t="s">
        <v>109</v>
      </c>
      <c r="N23" s="28">
        <v>3417</v>
      </c>
      <c r="O23" s="27" t="s">
        <v>110</v>
      </c>
      <c r="P23" s="28">
        <v>0.8</v>
      </c>
      <c r="Q23" s="29">
        <v>2018</v>
      </c>
      <c r="R23" s="27" t="s">
        <v>96</v>
      </c>
      <c r="S23" s="10" t="s">
        <v>105</v>
      </c>
      <c r="T23" s="10" t="s">
        <v>105</v>
      </c>
      <c r="U23" s="40" t="s">
        <v>106</v>
      </c>
      <c r="V23" s="4"/>
      <c r="W23" s="21" t="s">
        <v>77</v>
      </c>
      <c r="X23" s="30">
        <f>0.9*$J23</f>
        <v>0</v>
      </c>
      <c r="Y23" s="30">
        <f>1.5*J23</f>
        <v>0</v>
      </c>
      <c r="Z23" s="21" t="s">
        <v>44</v>
      </c>
      <c r="AA23" s="22">
        <f>0.9*K23</f>
        <v>1558.727041264267</v>
      </c>
      <c r="AB23" s="22">
        <f>1.3*K23</f>
        <v>2251.4946151594968</v>
      </c>
      <c r="AC23" s="21" t="s">
        <v>44</v>
      </c>
      <c r="AD23" s="22" t="s">
        <v>45</v>
      </c>
      <c r="AE23" s="22" t="s">
        <v>46</v>
      </c>
      <c r="AF23" s="22" t="s">
        <v>47</v>
      </c>
      <c r="AG23" s="21" t="s">
        <v>48</v>
      </c>
    </row>
    <row r="24" spans="1:33" ht="26.25" customHeight="1">
      <c r="A24" s="36">
        <v>213</v>
      </c>
      <c r="B24" s="18">
        <f t="shared" si="1"/>
        <v>2</v>
      </c>
      <c r="C24" s="24" t="s">
        <v>111</v>
      </c>
      <c r="D24" s="19" t="str">
        <f t="shared" si="0"/>
        <v xml:space="preserve">            Main Function Buildings</v>
      </c>
      <c r="E24" s="19"/>
      <c r="F24" s="19"/>
      <c r="G24" s="19"/>
      <c r="H24" s="19"/>
      <c r="I24" s="19"/>
      <c r="J24" s="25"/>
      <c r="K24" s="26"/>
      <c r="L24" s="28"/>
      <c r="M24" s="35"/>
      <c r="N24" s="28"/>
      <c r="O24" s="28"/>
      <c r="P24" s="28"/>
      <c r="Q24" s="25"/>
      <c r="R24" s="28"/>
      <c r="S24" s="35"/>
      <c r="T24" s="10"/>
      <c r="U24" s="9"/>
      <c r="V24" s="4"/>
      <c r="W24" s="21"/>
      <c r="X24" s="30"/>
      <c r="Y24" s="30"/>
      <c r="Z24" s="21"/>
      <c r="AA24" s="22"/>
      <c r="AB24" s="22"/>
      <c r="AC24" s="21"/>
      <c r="AD24" s="22"/>
      <c r="AE24" s="22"/>
      <c r="AF24" s="22"/>
      <c r="AG24" s="21"/>
    </row>
    <row r="25" spans="1:33" ht="26.25" customHeight="1">
      <c r="A25" s="36">
        <v>213.1</v>
      </c>
      <c r="B25" s="18">
        <f t="shared" si="1"/>
        <v>3</v>
      </c>
      <c r="C25" s="24" t="s">
        <v>112</v>
      </c>
      <c r="D25" s="19" t="str">
        <f t="shared" si="0"/>
        <v xml:space="preserve">                  Energy conversion Building</v>
      </c>
      <c r="E25" s="19"/>
      <c r="F25" s="19"/>
      <c r="G25" s="19"/>
      <c r="H25" s="19"/>
      <c r="I25" s="19"/>
      <c r="J25" s="25"/>
      <c r="K25" s="26"/>
      <c r="L25" s="28"/>
      <c r="M25" s="35"/>
      <c r="N25" s="28"/>
      <c r="O25" s="28"/>
      <c r="P25" s="28"/>
      <c r="Q25" s="25"/>
      <c r="R25" s="28"/>
      <c r="S25" s="35"/>
      <c r="T25" s="10"/>
      <c r="U25" s="9"/>
      <c r="V25" s="4"/>
      <c r="W25" s="21"/>
      <c r="X25" s="30"/>
      <c r="Y25" s="30"/>
      <c r="Z25" s="21"/>
      <c r="AA25" s="22"/>
      <c r="AB25" s="22"/>
      <c r="AC25" s="21"/>
      <c r="AD25" s="22"/>
      <c r="AE25" s="22"/>
      <c r="AF25" s="22"/>
      <c r="AG25" s="21"/>
    </row>
    <row r="26" spans="1:33" ht="51.75" customHeight="1">
      <c r="A26" s="36">
        <v>213.11</v>
      </c>
      <c r="B26" s="18">
        <f t="shared" si="1"/>
        <v>4</v>
      </c>
      <c r="C26" s="24" t="s">
        <v>113</v>
      </c>
      <c r="D26" s="19" t="str">
        <f t="shared" si="0"/>
        <v xml:space="preserve">                        Energy Conversion Building Slab Roof</v>
      </c>
      <c r="E26" s="19" t="s">
        <v>35</v>
      </c>
      <c r="F26" s="19"/>
      <c r="G26" s="19"/>
      <c r="H26" s="19"/>
      <c r="I26" s="19"/>
      <c r="J26" s="25"/>
      <c r="K26" s="26">
        <f>1200</f>
        <v>1200</v>
      </c>
      <c r="L26" s="27" t="s">
        <v>80</v>
      </c>
      <c r="M26" s="10" t="s">
        <v>114</v>
      </c>
      <c r="N26" s="28"/>
      <c r="O26" s="27" t="s">
        <v>82</v>
      </c>
      <c r="P26" s="28"/>
      <c r="Q26" s="29">
        <v>2024</v>
      </c>
      <c r="R26" s="27" t="s">
        <v>96</v>
      </c>
      <c r="S26" s="203" t="s">
        <v>115</v>
      </c>
      <c r="T26" s="203" t="s">
        <v>75</v>
      </c>
      <c r="U26" s="204" t="s">
        <v>76</v>
      </c>
      <c r="V26" s="4"/>
      <c r="W26" s="21" t="s">
        <v>77</v>
      </c>
      <c r="X26" s="30">
        <f>0.9*$J26</f>
        <v>0</v>
      </c>
      <c r="Y26" s="30">
        <f>1.5*J26</f>
        <v>0</v>
      </c>
      <c r="Z26" s="21" t="s">
        <v>44</v>
      </c>
      <c r="AA26" s="22">
        <f>0.9*K26</f>
        <v>1080</v>
      </c>
      <c r="AB26" s="22">
        <f>1.3*K26</f>
        <v>1560</v>
      </c>
      <c r="AC26" s="21" t="s">
        <v>44</v>
      </c>
      <c r="AD26" s="22" t="s">
        <v>45</v>
      </c>
      <c r="AE26" s="22" t="s">
        <v>46</v>
      </c>
      <c r="AF26" s="22" t="s">
        <v>47</v>
      </c>
      <c r="AG26" s="21" t="s">
        <v>48</v>
      </c>
    </row>
    <row r="27" spans="1:33" ht="51.75" customHeight="1">
      <c r="A27" s="36">
        <v>213.12</v>
      </c>
      <c r="B27" s="18">
        <f t="shared" si="1"/>
        <v>4</v>
      </c>
      <c r="C27" s="24" t="s">
        <v>116</v>
      </c>
      <c r="D27" s="19" t="str">
        <f t="shared" si="0"/>
        <v xml:space="preserve">                        Energy Conversion Building Basement</v>
      </c>
      <c r="E27" s="19" t="s">
        <v>35</v>
      </c>
      <c r="F27" s="19"/>
      <c r="G27" s="19"/>
      <c r="H27" s="19"/>
      <c r="I27" s="19"/>
      <c r="J27" s="25"/>
      <c r="K27" s="26">
        <f>943.9</f>
        <v>943.9</v>
      </c>
      <c r="L27" s="27" t="s">
        <v>80</v>
      </c>
      <c r="M27" s="10" t="s">
        <v>117</v>
      </c>
      <c r="N27" s="28"/>
      <c r="O27" s="27" t="s">
        <v>82</v>
      </c>
      <c r="P27" s="28"/>
      <c r="Q27" s="29">
        <v>2024</v>
      </c>
      <c r="R27" s="27" t="s">
        <v>96</v>
      </c>
      <c r="S27" s="203"/>
      <c r="T27" s="203"/>
      <c r="U27" s="203"/>
      <c r="V27" s="4"/>
      <c r="W27" s="21" t="s">
        <v>77</v>
      </c>
      <c r="X27" s="30">
        <f>0.9*$J27</f>
        <v>0</v>
      </c>
      <c r="Y27" s="30">
        <f>1.5*J27</f>
        <v>0</v>
      </c>
      <c r="Z27" s="21" t="s">
        <v>44</v>
      </c>
      <c r="AA27" s="22">
        <f>0.9*K27</f>
        <v>849.51</v>
      </c>
      <c r="AB27" s="22">
        <f>1.3*K27</f>
        <v>1227.07</v>
      </c>
      <c r="AC27" s="21" t="s">
        <v>44</v>
      </c>
      <c r="AD27" s="22" t="s">
        <v>45</v>
      </c>
      <c r="AE27" s="22" t="s">
        <v>46</v>
      </c>
      <c r="AF27" s="22" t="s">
        <v>47</v>
      </c>
      <c r="AG27" s="21" t="s">
        <v>48</v>
      </c>
    </row>
    <row r="28" spans="1:33" ht="75.75" customHeight="1">
      <c r="A28" s="36">
        <v>213.13</v>
      </c>
      <c r="B28" s="18">
        <f t="shared" si="1"/>
        <v>4</v>
      </c>
      <c r="C28" s="24" t="s">
        <v>118</v>
      </c>
      <c r="D28" s="19" t="str">
        <f t="shared" si="0"/>
        <v xml:space="preserve">                        Energy Conversion Building Walls</v>
      </c>
      <c r="E28" s="19" t="s">
        <v>35</v>
      </c>
      <c r="F28" s="19"/>
      <c r="G28" s="19"/>
      <c r="H28" s="19"/>
      <c r="I28" s="19"/>
      <c r="J28" s="25"/>
      <c r="K28" s="26">
        <f>721.21</f>
        <v>721.21</v>
      </c>
      <c r="L28" s="27" t="s">
        <v>80</v>
      </c>
      <c r="M28" s="10" t="s">
        <v>119</v>
      </c>
      <c r="N28" s="28"/>
      <c r="O28" s="27" t="s">
        <v>82</v>
      </c>
      <c r="P28" s="28"/>
      <c r="Q28" s="29">
        <v>2024</v>
      </c>
      <c r="R28" s="27" t="s">
        <v>96</v>
      </c>
      <c r="S28" s="203"/>
      <c r="T28" s="203"/>
      <c r="U28" s="203"/>
      <c r="V28" s="4"/>
      <c r="W28" s="21" t="s">
        <v>77</v>
      </c>
      <c r="X28" s="30">
        <f>0.9*$J28</f>
        <v>0</v>
      </c>
      <c r="Y28" s="30">
        <f>1.5*J28</f>
        <v>0</v>
      </c>
      <c r="Z28" s="21" t="s">
        <v>44</v>
      </c>
      <c r="AA28" s="22">
        <f>0.9*K28</f>
        <v>649.08900000000006</v>
      </c>
      <c r="AB28" s="22">
        <f>1.3*K28</f>
        <v>937.57300000000009</v>
      </c>
      <c r="AC28" s="21" t="s">
        <v>44</v>
      </c>
      <c r="AD28" s="22" t="s">
        <v>45</v>
      </c>
      <c r="AE28" s="22" t="s">
        <v>46</v>
      </c>
      <c r="AF28" s="22" t="s">
        <v>47</v>
      </c>
      <c r="AG28" s="21" t="s">
        <v>48</v>
      </c>
    </row>
    <row r="29" spans="1:33" ht="26.25" customHeight="1">
      <c r="A29" s="36">
        <v>213.2</v>
      </c>
      <c r="B29" s="18">
        <f t="shared" si="1"/>
        <v>3</v>
      </c>
      <c r="C29" s="24" t="s">
        <v>120</v>
      </c>
      <c r="D29" s="19" t="str">
        <f t="shared" si="0"/>
        <v xml:space="preserve">                  Control building</v>
      </c>
      <c r="E29" s="19"/>
      <c r="F29" s="19"/>
      <c r="G29" s="19"/>
      <c r="H29" s="19"/>
      <c r="I29" s="19"/>
      <c r="J29" s="25"/>
      <c r="K29" s="26"/>
      <c r="L29" s="28"/>
      <c r="M29" s="35"/>
      <c r="N29" s="28"/>
      <c r="O29" s="28"/>
      <c r="P29" s="28"/>
      <c r="Q29" s="25"/>
      <c r="R29" s="28"/>
      <c r="S29" s="35"/>
      <c r="T29" s="10"/>
      <c r="U29" s="9"/>
      <c r="V29" s="4"/>
      <c r="W29" s="21"/>
      <c r="X29" s="30"/>
      <c r="Y29" s="30"/>
      <c r="Z29" s="21"/>
      <c r="AA29" s="22"/>
      <c r="AB29" s="22"/>
      <c r="AC29" s="21"/>
      <c r="AD29" s="22"/>
      <c r="AE29" s="22"/>
      <c r="AF29" s="22"/>
      <c r="AG29" s="21"/>
    </row>
    <row r="30" spans="1:33" ht="51.75" customHeight="1">
      <c r="A30" s="36">
        <v>213.21</v>
      </c>
      <c r="B30" s="18">
        <f t="shared" si="1"/>
        <v>4</v>
      </c>
      <c r="C30" s="24" t="s">
        <v>121</v>
      </c>
      <c r="D30" s="19" t="str">
        <f t="shared" si="0"/>
        <v xml:space="preserve">                        Control Building Slab Roof</v>
      </c>
      <c r="E30" s="19" t="s">
        <v>35</v>
      </c>
      <c r="F30" s="19"/>
      <c r="G30" s="19"/>
      <c r="H30" s="19"/>
      <c r="I30" s="19"/>
      <c r="J30" s="25"/>
      <c r="K30" s="26">
        <f>1200</f>
        <v>1200</v>
      </c>
      <c r="L30" s="27" t="s">
        <v>80</v>
      </c>
      <c r="M30" s="10" t="s">
        <v>122</v>
      </c>
      <c r="N30" s="28"/>
      <c r="O30" s="27" t="s">
        <v>82</v>
      </c>
      <c r="P30" s="28"/>
      <c r="Q30" s="29">
        <v>2024</v>
      </c>
      <c r="R30" s="27" t="s">
        <v>96</v>
      </c>
      <c r="S30" s="203" t="s">
        <v>115</v>
      </c>
      <c r="T30" s="203" t="s">
        <v>75</v>
      </c>
      <c r="U30" s="204" t="s">
        <v>76</v>
      </c>
      <c r="V30" s="4"/>
      <c r="W30" s="21" t="s">
        <v>77</v>
      </c>
      <c r="X30" s="30">
        <f>0.9*$J30</f>
        <v>0</v>
      </c>
      <c r="Y30" s="30">
        <f>1.5*J30</f>
        <v>0</v>
      </c>
      <c r="Z30" s="21" t="s">
        <v>44</v>
      </c>
      <c r="AA30" s="22">
        <f>0.9*K30</f>
        <v>1080</v>
      </c>
      <c r="AB30" s="22">
        <f>1.3*K30</f>
        <v>1560</v>
      </c>
      <c r="AC30" s="21" t="s">
        <v>44</v>
      </c>
      <c r="AD30" s="22" t="s">
        <v>45</v>
      </c>
      <c r="AE30" s="22" t="s">
        <v>46</v>
      </c>
      <c r="AF30" s="22" t="s">
        <v>47</v>
      </c>
      <c r="AG30" s="21" t="s">
        <v>48</v>
      </c>
    </row>
    <row r="31" spans="1:33" ht="51.75" customHeight="1">
      <c r="A31" s="36">
        <v>213.22</v>
      </c>
      <c r="B31" s="18">
        <f t="shared" si="1"/>
        <v>4</v>
      </c>
      <c r="C31" s="24" t="s">
        <v>123</v>
      </c>
      <c r="D31" s="19" t="str">
        <f t="shared" si="0"/>
        <v xml:space="preserve">                        Control Building Basement</v>
      </c>
      <c r="E31" s="19" t="s">
        <v>35</v>
      </c>
      <c r="F31" s="19"/>
      <c r="G31" s="19"/>
      <c r="H31" s="19"/>
      <c r="I31" s="19"/>
      <c r="J31" s="25"/>
      <c r="K31" s="26">
        <f>943.9</f>
        <v>943.9</v>
      </c>
      <c r="L31" s="27" t="s">
        <v>80</v>
      </c>
      <c r="M31" s="10" t="s">
        <v>124</v>
      </c>
      <c r="N31" s="28"/>
      <c r="O31" s="27" t="s">
        <v>82</v>
      </c>
      <c r="P31" s="28"/>
      <c r="Q31" s="29">
        <v>2024</v>
      </c>
      <c r="R31" s="27" t="s">
        <v>96</v>
      </c>
      <c r="S31" s="203"/>
      <c r="T31" s="203"/>
      <c r="U31" s="203"/>
      <c r="V31" s="4"/>
      <c r="W31" s="21" t="s">
        <v>77</v>
      </c>
      <c r="X31" s="30">
        <f>0.9*$J31</f>
        <v>0</v>
      </c>
      <c r="Y31" s="30">
        <f>1.5*J31</f>
        <v>0</v>
      </c>
      <c r="Z31" s="21" t="s">
        <v>44</v>
      </c>
      <c r="AA31" s="22">
        <f>0.9*K31</f>
        <v>849.51</v>
      </c>
      <c r="AB31" s="22">
        <f>1.3*K31</f>
        <v>1227.07</v>
      </c>
      <c r="AC31" s="21" t="s">
        <v>44</v>
      </c>
      <c r="AD31" s="22" t="s">
        <v>45</v>
      </c>
      <c r="AE31" s="22" t="s">
        <v>46</v>
      </c>
      <c r="AF31" s="22" t="s">
        <v>47</v>
      </c>
      <c r="AG31" s="21" t="s">
        <v>48</v>
      </c>
    </row>
    <row r="32" spans="1:33" ht="75.75" customHeight="1">
      <c r="A32" s="36">
        <v>213.23</v>
      </c>
      <c r="B32" s="18">
        <f t="shared" si="1"/>
        <v>4</v>
      </c>
      <c r="C32" s="24" t="s">
        <v>125</v>
      </c>
      <c r="D32" s="19" t="str">
        <f t="shared" si="0"/>
        <v xml:space="preserve">                        Control Building Walls</v>
      </c>
      <c r="E32" s="19" t="s">
        <v>35</v>
      </c>
      <c r="F32" s="19"/>
      <c r="G32" s="19"/>
      <c r="H32" s="19"/>
      <c r="I32" s="19"/>
      <c r="J32" s="25"/>
      <c r="K32" s="26">
        <f>721.21</f>
        <v>721.21</v>
      </c>
      <c r="L32" s="27" t="s">
        <v>80</v>
      </c>
      <c r="M32" s="10" t="s">
        <v>126</v>
      </c>
      <c r="N32" s="28"/>
      <c r="O32" s="27" t="s">
        <v>82</v>
      </c>
      <c r="P32" s="28"/>
      <c r="Q32" s="29">
        <v>2024</v>
      </c>
      <c r="R32" s="27" t="s">
        <v>96</v>
      </c>
      <c r="S32" s="203"/>
      <c r="T32" s="203"/>
      <c r="U32" s="203"/>
      <c r="V32" s="4"/>
      <c r="W32" s="21" t="s">
        <v>77</v>
      </c>
      <c r="X32" s="30">
        <f>0.9*$J32</f>
        <v>0</v>
      </c>
      <c r="Y32" s="30">
        <f>1.5*J32</f>
        <v>0</v>
      </c>
      <c r="Z32" s="21" t="s">
        <v>44</v>
      </c>
      <c r="AA32" s="22">
        <f>0.9*K32</f>
        <v>649.08900000000006</v>
      </c>
      <c r="AB32" s="22">
        <f>1.3*K32</f>
        <v>937.57300000000009</v>
      </c>
      <c r="AC32" s="21" t="s">
        <v>44</v>
      </c>
      <c r="AD32" s="22" t="s">
        <v>45</v>
      </c>
      <c r="AE32" s="22" t="s">
        <v>46</v>
      </c>
      <c r="AF32" s="22" t="s">
        <v>47</v>
      </c>
      <c r="AG32" s="21" t="s">
        <v>48</v>
      </c>
    </row>
    <row r="33" spans="1:33" ht="26.25" customHeight="1">
      <c r="A33" s="36">
        <v>213.3</v>
      </c>
      <c r="B33" s="18">
        <f t="shared" si="1"/>
        <v>3</v>
      </c>
      <c r="C33" s="24" t="s">
        <v>127</v>
      </c>
      <c r="D33" s="19" t="str">
        <f t="shared" si="0"/>
        <v xml:space="preserve">                  Integrated Heat Exchanger Building</v>
      </c>
      <c r="E33" s="19"/>
      <c r="F33" s="19" t="s">
        <v>128</v>
      </c>
      <c r="G33" s="19" t="s">
        <v>129</v>
      </c>
      <c r="H33" s="19"/>
      <c r="I33" s="19"/>
      <c r="J33" s="25"/>
      <c r="K33" s="26"/>
      <c r="L33" s="27"/>
      <c r="M33" s="10"/>
      <c r="N33" s="28"/>
      <c r="O33" s="27"/>
      <c r="P33" s="28"/>
      <c r="Q33" s="29"/>
      <c r="R33" s="27"/>
      <c r="S33" s="10"/>
      <c r="T33" s="10"/>
      <c r="U33" s="9"/>
      <c r="V33" s="4"/>
      <c r="W33" s="21"/>
      <c r="X33" s="30"/>
      <c r="Y33" s="30"/>
      <c r="Z33" s="21"/>
      <c r="AA33" s="22"/>
      <c r="AB33" s="22"/>
      <c r="AC33" s="21"/>
      <c r="AD33" s="22"/>
      <c r="AE33" s="22"/>
      <c r="AF33" s="22"/>
      <c r="AG33" s="21"/>
    </row>
    <row r="34" spans="1:33" ht="75.75" customHeight="1">
      <c r="A34" s="36">
        <v>213.31</v>
      </c>
      <c r="B34" s="18">
        <f t="shared" si="1"/>
        <v>4</v>
      </c>
      <c r="C34" s="24" t="s">
        <v>130</v>
      </c>
      <c r="D34" s="19" t="str">
        <f t="shared" ref="D34:D75" si="2">REPT("   ", B34*2) &amp; C34</f>
        <v xml:space="preserve">                        Integrated Heat Exchanger Building Slab Roof</v>
      </c>
      <c r="E34" s="19" t="s">
        <v>35</v>
      </c>
      <c r="F34" s="19" t="s">
        <v>128</v>
      </c>
      <c r="G34" s="19" t="s">
        <v>129</v>
      </c>
      <c r="H34" s="19"/>
      <c r="I34" s="19"/>
      <c r="J34" s="25"/>
      <c r="K34" s="26">
        <f>1200</f>
        <v>1200</v>
      </c>
      <c r="L34" s="27" t="s">
        <v>80</v>
      </c>
      <c r="M34" s="10" t="s">
        <v>131</v>
      </c>
      <c r="N34" s="28"/>
      <c r="O34" s="27" t="s">
        <v>82</v>
      </c>
      <c r="P34" s="28"/>
      <c r="Q34" s="29">
        <v>2024</v>
      </c>
      <c r="R34" s="27" t="s">
        <v>96</v>
      </c>
      <c r="S34" s="203" t="s">
        <v>115</v>
      </c>
      <c r="T34" s="203" t="s">
        <v>75</v>
      </c>
      <c r="U34" s="204" t="s">
        <v>76</v>
      </c>
      <c r="V34" s="4"/>
      <c r="W34" s="21" t="s">
        <v>77</v>
      </c>
      <c r="X34" s="30">
        <f>0.9*$J34</f>
        <v>0</v>
      </c>
      <c r="Y34" s="30">
        <f>1.5*J34</f>
        <v>0</v>
      </c>
      <c r="Z34" s="21" t="s">
        <v>44</v>
      </c>
      <c r="AA34" s="22">
        <f>0.9*K34</f>
        <v>1080</v>
      </c>
      <c r="AB34" s="22">
        <f>1.3*K34</f>
        <v>1560</v>
      </c>
      <c r="AC34" s="21" t="s">
        <v>44</v>
      </c>
      <c r="AD34" s="22" t="s">
        <v>45</v>
      </c>
      <c r="AE34" s="22" t="s">
        <v>46</v>
      </c>
      <c r="AF34" s="22" t="s">
        <v>47</v>
      </c>
      <c r="AG34" s="21" t="s">
        <v>48</v>
      </c>
    </row>
    <row r="35" spans="1:33" ht="75.75" customHeight="1">
      <c r="A35" s="36">
        <v>213.32</v>
      </c>
      <c r="B35" s="18">
        <f t="shared" si="1"/>
        <v>4</v>
      </c>
      <c r="C35" s="24" t="s">
        <v>132</v>
      </c>
      <c r="D35" s="19" t="str">
        <f t="shared" si="2"/>
        <v xml:space="preserve">                        Integrated Heat Exchanger Building Basement</v>
      </c>
      <c r="E35" s="19" t="s">
        <v>35</v>
      </c>
      <c r="F35" s="19" t="s">
        <v>128</v>
      </c>
      <c r="G35" s="19" t="s">
        <v>129</v>
      </c>
      <c r="H35" s="19"/>
      <c r="I35" s="19"/>
      <c r="J35" s="25"/>
      <c r="K35" s="26">
        <f>943.9</f>
        <v>943.9</v>
      </c>
      <c r="L35" s="27" t="s">
        <v>80</v>
      </c>
      <c r="M35" s="10" t="s">
        <v>133</v>
      </c>
      <c r="N35" s="28"/>
      <c r="O35" s="27" t="s">
        <v>82</v>
      </c>
      <c r="P35" s="28"/>
      <c r="Q35" s="29">
        <v>2024</v>
      </c>
      <c r="R35" s="27" t="s">
        <v>96</v>
      </c>
      <c r="S35" s="203"/>
      <c r="T35" s="203"/>
      <c r="U35" s="203"/>
      <c r="V35" s="4"/>
      <c r="W35" s="21" t="s">
        <v>77</v>
      </c>
      <c r="X35" s="30">
        <f>0.9*$J35</f>
        <v>0</v>
      </c>
      <c r="Y35" s="30">
        <f>1.5*J35</f>
        <v>0</v>
      </c>
      <c r="Z35" s="21" t="s">
        <v>44</v>
      </c>
      <c r="AA35" s="22">
        <f>0.9*K35</f>
        <v>849.51</v>
      </c>
      <c r="AB35" s="22">
        <f>1.3*K35</f>
        <v>1227.07</v>
      </c>
      <c r="AC35" s="21" t="s">
        <v>44</v>
      </c>
      <c r="AD35" s="22" t="s">
        <v>45</v>
      </c>
      <c r="AE35" s="22" t="s">
        <v>46</v>
      </c>
      <c r="AF35" s="22" t="s">
        <v>47</v>
      </c>
      <c r="AG35" s="21" t="s">
        <v>48</v>
      </c>
    </row>
    <row r="36" spans="1:33" ht="101.25" customHeight="1">
      <c r="A36" s="36">
        <v>213.33</v>
      </c>
      <c r="B36" s="18">
        <f t="shared" si="1"/>
        <v>4</v>
      </c>
      <c r="C36" s="24" t="s">
        <v>134</v>
      </c>
      <c r="D36" s="19" t="str">
        <f t="shared" si="2"/>
        <v xml:space="preserve">                        Integrated Heat Exchanger Building Walls</v>
      </c>
      <c r="E36" s="19" t="s">
        <v>35</v>
      </c>
      <c r="F36" s="19" t="s">
        <v>128</v>
      </c>
      <c r="G36" s="19" t="s">
        <v>129</v>
      </c>
      <c r="H36" s="19"/>
      <c r="I36" s="19"/>
      <c r="J36" s="25"/>
      <c r="K36" s="26">
        <f>721.21</f>
        <v>721.21</v>
      </c>
      <c r="L36" s="27" t="s">
        <v>80</v>
      </c>
      <c r="M36" s="10" t="s">
        <v>135</v>
      </c>
      <c r="N36" s="28"/>
      <c r="O36" s="27" t="s">
        <v>82</v>
      </c>
      <c r="P36" s="28"/>
      <c r="Q36" s="29">
        <v>2024</v>
      </c>
      <c r="R36" s="27" t="s">
        <v>96</v>
      </c>
      <c r="S36" s="203"/>
      <c r="T36" s="203"/>
      <c r="U36" s="203"/>
      <c r="V36" s="4"/>
      <c r="W36" s="21" t="s">
        <v>77</v>
      </c>
      <c r="X36" s="30">
        <f>0.9*$J36</f>
        <v>0</v>
      </c>
      <c r="Y36" s="30">
        <f>1.5*J36</f>
        <v>0</v>
      </c>
      <c r="Z36" s="21" t="s">
        <v>44</v>
      </c>
      <c r="AA36" s="22">
        <f>0.9*K36</f>
        <v>649.08900000000006</v>
      </c>
      <c r="AB36" s="22">
        <f>1.3*K36</f>
        <v>937.57300000000009</v>
      </c>
      <c r="AC36" s="21" t="s">
        <v>44</v>
      </c>
      <c r="AD36" s="22" t="s">
        <v>45</v>
      </c>
      <c r="AE36" s="22" t="s">
        <v>46</v>
      </c>
      <c r="AF36" s="22" t="s">
        <v>47</v>
      </c>
      <c r="AG36" s="21" t="s">
        <v>48</v>
      </c>
    </row>
    <row r="37" spans="1:33" ht="101.25" customHeight="1">
      <c r="A37" s="36">
        <v>213.34</v>
      </c>
      <c r="B37" s="18">
        <f t="shared" si="1"/>
        <v>4</v>
      </c>
      <c r="C37" s="24" t="s">
        <v>136</v>
      </c>
      <c r="D37" s="19" t="str">
        <f t="shared" si="2"/>
        <v xml:space="preserve">                        Integrated Heat Exchanger Building Liner</v>
      </c>
      <c r="E37" s="19" t="s">
        <v>35</v>
      </c>
      <c r="F37" s="19" t="s">
        <v>128</v>
      </c>
      <c r="G37" s="19" t="s">
        <v>129</v>
      </c>
      <c r="H37" s="19"/>
      <c r="I37" s="19"/>
      <c r="J37" s="25"/>
      <c r="K37" s="26">
        <f>60848829/9373</f>
        <v>6491.9267043635973</v>
      </c>
      <c r="L37" s="27" t="s">
        <v>102</v>
      </c>
      <c r="M37" s="10" t="s">
        <v>137</v>
      </c>
      <c r="N37" s="28">
        <v>9373</v>
      </c>
      <c r="O37" s="27" t="s">
        <v>104</v>
      </c>
      <c r="P37" s="28">
        <v>1</v>
      </c>
      <c r="Q37" s="29">
        <v>2018</v>
      </c>
      <c r="R37" s="27" t="s">
        <v>96</v>
      </c>
      <c r="S37" s="10" t="s">
        <v>105</v>
      </c>
      <c r="T37" s="10" t="s">
        <v>105</v>
      </c>
      <c r="U37" s="40" t="s">
        <v>106</v>
      </c>
      <c r="V37" s="4"/>
      <c r="W37" s="21" t="s">
        <v>77</v>
      </c>
      <c r="X37" s="30">
        <f>0.9*$J37</f>
        <v>0</v>
      </c>
      <c r="Y37" s="30">
        <f>1.5*J37</f>
        <v>0</v>
      </c>
      <c r="Z37" s="21" t="s">
        <v>44</v>
      </c>
      <c r="AA37" s="22">
        <f>0.9*K37</f>
        <v>5842.7340339272378</v>
      </c>
      <c r="AB37" s="22">
        <f>1.3*K37</f>
        <v>8439.504715672676</v>
      </c>
      <c r="AC37" s="21" t="s">
        <v>44</v>
      </c>
      <c r="AD37" s="22" t="s">
        <v>45</v>
      </c>
      <c r="AE37" s="22" t="s">
        <v>46</v>
      </c>
      <c r="AF37" s="22" t="s">
        <v>47</v>
      </c>
      <c r="AG37" s="21" t="s">
        <v>48</v>
      </c>
    </row>
    <row r="38" spans="1:33" ht="26.25" customHeight="1">
      <c r="A38" s="36">
        <v>214</v>
      </c>
      <c r="B38" s="18">
        <f t="shared" si="1"/>
        <v>2</v>
      </c>
      <c r="C38" s="24" t="s">
        <v>138</v>
      </c>
      <c r="D38" s="19" t="str">
        <f t="shared" si="2"/>
        <v xml:space="preserve">            Buildings to Support Main Function </v>
      </c>
      <c r="E38" s="19"/>
      <c r="F38" s="19"/>
      <c r="G38" s="19"/>
      <c r="H38" s="19"/>
      <c r="I38" s="19"/>
      <c r="J38" s="25"/>
      <c r="K38" s="26"/>
      <c r="L38" s="28"/>
      <c r="M38" s="35"/>
      <c r="N38" s="28"/>
      <c r="O38" s="28"/>
      <c r="P38" s="28"/>
      <c r="Q38" s="25"/>
      <c r="R38" s="28"/>
      <c r="S38" s="35"/>
      <c r="T38" s="27"/>
      <c r="U38" s="4"/>
      <c r="V38" s="4"/>
      <c r="W38" s="21"/>
      <c r="X38" s="30"/>
      <c r="Y38" s="30"/>
      <c r="Z38" s="21"/>
      <c r="AA38" s="22"/>
      <c r="AB38" s="22"/>
      <c r="AC38" s="21"/>
      <c r="AD38" s="22"/>
      <c r="AE38" s="22"/>
      <c r="AF38" s="22"/>
      <c r="AG38" s="21"/>
    </row>
    <row r="39" spans="1:33" ht="26.25" customHeight="1">
      <c r="A39" s="36">
        <v>214.1</v>
      </c>
      <c r="B39" s="18">
        <f t="shared" si="1"/>
        <v>3</v>
      </c>
      <c r="C39" s="24" t="s">
        <v>139</v>
      </c>
      <c r="D39" s="19" t="str">
        <f t="shared" si="2"/>
        <v xml:space="preserve">                  Fuel Management Buildings</v>
      </c>
      <c r="E39" s="19"/>
      <c r="F39" s="19"/>
      <c r="G39" s="19"/>
      <c r="H39" s="19"/>
      <c r="I39" s="19"/>
      <c r="J39" s="25"/>
      <c r="K39" s="26"/>
      <c r="L39" s="28"/>
      <c r="M39" s="35"/>
      <c r="N39" s="28"/>
      <c r="O39" s="28"/>
      <c r="P39" s="28"/>
      <c r="Q39" s="25"/>
      <c r="R39" s="28"/>
      <c r="S39" s="35"/>
      <c r="T39" s="27"/>
      <c r="U39" s="4"/>
      <c r="V39" s="4"/>
      <c r="W39" s="21"/>
      <c r="X39" s="30"/>
      <c r="Y39" s="30"/>
      <c r="Z39" s="21"/>
      <c r="AA39" s="22"/>
      <c r="AB39" s="22"/>
      <c r="AC39" s="21"/>
      <c r="AD39" s="22"/>
      <c r="AE39" s="22"/>
      <c r="AF39" s="22"/>
      <c r="AG39" s="21"/>
    </row>
    <row r="40" spans="1:33" ht="26.25" customHeight="1">
      <c r="A40" s="36">
        <v>214.11</v>
      </c>
      <c r="B40" s="18">
        <f t="shared" si="1"/>
        <v>4</v>
      </c>
      <c r="C40" s="24" t="s">
        <v>140</v>
      </c>
      <c r="D40" s="19" t="str">
        <f t="shared" si="2"/>
        <v xml:space="preserve">                        Refueling Building</v>
      </c>
      <c r="E40" s="19"/>
      <c r="F40" s="19"/>
      <c r="G40" s="19"/>
      <c r="H40" s="19"/>
      <c r="I40" s="19"/>
      <c r="J40" s="25"/>
      <c r="K40" s="26"/>
      <c r="L40" s="28"/>
      <c r="M40" s="35"/>
      <c r="N40" s="28"/>
      <c r="O40" s="28"/>
      <c r="P40" s="28"/>
      <c r="Q40" s="25"/>
      <c r="R40" s="28"/>
      <c r="S40" s="35"/>
      <c r="T40" s="27"/>
      <c r="U40" s="4"/>
      <c r="V40" s="4"/>
      <c r="W40" s="21"/>
      <c r="X40" s="30"/>
      <c r="Y40" s="30"/>
      <c r="Z40" s="21"/>
      <c r="AA40" s="22"/>
      <c r="AB40" s="22"/>
      <c r="AC40" s="21"/>
      <c r="AD40" s="22"/>
      <c r="AE40" s="22"/>
      <c r="AF40" s="22"/>
      <c r="AG40" s="21"/>
    </row>
    <row r="41" spans="1:33" s="41" customFormat="1" ht="49.5" customHeight="1">
      <c r="A41" s="36">
        <v>214.11099999999999</v>
      </c>
      <c r="B41" s="18">
        <f t="shared" si="1"/>
        <v>5</v>
      </c>
      <c r="C41" s="24" t="s">
        <v>141</v>
      </c>
      <c r="D41" s="19" t="str">
        <f t="shared" si="2"/>
        <v xml:space="preserve">                              Refueling Building Slab Roof</v>
      </c>
      <c r="E41" s="19" t="s">
        <v>35</v>
      </c>
      <c r="F41" s="19"/>
      <c r="G41" s="19"/>
      <c r="H41" s="19"/>
      <c r="I41" s="19"/>
      <c r="J41" s="25"/>
      <c r="K41" s="26">
        <f>1200 *1.53</f>
        <v>1836</v>
      </c>
      <c r="L41" s="27" t="s">
        <v>80</v>
      </c>
      <c r="M41" s="10" t="s">
        <v>142</v>
      </c>
      <c r="N41" s="28"/>
      <c r="O41" s="27" t="s">
        <v>82</v>
      </c>
      <c r="P41" s="28"/>
      <c r="Q41" s="29">
        <v>2024</v>
      </c>
      <c r="R41" s="27" t="s">
        <v>96</v>
      </c>
      <c r="S41" s="203" t="s">
        <v>74</v>
      </c>
      <c r="T41" s="203" t="s">
        <v>75</v>
      </c>
      <c r="U41" s="204" t="s">
        <v>76</v>
      </c>
      <c r="V41" s="4"/>
      <c r="W41" s="21" t="s">
        <v>77</v>
      </c>
      <c r="X41" s="30">
        <f>0.9*$J41</f>
        <v>0</v>
      </c>
      <c r="Y41" s="30">
        <f>1.5*J41</f>
        <v>0</v>
      </c>
      <c r="Z41" s="21"/>
      <c r="AA41" s="22">
        <f>0.9*K41</f>
        <v>1652.4</v>
      </c>
      <c r="AB41" s="22">
        <f>1.3*K41</f>
        <v>2386.8000000000002</v>
      </c>
      <c r="AC41" s="21" t="s">
        <v>44</v>
      </c>
      <c r="AD41" s="22" t="s">
        <v>45</v>
      </c>
      <c r="AE41" s="22" t="s">
        <v>46</v>
      </c>
      <c r="AF41" s="22" t="s">
        <v>47</v>
      </c>
      <c r="AG41" s="21" t="s">
        <v>48</v>
      </c>
    </row>
    <row r="42" spans="1:33" s="41" customFormat="1" ht="49.5" customHeight="1">
      <c r="A42" s="36">
        <v>214.11199999999999</v>
      </c>
      <c r="B42" s="18">
        <f t="shared" si="1"/>
        <v>5</v>
      </c>
      <c r="C42" s="24" t="s">
        <v>143</v>
      </c>
      <c r="D42" s="19" t="str">
        <f t="shared" si="2"/>
        <v xml:space="preserve">                              Refueling Building Basement</v>
      </c>
      <c r="E42" s="19" t="s">
        <v>35</v>
      </c>
      <c r="F42" s="19"/>
      <c r="G42" s="19"/>
      <c r="H42" s="19"/>
      <c r="I42" s="19"/>
      <c r="J42" s="25"/>
      <c r="K42" s="26">
        <f>943.9*1.53</f>
        <v>1444.1669999999999</v>
      </c>
      <c r="L42" s="27" t="s">
        <v>80</v>
      </c>
      <c r="M42" s="10" t="s">
        <v>144</v>
      </c>
      <c r="N42" s="28"/>
      <c r="O42" s="27" t="s">
        <v>82</v>
      </c>
      <c r="P42" s="28"/>
      <c r="Q42" s="29">
        <v>2024</v>
      </c>
      <c r="R42" s="27" t="s">
        <v>96</v>
      </c>
      <c r="S42" s="203"/>
      <c r="T42" s="203"/>
      <c r="U42" s="203"/>
      <c r="V42" s="4"/>
      <c r="W42" s="21" t="s">
        <v>77</v>
      </c>
      <c r="X42" s="30">
        <f>0.9*$J42</f>
        <v>0</v>
      </c>
      <c r="Y42" s="30">
        <f>1.5*J42</f>
        <v>0</v>
      </c>
      <c r="Z42" s="21" t="s">
        <v>44</v>
      </c>
      <c r="AA42" s="22">
        <f>0.9*K42</f>
        <v>1299.7502999999999</v>
      </c>
      <c r="AB42" s="22">
        <f>1.3*K42</f>
        <v>1877.4170999999999</v>
      </c>
      <c r="AC42" s="21" t="s">
        <v>44</v>
      </c>
      <c r="AD42" s="22" t="s">
        <v>45</v>
      </c>
      <c r="AE42" s="22" t="s">
        <v>46</v>
      </c>
      <c r="AF42" s="22" t="s">
        <v>47</v>
      </c>
      <c r="AG42" s="21" t="s">
        <v>48</v>
      </c>
    </row>
    <row r="43" spans="1:33" s="41" customFormat="1" ht="74.25" customHeight="1">
      <c r="A43" s="36">
        <v>214.113</v>
      </c>
      <c r="B43" s="18">
        <f t="shared" si="1"/>
        <v>5</v>
      </c>
      <c r="C43" s="24" t="s">
        <v>145</v>
      </c>
      <c r="D43" s="19" t="str">
        <f t="shared" si="2"/>
        <v xml:space="preserve">                              Refueling Building Walls</v>
      </c>
      <c r="E43" s="19" t="s">
        <v>35</v>
      </c>
      <c r="F43" s="19"/>
      <c r="G43" s="19"/>
      <c r="H43" s="19"/>
      <c r="I43" s="19"/>
      <c r="J43" s="25"/>
      <c r="K43" s="26">
        <f>721.21*1.53</f>
        <v>1103.4513000000002</v>
      </c>
      <c r="L43" s="27" t="s">
        <v>80</v>
      </c>
      <c r="M43" s="10" t="s">
        <v>146</v>
      </c>
      <c r="N43" s="28"/>
      <c r="O43" s="27" t="s">
        <v>82</v>
      </c>
      <c r="P43" s="28"/>
      <c r="Q43" s="29">
        <v>2024</v>
      </c>
      <c r="R43" s="27" t="s">
        <v>96</v>
      </c>
      <c r="S43" s="203"/>
      <c r="T43" s="203"/>
      <c r="U43" s="203"/>
      <c r="V43" s="4"/>
      <c r="W43" s="21" t="s">
        <v>77</v>
      </c>
      <c r="X43" s="30">
        <f>0.9*$J43</f>
        <v>0</v>
      </c>
      <c r="Y43" s="30">
        <f>1.5*J43</f>
        <v>0</v>
      </c>
      <c r="Z43" s="21" t="s">
        <v>44</v>
      </c>
      <c r="AA43" s="22">
        <f>0.9*K43</f>
        <v>993.10617000000013</v>
      </c>
      <c r="AB43" s="22">
        <f>1.3*K43</f>
        <v>1434.4866900000002</v>
      </c>
      <c r="AC43" s="21" t="s">
        <v>44</v>
      </c>
      <c r="AD43" s="22" t="s">
        <v>45</v>
      </c>
      <c r="AE43" s="22" t="s">
        <v>46</v>
      </c>
      <c r="AF43" s="22" t="s">
        <v>47</v>
      </c>
      <c r="AG43" s="21" t="s">
        <v>48</v>
      </c>
    </row>
    <row r="44" spans="1:33" ht="26.25" customHeight="1">
      <c r="A44" s="36">
        <v>214.12</v>
      </c>
      <c r="B44" s="18">
        <f t="shared" si="1"/>
        <v>4</v>
      </c>
      <c r="C44" s="24" t="s">
        <v>147</v>
      </c>
      <c r="D44" s="19" t="str">
        <f t="shared" si="2"/>
        <v xml:space="preserve">                        Spent Fuel Building</v>
      </c>
      <c r="E44" s="19"/>
      <c r="F44" s="19"/>
      <c r="G44" s="19"/>
      <c r="H44" s="19"/>
      <c r="I44" s="19"/>
      <c r="J44" s="25"/>
      <c r="K44" s="26"/>
      <c r="L44" s="28"/>
      <c r="M44" s="35"/>
      <c r="N44" s="28"/>
      <c r="O44" s="28"/>
      <c r="P44" s="28"/>
      <c r="Q44" s="25"/>
      <c r="R44" s="28"/>
      <c r="S44" s="35"/>
      <c r="T44" s="27"/>
      <c r="U44" s="4"/>
      <c r="V44" s="4"/>
      <c r="W44" s="21"/>
      <c r="X44" s="30"/>
      <c r="Y44" s="30"/>
      <c r="Z44" s="21"/>
      <c r="AA44" s="22"/>
      <c r="AB44" s="22"/>
      <c r="AC44" s="21"/>
      <c r="AD44" s="22"/>
      <c r="AE44" s="22"/>
      <c r="AF44" s="22"/>
      <c r="AG44" s="21"/>
    </row>
    <row r="45" spans="1:33" s="41" customFormat="1" ht="49.5" customHeight="1">
      <c r="A45" s="36">
        <v>214.12100000000001</v>
      </c>
      <c r="B45" s="18">
        <f t="shared" si="1"/>
        <v>5</v>
      </c>
      <c r="C45" s="24" t="s">
        <v>148</v>
      </c>
      <c r="D45" s="19" t="str">
        <f t="shared" si="2"/>
        <v xml:space="preserve">                              Spent Fuel Building Slab Roof</v>
      </c>
      <c r="E45" s="19" t="s">
        <v>35</v>
      </c>
      <c r="F45" s="19"/>
      <c r="G45" s="19"/>
      <c r="H45" s="19"/>
      <c r="I45" s="19"/>
      <c r="J45" s="25"/>
      <c r="K45" s="26">
        <f>1200 *1.53</f>
        <v>1836</v>
      </c>
      <c r="L45" s="27" t="s">
        <v>80</v>
      </c>
      <c r="M45" s="10" t="s">
        <v>149</v>
      </c>
      <c r="N45" s="28"/>
      <c r="O45" s="27" t="s">
        <v>82</v>
      </c>
      <c r="P45" s="28"/>
      <c r="Q45" s="29">
        <v>2024</v>
      </c>
      <c r="R45" s="28" t="s">
        <v>96</v>
      </c>
      <c r="S45" s="203" t="s">
        <v>74</v>
      </c>
      <c r="T45" s="203" t="s">
        <v>75</v>
      </c>
      <c r="U45" s="204" t="s">
        <v>76</v>
      </c>
      <c r="V45" s="4"/>
      <c r="W45" s="21" t="s">
        <v>77</v>
      </c>
      <c r="X45" s="30">
        <f>0.9*$J45</f>
        <v>0</v>
      </c>
      <c r="Y45" s="30">
        <f>1.5*J45</f>
        <v>0</v>
      </c>
      <c r="Z45" s="21" t="s">
        <v>44</v>
      </c>
      <c r="AA45" s="22">
        <f>0.9*K45</f>
        <v>1652.4</v>
      </c>
      <c r="AB45" s="22">
        <f>1.3*K45</f>
        <v>2386.8000000000002</v>
      </c>
      <c r="AC45" s="21" t="s">
        <v>44</v>
      </c>
      <c r="AD45" s="22" t="s">
        <v>45</v>
      </c>
      <c r="AE45" s="22" t="s">
        <v>46</v>
      </c>
      <c r="AF45" s="22" t="s">
        <v>47</v>
      </c>
      <c r="AG45" s="21" t="s">
        <v>48</v>
      </c>
    </row>
    <row r="46" spans="1:33" s="41" customFormat="1" ht="49.5" customHeight="1">
      <c r="A46" s="36">
        <v>214.12200000000001</v>
      </c>
      <c r="B46" s="18">
        <f t="shared" si="1"/>
        <v>5</v>
      </c>
      <c r="C46" s="24" t="s">
        <v>150</v>
      </c>
      <c r="D46" s="19" t="str">
        <f t="shared" si="2"/>
        <v xml:space="preserve">                              Spent Fuel Building Basement</v>
      </c>
      <c r="E46" s="19" t="s">
        <v>35</v>
      </c>
      <c r="F46" s="19"/>
      <c r="G46" s="19"/>
      <c r="H46" s="19"/>
      <c r="I46" s="19"/>
      <c r="J46" s="25"/>
      <c r="K46" s="26">
        <f>943.9*1.53</f>
        <v>1444.1669999999999</v>
      </c>
      <c r="L46" s="27" t="s">
        <v>80</v>
      </c>
      <c r="M46" s="10" t="s">
        <v>151</v>
      </c>
      <c r="N46" s="28"/>
      <c r="O46" s="27" t="s">
        <v>82</v>
      </c>
      <c r="P46" s="28"/>
      <c r="Q46" s="29">
        <v>2024</v>
      </c>
      <c r="R46" s="28" t="s">
        <v>96</v>
      </c>
      <c r="S46" s="203"/>
      <c r="T46" s="203"/>
      <c r="U46" s="203"/>
      <c r="V46" s="4"/>
      <c r="W46" s="21" t="s">
        <v>77</v>
      </c>
      <c r="X46" s="30">
        <f>0.9*$J46</f>
        <v>0</v>
      </c>
      <c r="Y46" s="30">
        <f>1.5*J46</f>
        <v>0</v>
      </c>
      <c r="Z46" s="21" t="s">
        <v>44</v>
      </c>
      <c r="AA46" s="22">
        <f>0.9*K46</f>
        <v>1299.7502999999999</v>
      </c>
      <c r="AB46" s="22">
        <f>1.3*K46</f>
        <v>1877.4170999999999</v>
      </c>
      <c r="AC46" s="21" t="s">
        <v>44</v>
      </c>
      <c r="AD46" s="22" t="s">
        <v>45</v>
      </c>
      <c r="AE46" s="22" t="s">
        <v>46</v>
      </c>
      <c r="AF46" s="22" t="s">
        <v>47</v>
      </c>
      <c r="AG46" s="21" t="s">
        <v>48</v>
      </c>
    </row>
    <row r="47" spans="1:33" s="41" customFormat="1" ht="74.25" customHeight="1">
      <c r="A47" s="36">
        <v>214.12299999999999</v>
      </c>
      <c r="B47" s="18">
        <f t="shared" si="1"/>
        <v>5</v>
      </c>
      <c r="C47" s="24" t="s">
        <v>152</v>
      </c>
      <c r="D47" s="19" t="str">
        <f t="shared" si="2"/>
        <v xml:space="preserve">                              Spent Fuel Building Walls</v>
      </c>
      <c r="E47" s="19" t="s">
        <v>35</v>
      </c>
      <c r="F47" s="19"/>
      <c r="G47" s="19"/>
      <c r="H47" s="19"/>
      <c r="I47" s="19"/>
      <c r="J47" s="25"/>
      <c r="K47" s="26">
        <f>721.21*1.53</f>
        <v>1103.4513000000002</v>
      </c>
      <c r="L47" s="27" t="s">
        <v>80</v>
      </c>
      <c r="M47" s="10" t="s">
        <v>153</v>
      </c>
      <c r="N47" s="28"/>
      <c r="O47" s="27" t="s">
        <v>82</v>
      </c>
      <c r="P47" s="28"/>
      <c r="Q47" s="29">
        <v>2024</v>
      </c>
      <c r="R47" s="27" t="s">
        <v>96</v>
      </c>
      <c r="S47" s="203"/>
      <c r="T47" s="203"/>
      <c r="U47" s="203"/>
      <c r="V47" s="4"/>
      <c r="W47" s="21" t="s">
        <v>77</v>
      </c>
      <c r="X47" s="30">
        <f>0.9*$J47</f>
        <v>0</v>
      </c>
      <c r="Y47" s="30">
        <f>1.5*J47</f>
        <v>0</v>
      </c>
      <c r="Z47" s="21" t="s">
        <v>44</v>
      </c>
      <c r="AA47" s="22">
        <f>0.9*K47</f>
        <v>993.10617000000013</v>
      </c>
      <c r="AB47" s="22">
        <f>1.3*K47</f>
        <v>1434.4866900000002</v>
      </c>
      <c r="AC47" s="21" t="s">
        <v>44</v>
      </c>
      <c r="AD47" s="22" t="s">
        <v>45</v>
      </c>
      <c r="AE47" s="22" t="s">
        <v>46</v>
      </c>
      <c r="AF47" s="22" t="s">
        <v>47</v>
      </c>
      <c r="AG47" s="21" t="s">
        <v>48</v>
      </c>
    </row>
    <row r="48" spans="1:33" s="183" customFormat="1">
      <c r="A48" s="168">
        <v>214.2</v>
      </c>
      <c r="B48" s="169">
        <f t="shared" ref="B48:B53" si="3">IF(ISNUMBER(A48),
    IF(AND(A48=INT(A48), MOD(A48, 10) = 0), 0,
        IF(AND(A48=INT(A48), LEN(A48)=2), 1,
            IF(AND(A48=INT(A48), LEN(A48)=3), 2,
                LEN(A48) - FIND(".", A48) + 2)
        )
    ),
"")</f>
        <v>3</v>
      </c>
      <c r="C48" s="170" t="s">
        <v>811</v>
      </c>
      <c r="D48" s="171" t="str">
        <f t="shared" si="2"/>
        <v xml:space="preserve">                  Cool down buildings</v>
      </c>
      <c r="E48" s="171"/>
      <c r="F48" s="171"/>
      <c r="G48" s="171"/>
      <c r="J48" s="172"/>
      <c r="K48" s="173"/>
      <c r="L48" s="174"/>
      <c r="M48" s="175"/>
      <c r="N48" s="176"/>
      <c r="O48" s="174"/>
      <c r="P48" s="176"/>
      <c r="Q48" s="177"/>
      <c r="R48" s="174"/>
      <c r="S48" s="175"/>
      <c r="T48" s="175"/>
      <c r="U48" s="178"/>
      <c r="V48" s="179"/>
      <c r="W48" s="180"/>
      <c r="X48" s="181"/>
      <c r="Y48" s="181"/>
      <c r="Z48" s="180"/>
      <c r="AA48" s="182"/>
      <c r="AB48" s="182"/>
      <c r="AC48" s="180"/>
      <c r="AD48" s="182"/>
      <c r="AE48" s="182"/>
      <c r="AF48" s="182"/>
      <c r="AG48" s="180"/>
    </row>
    <row r="49" spans="1:33" s="183" customFormat="1" ht="26">
      <c r="A49" s="168">
        <v>214.21</v>
      </c>
      <c r="B49" s="169">
        <f t="shared" si="3"/>
        <v>4</v>
      </c>
      <c r="C49" s="170" t="s">
        <v>812</v>
      </c>
      <c r="D49" s="171" t="str">
        <f t="shared" si="2"/>
        <v xml:space="preserve">                        Cool down building</v>
      </c>
      <c r="E49" s="171" t="s">
        <v>35</v>
      </c>
      <c r="F49" s="171"/>
      <c r="G49" s="171"/>
      <c r="J49" s="172">
        <f>0.7*4708424</f>
        <v>3295896.8</v>
      </c>
      <c r="K49" s="173"/>
      <c r="L49" s="174"/>
      <c r="M49" s="175"/>
      <c r="N49" s="176"/>
      <c r="O49" s="174"/>
      <c r="P49" s="176"/>
      <c r="Q49" s="177">
        <v>2025</v>
      </c>
      <c r="R49" s="174" t="s">
        <v>96</v>
      </c>
      <c r="S49" s="175" t="s">
        <v>813</v>
      </c>
      <c r="T49" s="175" t="s">
        <v>820</v>
      </c>
      <c r="U49" s="178"/>
      <c r="V49" s="179"/>
      <c r="W49" s="180" t="s">
        <v>77</v>
      </c>
      <c r="X49" s="181">
        <f>0.9*$J49</f>
        <v>2966307.12</v>
      </c>
      <c r="Y49" s="181">
        <f>1.5*J49</f>
        <v>4943845.1999999993</v>
      </c>
      <c r="Z49" s="180" t="s">
        <v>44</v>
      </c>
      <c r="AA49" s="182">
        <f>0.9*K49</f>
        <v>0</v>
      </c>
      <c r="AB49" s="182">
        <f>1.3*K49</f>
        <v>0</v>
      </c>
      <c r="AC49" s="180" t="s">
        <v>44</v>
      </c>
      <c r="AD49" s="182" t="s">
        <v>45</v>
      </c>
      <c r="AE49" s="182" t="s">
        <v>46</v>
      </c>
      <c r="AF49" s="182" t="s">
        <v>47</v>
      </c>
      <c r="AG49" s="180" t="s">
        <v>48</v>
      </c>
    </row>
    <row r="50" spans="1:33" s="183" customFormat="1">
      <c r="A50" s="168">
        <v>214.3</v>
      </c>
      <c r="B50" s="169">
        <f t="shared" si="3"/>
        <v>3</v>
      </c>
      <c r="C50" s="170" t="s">
        <v>814</v>
      </c>
      <c r="D50" s="171" t="str">
        <f t="shared" si="2"/>
        <v xml:space="preserve">                  Security buildings</v>
      </c>
      <c r="E50" s="171"/>
      <c r="F50" s="171"/>
      <c r="G50" s="171"/>
      <c r="J50" s="172"/>
      <c r="K50" s="173"/>
      <c r="L50" s="174"/>
      <c r="M50" s="175"/>
      <c r="N50" s="176"/>
      <c r="O50" s="174"/>
      <c r="P50" s="176"/>
      <c r="Q50" s="177"/>
      <c r="R50" s="174"/>
      <c r="S50" s="175"/>
      <c r="T50" s="175"/>
      <c r="U50" s="178"/>
      <c r="V50" s="179"/>
      <c r="W50" s="180"/>
      <c r="X50" s="181"/>
      <c r="Y50" s="181"/>
      <c r="Z50" s="180"/>
      <c r="AA50" s="182"/>
      <c r="AB50" s="182"/>
      <c r="AC50" s="180"/>
      <c r="AD50" s="182"/>
      <c r="AE50" s="182"/>
      <c r="AF50" s="182"/>
      <c r="AG50" s="180"/>
    </row>
    <row r="51" spans="1:33" s="183" customFormat="1" ht="26">
      <c r="A51" s="168">
        <v>214.31</v>
      </c>
      <c r="B51" s="169">
        <f t="shared" si="3"/>
        <v>4</v>
      </c>
      <c r="C51" s="170" t="s">
        <v>815</v>
      </c>
      <c r="D51" s="171" t="str">
        <f t="shared" si="2"/>
        <v xml:space="preserve">                        Guard station</v>
      </c>
      <c r="E51" s="171" t="s">
        <v>35</v>
      </c>
      <c r="F51" s="171"/>
      <c r="G51" s="171"/>
      <c r="J51" s="172">
        <f>0.7*1681584</f>
        <v>1177108.7999999998</v>
      </c>
      <c r="K51" s="173"/>
      <c r="L51" s="174"/>
      <c r="M51" s="175"/>
      <c r="N51" s="176"/>
      <c r="O51" s="174"/>
      <c r="P51" s="176"/>
      <c r="Q51" s="177">
        <v>2025</v>
      </c>
      <c r="R51" s="174" t="s">
        <v>96</v>
      </c>
      <c r="T51" s="175" t="s">
        <v>820</v>
      </c>
      <c r="U51" s="178"/>
      <c r="V51" s="179"/>
      <c r="W51" s="180" t="s">
        <v>77</v>
      </c>
      <c r="X51" s="181">
        <f>0.9*$J51</f>
        <v>1059397.92</v>
      </c>
      <c r="Y51" s="181">
        <f>1.5*J51</f>
        <v>1765663.1999999997</v>
      </c>
      <c r="Z51" s="180" t="s">
        <v>44</v>
      </c>
      <c r="AA51" s="182">
        <f>0.9*K51</f>
        <v>0</v>
      </c>
      <c r="AB51" s="182">
        <f>1.3*K51</f>
        <v>0</v>
      </c>
      <c r="AC51" s="180" t="s">
        <v>44</v>
      </c>
      <c r="AD51" s="182" t="s">
        <v>45</v>
      </c>
      <c r="AE51" s="182" t="s">
        <v>46</v>
      </c>
      <c r="AF51" s="182" t="s">
        <v>47</v>
      </c>
      <c r="AG51" s="180" t="s">
        <v>48</v>
      </c>
    </row>
    <row r="52" spans="1:33" s="183" customFormat="1">
      <c r="A52" s="168">
        <v>214.4</v>
      </c>
      <c r="B52" s="169">
        <f t="shared" si="3"/>
        <v>3</v>
      </c>
      <c r="C52" s="170" t="s">
        <v>816</v>
      </c>
      <c r="D52" s="171" t="str">
        <f t="shared" si="2"/>
        <v xml:space="preserve">                  Staff support buildings</v>
      </c>
      <c r="E52" s="171"/>
      <c r="F52" s="171"/>
      <c r="G52" s="171"/>
      <c r="J52" s="172"/>
      <c r="K52" s="173"/>
      <c r="L52" s="174"/>
      <c r="M52" s="175"/>
      <c r="N52" s="176"/>
      <c r="O52" s="174"/>
      <c r="P52" s="176"/>
      <c r="Q52" s="177"/>
      <c r="R52" s="174"/>
      <c r="S52" s="175"/>
      <c r="T52" s="175"/>
      <c r="U52" s="178"/>
      <c r="V52" s="179"/>
      <c r="W52" s="180"/>
      <c r="X52" s="181"/>
      <c r="Y52" s="181"/>
      <c r="Z52" s="180"/>
      <c r="AA52" s="182"/>
      <c r="AB52" s="182"/>
      <c r="AC52" s="180"/>
      <c r="AD52" s="182"/>
      <c r="AE52" s="182"/>
      <c r="AF52" s="182"/>
      <c r="AG52" s="180"/>
    </row>
    <row r="53" spans="1:33" s="183" customFormat="1" ht="26">
      <c r="A53" s="168">
        <v>214.41</v>
      </c>
      <c r="B53" s="169">
        <f t="shared" si="3"/>
        <v>4</v>
      </c>
      <c r="C53" s="170" t="s">
        <v>817</v>
      </c>
      <c r="D53" s="171" t="str">
        <f t="shared" si="2"/>
        <v xml:space="preserve">                        Staff quarters</v>
      </c>
      <c r="E53" s="171" t="s">
        <v>35</v>
      </c>
      <c r="F53" s="171"/>
      <c r="G53" s="171"/>
      <c r="J53" s="172">
        <f>0.7*952657</f>
        <v>666859.89999999991</v>
      </c>
      <c r="K53" s="173"/>
      <c r="L53" s="174"/>
      <c r="M53" s="175"/>
      <c r="N53" s="176"/>
      <c r="O53" s="174"/>
      <c r="P53" s="176"/>
      <c r="Q53" s="177">
        <v>2025</v>
      </c>
      <c r="R53" s="174" t="s">
        <v>96</v>
      </c>
      <c r="S53" s="175" t="s">
        <v>813</v>
      </c>
      <c r="T53" s="175" t="s">
        <v>820</v>
      </c>
      <c r="U53" s="178"/>
      <c r="V53" s="179"/>
      <c r="W53" s="180" t="s">
        <v>77</v>
      </c>
      <c r="X53" s="181">
        <f>0.9*$J53</f>
        <v>600173.90999999992</v>
      </c>
      <c r="Y53" s="181">
        <f>1.5*J53</f>
        <v>1000289.8499999999</v>
      </c>
      <c r="Z53" s="180" t="s">
        <v>44</v>
      </c>
      <c r="AA53" s="182">
        <f>0.9*K53</f>
        <v>0</v>
      </c>
      <c r="AB53" s="182">
        <f>1.3*K53</f>
        <v>0</v>
      </c>
      <c r="AC53" s="180" t="s">
        <v>44</v>
      </c>
      <c r="AD53" s="182" t="s">
        <v>45</v>
      </c>
      <c r="AE53" s="182" t="s">
        <v>46</v>
      </c>
      <c r="AF53" s="182" t="s">
        <v>47</v>
      </c>
      <c r="AG53" s="180" t="s">
        <v>48</v>
      </c>
    </row>
    <row r="54" spans="1:33" ht="51.75" customHeight="1">
      <c r="A54" s="36">
        <v>214.7</v>
      </c>
      <c r="B54" s="18">
        <f t="shared" si="1"/>
        <v>3</v>
      </c>
      <c r="C54" s="24" t="s">
        <v>154</v>
      </c>
      <c r="D54" s="19" t="str">
        <f t="shared" si="2"/>
        <v xml:space="preserve">                  Emergency and Start-up Power Systems Building</v>
      </c>
      <c r="E54" s="19"/>
      <c r="F54" s="19"/>
      <c r="G54" s="19"/>
      <c r="H54" s="19"/>
      <c r="I54" s="19"/>
      <c r="J54" s="25"/>
      <c r="K54" s="26"/>
      <c r="L54" s="27"/>
      <c r="M54" s="10"/>
      <c r="N54" s="28"/>
      <c r="O54" s="27"/>
      <c r="P54" s="28"/>
      <c r="Q54" s="29"/>
      <c r="R54" s="27"/>
      <c r="S54" s="10"/>
      <c r="T54" s="27"/>
      <c r="U54" s="4"/>
      <c r="V54" s="4"/>
      <c r="W54" s="21"/>
      <c r="X54" s="30"/>
      <c r="Y54" s="30"/>
      <c r="Z54" s="21"/>
      <c r="AA54" s="22"/>
      <c r="AB54" s="22"/>
      <c r="AC54" s="21"/>
      <c r="AD54" s="22"/>
      <c r="AE54" s="22"/>
      <c r="AF54" s="22"/>
      <c r="AG54" s="21"/>
    </row>
    <row r="55" spans="1:33" ht="26.25" customHeight="1">
      <c r="A55" s="36">
        <v>214.71</v>
      </c>
      <c r="B55" s="18">
        <f t="shared" si="1"/>
        <v>4</v>
      </c>
      <c r="C55" s="24" t="s">
        <v>155</v>
      </c>
      <c r="D55" s="19" t="str">
        <f t="shared" si="2"/>
        <v xml:space="preserve">                        Emergency Building</v>
      </c>
      <c r="E55" s="19"/>
      <c r="F55" s="19"/>
      <c r="G55" s="19"/>
      <c r="H55" s="19"/>
      <c r="I55" s="19"/>
      <c r="J55" s="25"/>
      <c r="K55" s="26"/>
      <c r="L55" s="27"/>
      <c r="M55" s="10"/>
      <c r="N55" s="28"/>
      <c r="O55" s="27"/>
      <c r="P55" s="28"/>
      <c r="Q55" s="29"/>
      <c r="R55" s="27"/>
      <c r="S55" s="10"/>
      <c r="T55" s="27"/>
      <c r="U55" s="4"/>
      <c r="V55" s="4"/>
      <c r="W55" s="21"/>
      <c r="X55" s="30"/>
      <c r="Y55" s="30"/>
      <c r="Z55" s="21"/>
      <c r="AA55" s="22"/>
      <c r="AB55" s="22"/>
      <c r="AC55" s="21"/>
      <c r="AD55" s="22"/>
      <c r="AE55" s="22"/>
      <c r="AF55" s="22"/>
      <c r="AG55" s="21"/>
    </row>
    <row r="56" spans="1:33" s="41" customFormat="1" ht="49.5" customHeight="1">
      <c r="A56" s="36">
        <v>214.71100000000001</v>
      </c>
      <c r="B56" s="18">
        <f t="shared" ref="B56:B93" si="4">IF(ISNUMBER(A56),
IF(AND(A56=INT(A56), MOD(A56, 10) = 0), 0,
IF(AND(A56=INT(A56), LEN(A56)=2), 1,
IF(AND(A56=INT(A56), LEN(A56)=3), 2,
LEN(A56) - FIND(".", A56) + 2)
)
),
"")</f>
        <v>5</v>
      </c>
      <c r="C56" s="24" t="s">
        <v>156</v>
      </c>
      <c r="D56" s="19" t="str">
        <f t="shared" si="2"/>
        <v xml:space="preserve">                              Emergency Building Slab Roof</v>
      </c>
      <c r="E56" s="19" t="s">
        <v>35</v>
      </c>
      <c r="F56" s="19"/>
      <c r="G56" s="19"/>
      <c r="H56" s="19"/>
      <c r="I56" s="19"/>
      <c r="J56" s="25"/>
      <c r="K56" s="26">
        <f>1200</f>
        <v>1200</v>
      </c>
      <c r="L56" s="27" t="s">
        <v>80</v>
      </c>
      <c r="M56" s="10" t="s">
        <v>157</v>
      </c>
      <c r="N56" s="28"/>
      <c r="O56" s="27" t="s">
        <v>82</v>
      </c>
      <c r="P56" s="28"/>
      <c r="Q56" s="29">
        <v>2024</v>
      </c>
      <c r="R56" s="28" t="s">
        <v>96</v>
      </c>
      <c r="S56" s="203" t="s">
        <v>115</v>
      </c>
      <c r="T56" s="203" t="s">
        <v>75</v>
      </c>
      <c r="U56" s="204" t="s">
        <v>76</v>
      </c>
      <c r="V56" s="4"/>
      <c r="W56" s="21" t="s">
        <v>77</v>
      </c>
      <c r="X56" s="30">
        <f>0.9*$J56</f>
        <v>0</v>
      </c>
      <c r="Y56" s="30">
        <f>1.5*J56</f>
        <v>0</v>
      </c>
      <c r="Z56" s="21" t="s">
        <v>44</v>
      </c>
      <c r="AA56" s="22">
        <f>0.9*K56</f>
        <v>1080</v>
      </c>
      <c r="AB56" s="22">
        <f>1.3*K56</f>
        <v>1560</v>
      </c>
      <c r="AC56" s="21" t="s">
        <v>44</v>
      </c>
      <c r="AD56" s="22" t="s">
        <v>45</v>
      </c>
      <c r="AE56" s="22" t="s">
        <v>46</v>
      </c>
      <c r="AF56" s="22" t="s">
        <v>47</v>
      </c>
      <c r="AG56" s="21" t="s">
        <v>48</v>
      </c>
    </row>
    <row r="57" spans="1:33" s="41" customFormat="1" ht="49.5" customHeight="1">
      <c r="A57" s="36">
        <v>214.71199999999999</v>
      </c>
      <c r="B57" s="18">
        <f t="shared" si="4"/>
        <v>5</v>
      </c>
      <c r="C57" s="24" t="s">
        <v>158</v>
      </c>
      <c r="D57" s="19" t="str">
        <f t="shared" si="2"/>
        <v xml:space="preserve">                              Emergency Building Basement</v>
      </c>
      <c r="E57" s="19" t="s">
        <v>35</v>
      </c>
      <c r="F57" s="19"/>
      <c r="G57" s="19"/>
      <c r="H57" s="19"/>
      <c r="I57" s="19"/>
      <c r="J57" s="25"/>
      <c r="K57" s="26">
        <f>943.9</f>
        <v>943.9</v>
      </c>
      <c r="L57" s="27" t="s">
        <v>80</v>
      </c>
      <c r="M57" s="10" t="s">
        <v>159</v>
      </c>
      <c r="N57" s="28"/>
      <c r="O57" s="27" t="s">
        <v>82</v>
      </c>
      <c r="P57" s="28"/>
      <c r="Q57" s="29">
        <v>2024</v>
      </c>
      <c r="R57" s="28" t="s">
        <v>96</v>
      </c>
      <c r="S57" s="203"/>
      <c r="T57" s="203"/>
      <c r="U57" s="203"/>
      <c r="V57" s="4"/>
      <c r="W57" s="21" t="s">
        <v>77</v>
      </c>
      <c r="X57" s="30">
        <f>0.9*$J57</f>
        <v>0</v>
      </c>
      <c r="Y57" s="30">
        <f>1.5*J57</f>
        <v>0</v>
      </c>
      <c r="Z57" s="21" t="s">
        <v>44</v>
      </c>
      <c r="AA57" s="22">
        <f>0.9*K57</f>
        <v>849.51</v>
      </c>
      <c r="AB57" s="22">
        <f>1.3*K57</f>
        <v>1227.07</v>
      </c>
      <c r="AC57" s="21" t="s">
        <v>44</v>
      </c>
      <c r="AD57" s="22" t="s">
        <v>45</v>
      </c>
      <c r="AE57" s="22" t="s">
        <v>46</v>
      </c>
      <c r="AF57" s="22" t="s">
        <v>47</v>
      </c>
      <c r="AG57" s="21" t="s">
        <v>48</v>
      </c>
    </row>
    <row r="58" spans="1:33" s="41" customFormat="1" ht="74.25" customHeight="1">
      <c r="A58" s="36">
        <v>214.71299999999999</v>
      </c>
      <c r="B58" s="18">
        <f t="shared" si="4"/>
        <v>5</v>
      </c>
      <c r="C58" s="24" t="s">
        <v>160</v>
      </c>
      <c r="D58" s="19" t="str">
        <f t="shared" si="2"/>
        <v xml:space="preserve">                              Emergency Building Walls</v>
      </c>
      <c r="E58" s="19" t="s">
        <v>35</v>
      </c>
      <c r="F58" s="19"/>
      <c r="G58" s="19"/>
      <c r="H58" s="19"/>
      <c r="I58" s="19"/>
      <c r="J58" s="25"/>
      <c r="K58" s="26">
        <f>721.21</f>
        <v>721.21</v>
      </c>
      <c r="L58" s="27" t="s">
        <v>80</v>
      </c>
      <c r="M58" s="10" t="s">
        <v>161</v>
      </c>
      <c r="N58" s="28"/>
      <c r="O58" s="27" t="s">
        <v>82</v>
      </c>
      <c r="P58" s="28"/>
      <c r="Q58" s="29">
        <v>2024</v>
      </c>
      <c r="R58" s="27" t="s">
        <v>96</v>
      </c>
      <c r="S58" s="203"/>
      <c r="T58" s="203"/>
      <c r="U58" s="203"/>
      <c r="V58" s="4"/>
      <c r="W58" s="21" t="s">
        <v>77</v>
      </c>
      <c r="X58" s="30">
        <f>0.9*$J58</f>
        <v>0</v>
      </c>
      <c r="Y58" s="30">
        <f>1.5*J58</f>
        <v>0</v>
      </c>
      <c r="Z58" s="21" t="s">
        <v>44</v>
      </c>
      <c r="AA58" s="22">
        <f>0.9*K58</f>
        <v>649.08900000000006</v>
      </c>
      <c r="AB58" s="22">
        <f>1.3*K58</f>
        <v>937.57300000000009</v>
      </c>
      <c r="AC58" s="21" t="s">
        <v>44</v>
      </c>
      <c r="AD58" s="22" t="s">
        <v>45</v>
      </c>
      <c r="AE58" s="22" t="s">
        <v>46</v>
      </c>
      <c r="AF58" s="22" t="s">
        <v>47</v>
      </c>
      <c r="AG58" s="21" t="s">
        <v>48</v>
      </c>
    </row>
    <row r="59" spans="1:33" s="41" customFormat="1" ht="74.25" customHeight="1">
      <c r="A59" s="36">
        <v>214.72</v>
      </c>
      <c r="B59" s="18">
        <f t="shared" si="4"/>
        <v>4</v>
      </c>
      <c r="C59" s="24" t="s">
        <v>826</v>
      </c>
      <c r="D59" s="19" t="str">
        <f t="shared" si="2"/>
        <v xml:space="preserve">                        Backup Power Outdoor</v>
      </c>
      <c r="E59" s="19"/>
      <c r="F59" s="19"/>
      <c r="G59" s="19"/>
      <c r="H59" s="19"/>
      <c r="I59" s="19"/>
      <c r="J59" s="25"/>
      <c r="K59" s="26"/>
      <c r="L59" s="27"/>
      <c r="M59" s="10"/>
      <c r="N59" s="28"/>
      <c r="O59" s="27"/>
      <c r="P59" s="28"/>
      <c r="Q59" s="29"/>
      <c r="R59" s="27"/>
      <c r="S59" s="10"/>
      <c r="T59" s="10"/>
      <c r="U59" s="10"/>
      <c r="V59" s="4"/>
      <c r="W59" s="21"/>
      <c r="X59" s="30"/>
      <c r="Y59" s="30"/>
      <c r="Z59" s="21"/>
      <c r="AA59" s="22"/>
      <c r="AB59" s="22"/>
      <c r="AC59" s="21"/>
      <c r="AD59" s="22"/>
      <c r="AE59" s="22"/>
      <c r="AF59" s="22"/>
      <c r="AG59" s="21"/>
    </row>
    <row r="60" spans="1:33" ht="184.5" customHeight="1">
      <c r="A60" s="36">
        <v>214.721</v>
      </c>
      <c r="B60" s="18">
        <f t="shared" si="4"/>
        <v>5</v>
      </c>
      <c r="C60" s="42" t="s">
        <v>162</v>
      </c>
      <c r="D60" s="19" t="str">
        <f t="shared" si="2"/>
        <v xml:space="preserve">                              Diesel Generator</v>
      </c>
      <c r="E60" s="19" t="s">
        <v>35</v>
      </c>
      <c r="F60" s="19"/>
      <c r="G60" s="19"/>
      <c r="H60" s="19"/>
      <c r="I60" s="19"/>
      <c r="J60" s="25"/>
      <c r="K60" s="43">
        <f>MARVEL_Cost!C11/N60</f>
        <v>2717311.5662650601</v>
      </c>
      <c r="L60" s="27" t="s">
        <v>108</v>
      </c>
      <c r="M60" s="10" t="s">
        <v>109</v>
      </c>
      <c r="N60" s="27">
        <f>'Design Variables'!B3/1000</f>
        <v>8.3000000000000004E-2</v>
      </c>
      <c r="O60" s="27" t="s">
        <v>110</v>
      </c>
      <c r="P60" s="27">
        <v>0.7</v>
      </c>
      <c r="Q60" s="29">
        <v>2024</v>
      </c>
      <c r="R60" s="27" t="s">
        <v>163</v>
      </c>
      <c r="S60" s="10" t="s">
        <v>164</v>
      </c>
      <c r="T60" s="10" t="s">
        <v>165</v>
      </c>
      <c r="U60" s="44" t="s">
        <v>166</v>
      </c>
      <c r="V60" s="4"/>
      <c r="W60" s="21" t="s">
        <v>167</v>
      </c>
      <c r="X60" s="30">
        <f>0.9*$J60</f>
        <v>0</v>
      </c>
      <c r="Y60" s="30">
        <f>1.5*J60</f>
        <v>0</v>
      </c>
      <c r="Z60" s="21" t="s">
        <v>44</v>
      </c>
      <c r="AA60" s="22">
        <f>0.9*K60</f>
        <v>2445580.4096385543</v>
      </c>
      <c r="AB60" s="22">
        <f>1.3*K60</f>
        <v>3532505.0361445784</v>
      </c>
      <c r="AC60" s="21" t="s">
        <v>44</v>
      </c>
      <c r="AD60" s="22" t="s">
        <v>45</v>
      </c>
      <c r="AE60" s="22" t="s">
        <v>46</v>
      </c>
      <c r="AF60" s="22" t="s">
        <v>47</v>
      </c>
      <c r="AG60" s="21" t="s">
        <v>48</v>
      </c>
    </row>
    <row r="61" spans="1:33" ht="184.5" customHeight="1">
      <c r="A61" s="36">
        <v>214.72200000000001</v>
      </c>
      <c r="B61" s="18">
        <f t="shared" si="4"/>
        <v>5</v>
      </c>
      <c r="C61" s="42" t="s">
        <v>828</v>
      </c>
      <c r="D61" s="19" t="str">
        <f t="shared" si="2"/>
        <v xml:space="preserve">                              Diesel Generator Concrete Pad</v>
      </c>
      <c r="E61" s="19" t="s">
        <v>35</v>
      </c>
      <c r="F61" s="19"/>
      <c r="G61" s="19"/>
      <c r="H61" s="19"/>
      <c r="I61" s="19"/>
      <c r="J61" s="25">
        <f>0.7*29761</f>
        <v>20832.699999999997</v>
      </c>
      <c r="K61" s="43"/>
      <c r="L61" s="27"/>
      <c r="M61" s="10"/>
      <c r="N61" s="27"/>
      <c r="O61" s="27"/>
      <c r="P61" s="27"/>
      <c r="Q61" s="29">
        <v>2025</v>
      </c>
      <c r="R61" s="27" t="s">
        <v>96</v>
      </c>
      <c r="S61" s="10"/>
      <c r="T61" s="175" t="s">
        <v>820</v>
      </c>
      <c r="U61" s="44"/>
      <c r="V61" s="4"/>
      <c r="W61" s="21" t="s">
        <v>77</v>
      </c>
      <c r="X61" s="30"/>
      <c r="Y61" s="30"/>
      <c r="Z61" s="21" t="s">
        <v>44</v>
      </c>
      <c r="AA61" s="22">
        <f>0.9*K61</f>
        <v>0</v>
      </c>
      <c r="AB61" s="22">
        <f>1.3*K61</f>
        <v>0</v>
      </c>
      <c r="AC61" s="21" t="s">
        <v>44</v>
      </c>
      <c r="AD61" s="22" t="s">
        <v>827</v>
      </c>
      <c r="AE61" s="22" t="s">
        <v>46</v>
      </c>
      <c r="AF61" s="22" t="s">
        <v>47</v>
      </c>
      <c r="AG61" s="21" t="s">
        <v>48</v>
      </c>
    </row>
    <row r="62" spans="1:33" ht="22.5" customHeight="1">
      <c r="A62" s="36">
        <v>214.8</v>
      </c>
      <c r="B62" s="18">
        <f t="shared" si="4"/>
        <v>3</v>
      </c>
      <c r="C62" s="42" t="s">
        <v>168</v>
      </c>
      <c r="D62" s="19" t="str">
        <f t="shared" si="2"/>
        <v xml:space="preserve">                  Auxilliary Building</v>
      </c>
      <c r="E62" s="19"/>
      <c r="F62" s="19"/>
      <c r="G62" s="19"/>
      <c r="H62" s="19"/>
      <c r="I62" s="19"/>
      <c r="J62" s="25"/>
      <c r="K62" s="43"/>
      <c r="L62" s="27"/>
      <c r="M62" s="10"/>
      <c r="N62" s="27"/>
      <c r="O62" s="27"/>
      <c r="P62" s="27"/>
      <c r="Q62" s="29"/>
      <c r="R62" s="27"/>
      <c r="S62" s="10"/>
      <c r="T62" s="10"/>
      <c r="U62" s="44"/>
      <c r="V62" s="4"/>
      <c r="W62" s="21"/>
      <c r="X62" s="30"/>
      <c r="Y62" s="30"/>
      <c r="Z62" s="21"/>
      <c r="AA62" s="22"/>
      <c r="AB62" s="22"/>
      <c r="AC62" s="21"/>
      <c r="AD62" s="22"/>
      <c r="AE62" s="22"/>
      <c r="AF62" s="22"/>
      <c r="AG62" s="21"/>
    </row>
    <row r="63" spans="1:33" ht="26.25" customHeight="1">
      <c r="A63" s="36">
        <v>214.81</v>
      </c>
      <c r="B63" s="18">
        <f t="shared" si="4"/>
        <v>4</v>
      </c>
      <c r="C63" s="42" t="s">
        <v>169</v>
      </c>
      <c r="D63" s="19" t="str">
        <f t="shared" si="2"/>
        <v xml:space="preserve">                        Maniplator Building</v>
      </c>
      <c r="E63" s="19"/>
      <c r="F63" s="19"/>
      <c r="G63" s="27"/>
      <c r="H63" s="27"/>
      <c r="I63" s="27"/>
      <c r="J63" s="25"/>
      <c r="K63" s="43"/>
      <c r="L63" s="27"/>
      <c r="M63" s="10"/>
      <c r="N63" s="27"/>
      <c r="O63" s="27"/>
      <c r="P63" s="27"/>
      <c r="Q63" s="29"/>
      <c r="R63" s="27"/>
      <c r="S63" s="10"/>
      <c r="T63" s="10"/>
      <c r="U63" s="44"/>
      <c r="V63" s="4"/>
      <c r="W63" s="21"/>
      <c r="X63" s="30"/>
      <c r="Y63" s="30"/>
      <c r="Z63" s="21"/>
      <c r="AA63" s="22"/>
      <c r="AB63" s="22"/>
      <c r="AC63" s="21"/>
      <c r="AD63" s="22"/>
      <c r="AE63" s="22"/>
      <c r="AF63" s="22"/>
      <c r="AG63" s="21"/>
    </row>
    <row r="64" spans="1:33" ht="75.75" customHeight="1">
      <c r="A64" s="36">
        <v>214.81100000000001</v>
      </c>
      <c r="B64" s="18">
        <f t="shared" si="4"/>
        <v>5</v>
      </c>
      <c r="C64" s="42" t="s">
        <v>170</v>
      </c>
      <c r="D64" s="19" t="str">
        <f t="shared" si="2"/>
        <v xml:space="preserve">                              Manipulator Building Slab Roof</v>
      </c>
      <c r="E64" s="19" t="s">
        <v>35</v>
      </c>
      <c r="F64" s="19"/>
      <c r="G64" s="27"/>
      <c r="H64" s="27"/>
      <c r="I64" s="27"/>
      <c r="J64" s="25"/>
      <c r="K64" s="26">
        <f>1200</f>
        <v>1200</v>
      </c>
      <c r="L64" s="27" t="s">
        <v>80</v>
      </c>
      <c r="M64" s="42" t="s">
        <v>171</v>
      </c>
      <c r="N64" s="27"/>
      <c r="O64" s="27" t="s">
        <v>82</v>
      </c>
      <c r="P64" s="28"/>
      <c r="Q64" s="29">
        <v>2024</v>
      </c>
      <c r="R64" s="28" t="s">
        <v>96</v>
      </c>
      <c r="S64" s="203" t="s">
        <v>115</v>
      </c>
      <c r="T64" s="203" t="s">
        <v>75</v>
      </c>
      <c r="U64" s="204" t="s">
        <v>76</v>
      </c>
      <c r="V64" s="202" t="s">
        <v>172</v>
      </c>
      <c r="W64" s="21" t="s">
        <v>77</v>
      </c>
      <c r="X64" s="30">
        <f>0.9*$J64</f>
        <v>0</v>
      </c>
      <c r="Y64" s="30">
        <f>1.5*J64</f>
        <v>0</v>
      </c>
      <c r="Z64" s="21" t="s">
        <v>44</v>
      </c>
      <c r="AA64" s="22">
        <f>0.9*K64</f>
        <v>1080</v>
      </c>
      <c r="AB64" s="22">
        <f>1.3*K64</f>
        <v>1560</v>
      </c>
      <c r="AC64" s="21" t="s">
        <v>44</v>
      </c>
      <c r="AD64" s="22" t="s">
        <v>45</v>
      </c>
      <c r="AE64" s="22" t="s">
        <v>46</v>
      </c>
      <c r="AF64" s="22" t="s">
        <v>47</v>
      </c>
      <c r="AG64" s="21" t="s">
        <v>48</v>
      </c>
    </row>
    <row r="65" spans="1:33" ht="75.75" customHeight="1">
      <c r="A65" s="36">
        <v>214.81200000000001</v>
      </c>
      <c r="B65" s="18">
        <f t="shared" si="4"/>
        <v>5</v>
      </c>
      <c r="C65" s="42" t="s">
        <v>173</v>
      </c>
      <c r="D65" s="19" t="str">
        <f t="shared" si="2"/>
        <v xml:space="preserve">                              ManipulatorBuilding Basement</v>
      </c>
      <c r="E65" s="19" t="s">
        <v>35</v>
      </c>
      <c r="F65" s="19"/>
      <c r="G65" s="27"/>
      <c r="H65" s="27"/>
      <c r="I65" s="27"/>
      <c r="J65" s="25"/>
      <c r="K65" s="26">
        <f>943.9</f>
        <v>943.9</v>
      </c>
      <c r="L65" s="27" t="s">
        <v>80</v>
      </c>
      <c r="M65" s="42" t="s">
        <v>174</v>
      </c>
      <c r="N65" s="27"/>
      <c r="O65" s="27" t="s">
        <v>82</v>
      </c>
      <c r="P65" s="28"/>
      <c r="Q65" s="29">
        <v>2024</v>
      </c>
      <c r="R65" s="28" t="s">
        <v>96</v>
      </c>
      <c r="S65" s="203"/>
      <c r="T65" s="203"/>
      <c r="U65" s="203"/>
      <c r="V65" s="203"/>
      <c r="W65" s="21" t="s">
        <v>77</v>
      </c>
      <c r="X65" s="30">
        <f>0.9*$J65</f>
        <v>0</v>
      </c>
      <c r="Y65" s="30">
        <f>1.5*J65</f>
        <v>0</v>
      </c>
      <c r="Z65" s="21" t="s">
        <v>44</v>
      </c>
      <c r="AA65" s="22">
        <f>0.9*K65</f>
        <v>849.51</v>
      </c>
      <c r="AB65" s="22">
        <f>1.3*K65</f>
        <v>1227.07</v>
      </c>
      <c r="AC65" s="21" t="s">
        <v>44</v>
      </c>
      <c r="AD65" s="22" t="s">
        <v>45</v>
      </c>
      <c r="AE65" s="22" t="s">
        <v>46</v>
      </c>
      <c r="AF65" s="22" t="s">
        <v>47</v>
      </c>
      <c r="AG65" s="21" t="s">
        <v>48</v>
      </c>
    </row>
    <row r="66" spans="1:33" ht="75.75" customHeight="1">
      <c r="A66" s="36">
        <v>214.81299999999999</v>
      </c>
      <c r="B66" s="18">
        <f t="shared" si="4"/>
        <v>5</v>
      </c>
      <c r="C66" s="42" t="s">
        <v>175</v>
      </c>
      <c r="D66" s="19" t="str">
        <f t="shared" si="2"/>
        <v xml:space="preserve">                              Manipulator Building Exterior Walls</v>
      </c>
      <c r="E66" s="19" t="s">
        <v>35</v>
      </c>
      <c r="F66" s="19"/>
      <c r="G66" s="27"/>
      <c r="H66" s="27"/>
      <c r="I66" s="27"/>
      <c r="J66" s="25"/>
      <c r="K66" s="26">
        <f>721.21</f>
        <v>721.21</v>
      </c>
      <c r="L66" s="27" t="s">
        <v>80</v>
      </c>
      <c r="M66" s="42" t="s">
        <v>176</v>
      </c>
      <c r="N66" s="27"/>
      <c r="O66" s="27" t="s">
        <v>82</v>
      </c>
      <c r="P66" s="28"/>
      <c r="Q66" s="29">
        <v>2024</v>
      </c>
      <c r="R66" s="27" t="s">
        <v>96</v>
      </c>
      <c r="S66" s="203"/>
      <c r="T66" s="203"/>
      <c r="U66" s="203"/>
      <c r="V66" s="203"/>
      <c r="W66" s="21" t="s">
        <v>77</v>
      </c>
      <c r="X66" s="30">
        <f>0.9*$J66</f>
        <v>0</v>
      </c>
      <c r="Y66" s="30">
        <f>1.5*J66</f>
        <v>0</v>
      </c>
      <c r="Z66" s="21" t="s">
        <v>44</v>
      </c>
      <c r="AA66" s="22">
        <f>0.9*K66</f>
        <v>649.08900000000006</v>
      </c>
      <c r="AB66" s="22">
        <f>1.3*K66</f>
        <v>937.57300000000009</v>
      </c>
      <c r="AC66" s="21" t="s">
        <v>44</v>
      </c>
      <c r="AD66" s="22" t="s">
        <v>45</v>
      </c>
      <c r="AE66" s="22" t="s">
        <v>46</v>
      </c>
      <c r="AF66" s="22" t="s">
        <v>47</v>
      </c>
      <c r="AG66" s="21" t="s">
        <v>48</v>
      </c>
    </row>
    <row r="67" spans="1:33" ht="75.75" customHeight="1">
      <c r="A67" s="168">
        <v>214.9</v>
      </c>
      <c r="B67" s="18">
        <f t="shared" si="4"/>
        <v>3</v>
      </c>
      <c r="C67" s="185" t="s">
        <v>818</v>
      </c>
      <c r="D67" s="171" t="str">
        <f t="shared" si="2"/>
        <v xml:space="preserve">                  Encompassing Buildings</v>
      </c>
      <c r="E67" s="171"/>
      <c r="F67" s="171"/>
      <c r="G67" s="174"/>
      <c r="H67" s="11"/>
      <c r="I67" s="11"/>
      <c r="J67" s="184"/>
      <c r="K67" s="173"/>
      <c r="L67" s="174"/>
      <c r="M67" s="185"/>
      <c r="N67" s="174"/>
      <c r="O67" s="174"/>
      <c r="P67" s="176"/>
      <c r="Q67" s="177"/>
      <c r="R67" s="174"/>
      <c r="S67" s="186"/>
      <c r="T67" s="186"/>
      <c r="U67" s="187"/>
      <c r="V67" s="188"/>
      <c r="W67" s="180"/>
      <c r="X67" s="181"/>
      <c r="Y67" s="181"/>
      <c r="Z67" s="180"/>
      <c r="AA67" s="182"/>
      <c r="AB67" s="182"/>
      <c r="AC67" s="180"/>
      <c r="AD67" s="182"/>
      <c r="AE67" s="182"/>
      <c r="AF67" s="182"/>
      <c r="AG67" s="180"/>
    </row>
    <row r="68" spans="1:33" ht="75.75" customHeight="1">
      <c r="A68" s="168">
        <v>214.91</v>
      </c>
      <c r="B68" s="18">
        <f t="shared" si="4"/>
        <v>4</v>
      </c>
      <c r="C68" s="185" t="s">
        <v>819</v>
      </c>
      <c r="D68" s="171" t="str">
        <f t="shared" si="2"/>
        <v xml:space="preserve">                        Overarching steel building</v>
      </c>
      <c r="E68" s="171" t="s">
        <v>35</v>
      </c>
      <c r="F68" s="171"/>
      <c r="G68" s="174"/>
      <c r="H68" s="11"/>
      <c r="I68" s="11"/>
      <c r="J68" s="172">
        <f>0.7*42394117</f>
        <v>29675881.899999999</v>
      </c>
      <c r="K68" s="173"/>
      <c r="L68" s="174" t="s">
        <v>102</v>
      </c>
      <c r="M68" s="185"/>
      <c r="N68" s="174">
        <v>2896</v>
      </c>
      <c r="O68" s="174" t="s">
        <v>104</v>
      </c>
      <c r="P68" s="176"/>
      <c r="Q68" s="177">
        <v>2025</v>
      </c>
      <c r="R68" s="174" t="s">
        <v>96</v>
      </c>
      <c r="S68" s="186"/>
      <c r="T68" s="175" t="s">
        <v>820</v>
      </c>
      <c r="U68" s="187"/>
      <c r="V68" s="188"/>
      <c r="W68" s="180" t="s">
        <v>77</v>
      </c>
      <c r="X68" s="181">
        <f>0.9*$J68</f>
        <v>26708293.710000001</v>
      </c>
      <c r="Y68" s="181">
        <f>1.5*J68</f>
        <v>44513822.849999994</v>
      </c>
      <c r="Z68" s="180" t="s">
        <v>44</v>
      </c>
      <c r="AA68" s="182">
        <f t="shared" ref="AA68" si="5">0.9*K68</f>
        <v>0</v>
      </c>
      <c r="AB68" s="182">
        <f t="shared" ref="AB68" si="6">1.3*K68</f>
        <v>0</v>
      </c>
      <c r="AC68" s="180" t="s">
        <v>44</v>
      </c>
      <c r="AD68" s="182" t="s">
        <v>45</v>
      </c>
      <c r="AE68" s="182" t="s">
        <v>46</v>
      </c>
      <c r="AF68" s="182" t="s">
        <v>47</v>
      </c>
      <c r="AG68" s="180" t="s">
        <v>48</v>
      </c>
    </row>
    <row r="69" spans="1:33" ht="26.25" customHeight="1">
      <c r="A69" s="36">
        <v>215</v>
      </c>
      <c r="B69" s="18">
        <f t="shared" si="4"/>
        <v>2</v>
      </c>
      <c r="C69" s="42" t="s">
        <v>177</v>
      </c>
      <c r="D69" s="19" t="str">
        <f t="shared" si="2"/>
        <v xml:space="preserve">            Supply Chain Buildings</v>
      </c>
      <c r="E69" s="19"/>
      <c r="F69" s="19"/>
      <c r="G69" s="19"/>
      <c r="H69" s="19"/>
      <c r="I69" s="19"/>
      <c r="J69" s="25"/>
      <c r="K69" s="43"/>
      <c r="L69" s="27"/>
      <c r="M69" s="10"/>
      <c r="N69" s="27"/>
      <c r="O69" s="27"/>
      <c r="P69" s="27"/>
      <c r="Q69" s="29"/>
      <c r="R69" s="27"/>
      <c r="S69" s="10"/>
      <c r="T69" s="10"/>
      <c r="U69" s="44"/>
      <c r="V69" s="4"/>
      <c r="W69" s="21"/>
      <c r="X69" s="30"/>
      <c r="Y69" s="30"/>
      <c r="Z69" s="21"/>
      <c r="AA69" s="22"/>
      <c r="AB69" s="22"/>
      <c r="AC69" s="21"/>
      <c r="AD69" s="22"/>
      <c r="AE69" s="22"/>
      <c r="AF69" s="22"/>
      <c r="AG69" s="21"/>
    </row>
    <row r="70" spans="1:33" ht="26.25" customHeight="1">
      <c r="A70" s="36">
        <v>215.1</v>
      </c>
      <c r="B70" s="18">
        <f t="shared" si="4"/>
        <v>3</v>
      </c>
      <c r="C70" s="42" t="s">
        <v>178</v>
      </c>
      <c r="D70" s="19" t="str">
        <f t="shared" si="2"/>
        <v xml:space="preserve">                  Storage Building</v>
      </c>
      <c r="E70" s="19"/>
      <c r="F70" s="19"/>
      <c r="G70" s="19"/>
      <c r="H70" s="19"/>
      <c r="I70" s="19"/>
      <c r="J70" s="25"/>
      <c r="K70" s="43"/>
      <c r="L70" s="27"/>
      <c r="M70" s="10"/>
      <c r="N70" s="27"/>
      <c r="O70" s="27"/>
      <c r="P70" s="27"/>
      <c r="Q70" s="29"/>
      <c r="R70" s="27"/>
      <c r="S70" s="10"/>
      <c r="T70" s="10"/>
      <c r="U70" s="44"/>
      <c r="V70" s="4"/>
      <c r="W70" s="21"/>
      <c r="X70" s="30"/>
      <c r="Y70" s="30"/>
      <c r="Z70" s="21"/>
      <c r="AA70" s="22"/>
      <c r="AB70" s="22"/>
      <c r="AC70" s="21"/>
      <c r="AD70" s="22"/>
      <c r="AE70" s="22"/>
      <c r="AF70" s="22"/>
      <c r="AG70" s="21"/>
    </row>
    <row r="71" spans="1:33" ht="51.75" customHeight="1">
      <c r="A71" s="36">
        <v>215.11</v>
      </c>
      <c r="B71" s="18">
        <f t="shared" si="4"/>
        <v>4</v>
      </c>
      <c r="C71" s="42" t="s">
        <v>179</v>
      </c>
      <c r="D71" s="19" t="str">
        <f t="shared" si="2"/>
        <v xml:space="preserve">                        Storage Building Slab Roof</v>
      </c>
      <c r="E71" s="19" t="s">
        <v>35</v>
      </c>
      <c r="F71" s="19"/>
      <c r="G71" s="19"/>
      <c r="H71" s="19"/>
      <c r="I71" s="19"/>
      <c r="J71" s="25"/>
      <c r="K71" s="26">
        <f>1200</f>
        <v>1200</v>
      </c>
      <c r="L71" s="27" t="s">
        <v>80</v>
      </c>
      <c r="M71" s="10" t="s">
        <v>180</v>
      </c>
      <c r="N71" s="27"/>
      <c r="O71" s="27" t="s">
        <v>82</v>
      </c>
      <c r="P71" s="27"/>
      <c r="Q71" s="29">
        <v>2024</v>
      </c>
      <c r="R71" s="27" t="s">
        <v>96</v>
      </c>
      <c r="S71" s="203" t="s">
        <v>115</v>
      </c>
      <c r="T71" s="203" t="s">
        <v>75</v>
      </c>
      <c r="U71" s="204" t="s">
        <v>76</v>
      </c>
      <c r="V71" s="4"/>
      <c r="W71" s="21" t="s">
        <v>77</v>
      </c>
      <c r="X71" s="30">
        <f>0.9*$J71</f>
        <v>0</v>
      </c>
      <c r="Y71" s="30">
        <f>1.5*J71</f>
        <v>0</v>
      </c>
      <c r="Z71" s="21" t="s">
        <v>44</v>
      </c>
      <c r="AA71" s="22">
        <f>0.9*K71</f>
        <v>1080</v>
      </c>
      <c r="AB71" s="22">
        <f>1.3*K71</f>
        <v>1560</v>
      </c>
      <c r="AC71" s="21" t="s">
        <v>44</v>
      </c>
      <c r="AD71" s="22" t="s">
        <v>45</v>
      </c>
      <c r="AE71" s="22" t="s">
        <v>46</v>
      </c>
      <c r="AF71" s="22" t="s">
        <v>47</v>
      </c>
      <c r="AG71" s="21" t="s">
        <v>48</v>
      </c>
    </row>
    <row r="72" spans="1:33" ht="51.75" customHeight="1">
      <c r="A72" s="36">
        <v>215.12</v>
      </c>
      <c r="B72" s="18">
        <f t="shared" si="4"/>
        <v>4</v>
      </c>
      <c r="C72" s="42" t="s">
        <v>181</v>
      </c>
      <c r="D72" s="19" t="str">
        <f t="shared" si="2"/>
        <v xml:space="preserve">                        Storage Building Basement</v>
      </c>
      <c r="E72" s="19" t="s">
        <v>35</v>
      </c>
      <c r="F72" s="19"/>
      <c r="G72" s="19"/>
      <c r="H72" s="19"/>
      <c r="I72" s="19"/>
      <c r="J72" s="25"/>
      <c r="K72" s="26">
        <f>943.9</f>
        <v>943.9</v>
      </c>
      <c r="L72" s="27" t="s">
        <v>80</v>
      </c>
      <c r="M72" s="10" t="s">
        <v>182</v>
      </c>
      <c r="N72" s="27"/>
      <c r="O72" s="27" t="s">
        <v>82</v>
      </c>
      <c r="P72" s="27"/>
      <c r="Q72" s="29">
        <v>2024</v>
      </c>
      <c r="R72" s="27" t="s">
        <v>96</v>
      </c>
      <c r="S72" s="203"/>
      <c r="T72" s="203"/>
      <c r="U72" s="203"/>
      <c r="V72" s="4"/>
      <c r="W72" s="21" t="s">
        <v>77</v>
      </c>
      <c r="X72" s="30">
        <f>0.9*$J72</f>
        <v>0</v>
      </c>
      <c r="Y72" s="30">
        <f>1.5*J72</f>
        <v>0</v>
      </c>
      <c r="Z72" s="21" t="s">
        <v>44</v>
      </c>
      <c r="AA72" s="22">
        <f>0.9*K72</f>
        <v>849.51</v>
      </c>
      <c r="AB72" s="22">
        <f>1.3*K72</f>
        <v>1227.07</v>
      </c>
      <c r="AC72" s="21" t="s">
        <v>44</v>
      </c>
      <c r="AD72" s="22" t="s">
        <v>45</v>
      </c>
      <c r="AE72" s="22" t="s">
        <v>46</v>
      </c>
      <c r="AF72" s="22" t="s">
        <v>47</v>
      </c>
      <c r="AG72" s="21" t="s">
        <v>48</v>
      </c>
    </row>
    <row r="73" spans="1:33" ht="75.75" customHeight="1">
      <c r="A73" s="36">
        <v>215.13</v>
      </c>
      <c r="B73" s="18">
        <f t="shared" si="4"/>
        <v>4</v>
      </c>
      <c r="C73" s="42" t="s">
        <v>183</v>
      </c>
      <c r="D73" s="19" t="str">
        <f t="shared" si="2"/>
        <v xml:space="preserve">                        Storage Building Walls</v>
      </c>
      <c r="E73" s="19" t="s">
        <v>35</v>
      </c>
      <c r="F73" s="19"/>
      <c r="G73" s="19"/>
      <c r="H73" s="19"/>
      <c r="I73" s="19"/>
      <c r="J73" s="25"/>
      <c r="K73" s="26">
        <f>721.21</f>
        <v>721.21</v>
      </c>
      <c r="L73" s="27" t="s">
        <v>80</v>
      </c>
      <c r="M73" s="10" t="s">
        <v>184</v>
      </c>
      <c r="N73" s="27"/>
      <c r="O73" s="27" t="s">
        <v>82</v>
      </c>
      <c r="P73" s="27"/>
      <c r="Q73" s="29">
        <v>2024</v>
      </c>
      <c r="R73" s="27" t="s">
        <v>96</v>
      </c>
      <c r="S73" s="203"/>
      <c r="T73" s="203"/>
      <c r="U73" s="203"/>
      <c r="V73" s="4"/>
      <c r="W73" s="21" t="s">
        <v>77</v>
      </c>
      <c r="X73" s="30">
        <f>0.9*$J73</f>
        <v>0</v>
      </c>
      <c r="Y73" s="30">
        <f>1.5*J73</f>
        <v>0</v>
      </c>
      <c r="Z73" s="21" t="s">
        <v>44</v>
      </c>
      <c r="AA73" s="22">
        <f>0.9*K73</f>
        <v>649.08900000000006</v>
      </c>
      <c r="AB73" s="22">
        <f>1.3*K73</f>
        <v>937.57300000000009</v>
      </c>
      <c r="AC73" s="21" t="s">
        <v>44</v>
      </c>
      <c r="AD73" s="22" t="s">
        <v>45</v>
      </c>
      <c r="AE73" s="22" t="s">
        <v>46</v>
      </c>
      <c r="AF73" s="22" t="s">
        <v>47</v>
      </c>
      <c r="AG73" s="21" t="s">
        <v>48</v>
      </c>
    </row>
    <row r="74" spans="1:33" ht="26.25" customHeight="1">
      <c r="A74" s="36">
        <v>215.4</v>
      </c>
      <c r="B74" s="18">
        <f t="shared" si="4"/>
        <v>3</v>
      </c>
      <c r="C74" s="42" t="s">
        <v>185</v>
      </c>
      <c r="D74" s="19" t="str">
        <f t="shared" si="2"/>
        <v xml:space="preserve">                  Radwaste Building</v>
      </c>
      <c r="E74" s="19"/>
      <c r="F74" s="19"/>
      <c r="G74" s="19"/>
      <c r="H74" s="19"/>
      <c r="I74" s="19"/>
      <c r="J74" s="25"/>
      <c r="K74" s="43"/>
      <c r="L74" s="27"/>
      <c r="M74" s="10"/>
      <c r="N74" s="27"/>
      <c r="O74" s="27"/>
      <c r="P74" s="27"/>
      <c r="Q74" s="29"/>
      <c r="R74" s="27"/>
      <c r="S74" s="10"/>
      <c r="T74" s="10"/>
      <c r="U74" s="44"/>
      <c r="V74" s="4"/>
      <c r="W74" s="21"/>
      <c r="X74" s="30"/>
      <c r="Y74" s="30"/>
      <c r="Z74" s="21"/>
      <c r="AA74" s="22"/>
      <c r="AB74" s="22"/>
      <c r="AC74" s="21"/>
      <c r="AD74" s="22"/>
      <c r="AE74" s="22"/>
      <c r="AF74" s="22"/>
      <c r="AG74" s="21"/>
    </row>
    <row r="75" spans="1:33" ht="51.75" customHeight="1">
      <c r="A75" s="36">
        <v>215.41</v>
      </c>
      <c r="B75" s="18">
        <f t="shared" si="4"/>
        <v>4</v>
      </c>
      <c r="C75" s="42" t="s">
        <v>186</v>
      </c>
      <c r="D75" s="19" t="str">
        <f t="shared" si="2"/>
        <v xml:space="preserve">                        Radwaste Building Slab Roof</v>
      </c>
      <c r="E75" s="19" t="s">
        <v>35</v>
      </c>
      <c r="F75" s="19"/>
      <c r="G75" s="19"/>
      <c r="H75" s="19"/>
      <c r="I75" s="19"/>
      <c r="J75" s="25"/>
      <c r="K75" s="26">
        <f>1200 *1.53</f>
        <v>1836</v>
      </c>
      <c r="L75" s="27" t="s">
        <v>80</v>
      </c>
      <c r="M75" s="10" t="s">
        <v>187</v>
      </c>
      <c r="N75" s="27"/>
      <c r="O75" s="27" t="s">
        <v>82</v>
      </c>
      <c r="P75" s="27"/>
      <c r="Q75" s="29">
        <v>2024</v>
      </c>
      <c r="R75" s="27" t="s">
        <v>96</v>
      </c>
      <c r="S75" s="203" t="s">
        <v>74</v>
      </c>
      <c r="T75" s="203" t="s">
        <v>75</v>
      </c>
      <c r="U75" s="204" t="s">
        <v>76</v>
      </c>
      <c r="V75" s="4"/>
      <c r="W75" s="21" t="s">
        <v>77</v>
      </c>
      <c r="X75" s="30">
        <f>0.9*$J75</f>
        <v>0</v>
      </c>
      <c r="Y75" s="30">
        <f>1.5*J75</f>
        <v>0</v>
      </c>
      <c r="Z75" s="21" t="s">
        <v>44</v>
      </c>
      <c r="AA75" s="22">
        <f>0.9*K75</f>
        <v>1652.4</v>
      </c>
      <c r="AB75" s="22">
        <f>1.3*K75</f>
        <v>2386.8000000000002</v>
      </c>
      <c r="AC75" s="21" t="s">
        <v>44</v>
      </c>
      <c r="AD75" s="22" t="s">
        <v>45</v>
      </c>
      <c r="AE75" s="22" t="s">
        <v>46</v>
      </c>
      <c r="AF75" s="22" t="s">
        <v>47</v>
      </c>
      <c r="AG75" s="21" t="s">
        <v>48</v>
      </c>
    </row>
    <row r="76" spans="1:33" ht="51.75" customHeight="1">
      <c r="A76" s="36">
        <v>215.42</v>
      </c>
      <c r="B76" s="18">
        <f t="shared" si="4"/>
        <v>4</v>
      </c>
      <c r="C76" s="42" t="s">
        <v>188</v>
      </c>
      <c r="D76" s="19" t="str">
        <f t="shared" ref="D76:D100" si="7">REPT("   ", B76*2) &amp; C76</f>
        <v xml:space="preserve">                        Radwaste Building Basement</v>
      </c>
      <c r="E76" s="19" t="s">
        <v>35</v>
      </c>
      <c r="F76" s="19"/>
      <c r="G76" s="19"/>
      <c r="H76" s="19"/>
      <c r="I76" s="19"/>
      <c r="J76" s="25"/>
      <c r="K76" s="26">
        <f>943.9*1.53</f>
        <v>1444.1669999999999</v>
      </c>
      <c r="L76" s="27" t="s">
        <v>80</v>
      </c>
      <c r="M76" s="10" t="s">
        <v>189</v>
      </c>
      <c r="N76" s="27"/>
      <c r="O76" s="27" t="s">
        <v>82</v>
      </c>
      <c r="P76" s="27"/>
      <c r="Q76" s="29">
        <v>2024</v>
      </c>
      <c r="R76" s="27" t="s">
        <v>96</v>
      </c>
      <c r="S76" s="203"/>
      <c r="T76" s="203"/>
      <c r="U76" s="203"/>
      <c r="V76" s="4"/>
      <c r="W76" s="21" t="s">
        <v>77</v>
      </c>
      <c r="X76" s="30">
        <f>0.9*$J76</f>
        <v>0</v>
      </c>
      <c r="Y76" s="30">
        <f>1.5*J76</f>
        <v>0</v>
      </c>
      <c r="Z76" s="21" t="s">
        <v>44</v>
      </c>
      <c r="AA76" s="22">
        <f>0.9*K76</f>
        <v>1299.7502999999999</v>
      </c>
      <c r="AB76" s="22">
        <f>1.3*K76</f>
        <v>1877.4170999999999</v>
      </c>
      <c r="AC76" s="21" t="s">
        <v>44</v>
      </c>
      <c r="AD76" s="22" t="s">
        <v>45</v>
      </c>
      <c r="AE76" s="22" t="s">
        <v>46</v>
      </c>
      <c r="AF76" s="22" t="s">
        <v>47</v>
      </c>
      <c r="AG76" s="21" t="s">
        <v>48</v>
      </c>
    </row>
    <row r="77" spans="1:33" ht="75.75" customHeight="1">
      <c r="A77" s="36">
        <v>215.43</v>
      </c>
      <c r="B77" s="18">
        <f t="shared" si="4"/>
        <v>4</v>
      </c>
      <c r="C77" s="42" t="s">
        <v>190</v>
      </c>
      <c r="D77" s="19" t="str">
        <f t="shared" si="7"/>
        <v xml:space="preserve">                        Radwaste Building Walls</v>
      </c>
      <c r="E77" s="19" t="s">
        <v>35</v>
      </c>
      <c r="F77" s="19"/>
      <c r="G77" s="19"/>
      <c r="H77" s="19"/>
      <c r="I77" s="19"/>
      <c r="J77" s="25"/>
      <c r="K77" s="26">
        <f>721.21*1.53</f>
        <v>1103.4513000000002</v>
      </c>
      <c r="L77" s="27" t="s">
        <v>80</v>
      </c>
      <c r="M77" s="10" t="s">
        <v>191</v>
      </c>
      <c r="N77" s="27"/>
      <c r="O77" s="27" t="s">
        <v>82</v>
      </c>
      <c r="P77" s="27"/>
      <c r="Q77" s="29">
        <v>2024</v>
      </c>
      <c r="R77" s="27" t="s">
        <v>96</v>
      </c>
      <c r="S77" s="203"/>
      <c r="T77" s="203"/>
      <c r="U77" s="203"/>
      <c r="V77" s="4"/>
      <c r="W77" s="21" t="s">
        <v>77</v>
      </c>
      <c r="X77" s="30">
        <f>0.9*$J77</f>
        <v>0</v>
      </c>
      <c r="Y77" s="30">
        <f>1.5*J77</f>
        <v>0</v>
      </c>
      <c r="Z77" s="21" t="s">
        <v>44</v>
      </c>
      <c r="AA77" s="22">
        <f>0.9*K77</f>
        <v>993.10617000000013</v>
      </c>
      <c r="AB77" s="22">
        <f>1.3*K77</f>
        <v>1434.4866900000002</v>
      </c>
      <c r="AC77" s="21" t="s">
        <v>44</v>
      </c>
      <c r="AD77" s="22" t="s">
        <v>45</v>
      </c>
      <c r="AE77" s="22" t="s">
        <v>46</v>
      </c>
      <c r="AF77" s="22" t="s">
        <v>47</v>
      </c>
      <c r="AG77" s="21" t="s">
        <v>48</v>
      </c>
    </row>
    <row r="78" spans="1:33" ht="75.75" customHeight="1">
      <c r="A78" s="168">
        <v>215.5</v>
      </c>
      <c r="B78" s="18">
        <f t="shared" si="4"/>
        <v>3</v>
      </c>
      <c r="C78" s="185" t="s">
        <v>823</v>
      </c>
      <c r="D78" s="171" t="str">
        <f t="shared" si="7"/>
        <v xml:space="preserve">                  O&amp;M support buildings</v>
      </c>
      <c r="E78" s="171"/>
      <c r="F78" s="171"/>
      <c r="G78" s="171"/>
      <c r="H78" s="11"/>
      <c r="I78" s="11"/>
      <c r="J78" s="172"/>
      <c r="K78" s="173"/>
      <c r="L78" s="174"/>
      <c r="M78" s="175"/>
      <c r="N78" s="174"/>
      <c r="O78" s="174"/>
      <c r="P78" s="174"/>
      <c r="Q78" s="177"/>
      <c r="R78" s="174"/>
      <c r="S78" s="175"/>
      <c r="T78" s="175"/>
      <c r="U78" s="178"/>
      <c r="V78" s="179"/>
      <c r="W78" s="180"/>
      <c r="X78" s="181"/>
      <c r="Y78" s="181"/>
      <c r="Z78" s="180"/>
      <c r="AA78" s="182"/>
      <c r="AB78" s="182"/>
      <c r="AC78" s="180"/>
      <c r="AD78" s="182"/>
      <c r="AE78" s="182"/>
      <c r="AF78" s="182"/>
      <c r="AG78" s="180"/>
    </row>
    <row r="79" spans="1:33" ht="75.75" customHeight="1">
      <c r="A79" s="168">
        <v>215.51</v>
      </c>
      <c r="B79" s="18">
        <f t="shared" si="4"/>
        <v>4</v>
      </c>
      <c r="C79" s="185" t="s">
        <v>824</v>
      </c>
      <c r="D79" s="171" t="str">
        <f t="shared" si="7"/>
        <v xml:space="preserve">                        O&amp;M support building structure</v>
      </c>
      <c r="E79" s="171"/>
      <c r="F79" s="171"/>
      <c r="G79" s="171"/>
      <c r="H79" s="11"/>
      <c r="I79" s="11"/>
      <c r="J79" s="172">
        <f>0.7*2152027</f>
        <v>1506418.9</v>
      </c>
      <c r="K79" s="173"/>
      <c r="L79" s="174"/>
      <c r="M79" s="175"/>
      <c r="N79" s="174"/>
      <c r="O79" s="174"/>
      <c r="P79" s="174"/>
      <c r="Q79" s="177">
        <v>2025</v>
      </c>
      <c r="R79" s="174" t="s">
        <v>96</v>
      </c>
      <c r="S79" s="175" t="s">
        <v>813</v>
      </c>
      <c r="T79" s="175" t="s">
        <v>822</v>
      </c>
      <c r="U79" s="178"/>
      <c r="V79" s="179"/>
      <c r="W79" s="180" t="s">
        <v>77</v>
      </c>
      <c r="X79" s="181">
        <f>0.9*$J79</f>
        <v>1355777.01</v>
      </c>
      <c r="Y79" s="181">
        <f t="shared" ref="Y79" si="8">1.5*J79</f>
        <v>2259628.3499999996</v>
      </c>
      <c r="Z79" s="180" t="s">
        <v>44</v>
      </c>
      <c r="AA79" s="182">
        <f t="shared" ref="AA79" si="9">0.9*K79</f>
        <v>0</v>
      </c>
      <c r="AB79" s="182">
        <f t="shared" ref="AB79" si="10">1.3*K79</f>
        <v>0</v>
      </c>
      <c r="AC79" s="180" t="s">
        <v>44</v>
      </c>
      <c r="AD79" s="182" t="s">
        <v>825</v>
      </c>
      <c r="AE79" s="182" t="s">
        <v>46</v>
      </c>
      <c r="AF79" s="182" t="s">
        <v>47</v>
      </c>
      <c r="AG79" s="180" t="s">
        <v>48</v>
      </c>
    </row>
    <row r="80" spans="1:33" ht="75.75" customHeight="1">
      <c r="A80" s="168">
        <v>215.52</v>
      </c>
      <c r="B80" s="18">
        <f t="shared" si="4"/>
        <v>4</v>
      </c>
      <c r="C80" s="185" t="s">
        <v>821</v>
      </c>
      <c r="D80" s="171" t="str">
        <f t="shared" si="7"/>
        <v xml:space="preserve">                        O&amp;M warehouse structure</v>
      </c>
      <c r="E80" s="171" t="s">
        <v>35</v>
      </c>
      <c r="F80" s="171"/>
      <c r="G80" s="171"/>
      <c r="H80" s="11"/>
      <c r="I80" s="11"/>
      <c r="J80" s="172">
        <f>0.7*3031087</f>
        <v>2121760.9</v>
      </c>
      <c r="K80" s="173"/>
      <c r="L80" s="174"/>
      <c r="M80" s="175"/>
      <c r="N80" s="174"/>
      <c r="O80" s="174"/>
      <c r="P80" s="174"/>
      <c r="Q80" s="177">
        <v>2025</v>
      </c>
      <c r="R80" s="174" t="s">
        <v>96</v>
      </c>
      <c r="S80" s="175" t="s">
        <v>813</v>
      </c>
      <c r="T80" s="175" t="s">
        <v>822</v>
      </c>
      <c r="U80" s="178"/>
      <c r="V80" s="179"/>
      <c r="W80" s="180" t="s">
        <v>77</v>
      </c>
      <c r="X80" s="181">
        <f>0.9*$J80</f>
        <v>1909584.81</v>
      </c>
      <c r="Y80" s="181">
        <f t="shared" ref="Y80" si="11">1.5*J80</f>
        <v>3182641.3499999996</v>
      </c>
      <c r="Z80" s="180" t="s">
        <v>44</v>
      </c>
      <c r="AA80" s="182">
        <f t="shared" ref="AA80" si="12">0.9*K80</f>
        <v>0</v>
      </c>
      <c r="AB80" s="182">
        <f t="shared" ref="AB80" si="13">1.3*K80</f>
        <v>0</v>
      </c>
      <c r="AC80" s="180" t="s">
        <v>44</v>
      </c>
      <c r="AD80" s="182" t="s">
        <v>45</v>
      </c>
      <c r="AE80" s="182" t="s">
        <v>46</v>
      </c>
      <c r="AF80" s="182" t="s">
        <v>47</v>
      </c>
      <c r="AG80" s="180" t="s">
        <v>48</v>
      </c>
    </row>
    <row r="81" spans="1:33" ht="26.25" customHeight="1">
      <c r="A81" s="15">
        <v>22</v>
      </c>
      <c r="B81" s="18">
        <f t="shared" si="4"/>
        <v>1</v>
      </c>
      <c r="C81" s="42" t="s">
        <v>192</v>
      </c>
      <c r="D81" s="19" t="str">
        <f t="shared" si="7"/>
        <v xml:space="preserve">      Reactor System</v>
      </c>
      <c r="E81" s="19"/>
      <c r="F81" s="19"/>
      <c r="G81" s="19"/>
      <c r="H81" s="19"/>
      <c r="I81" s="19"/>
      <c r="J81" s="25"/>
      <c r="K81" s="26"/>
      <c r="L81" s="28"/>
      <c r="M81" s="32"/>
      <c r="N81" s="4"/>
      <c r="O81" s="4"/>
      <c r="P81" s="4"/>
      <c r="Q81" s="29"/>
      <c r="R81" s="4"/>
      <c r="S81" s="32"/>
      <c r="T81" s="4"/>
      <c r="U81" s="4"/>
      <c r="V81" s="4"/>
      <c r="W81" s="21"/>
      <c r="X81" s="30"/>
      <c r="Y81" s="30"/>
      <c r="Z81" s="21"/>
      <c r="AA81" s="22"/>
      <c r="AB81" s="22"/>
      <c r="AC81" s="21"/>
      <c r="AD81" s="22"/>
      <c r="AE81" s="22"/>
      <c r="AF81" s="22"/>
      <c r="AG81" s="21"/>
    </row>
    <row r="82" spans="1:33" ht="26.25" customHeight="1">
      <c r="A82" s="36">
        <v>221</v>
      </c>
      <c r="B82" s="18">
        <f t="shared" si="4"/>
        <v>2</v>
      </c>
      <c r="C82" s="42" t="s">
        <v>193</v>
      </c>
      <c r="D82" s="19" t="str">
        <f t="shared" si="7"/>
        <v xml:space="preserve">            Reactor Components</v>
      </c>
      <c r="E82" s="19"/>
      <c r="F82" s="19"/>
      <c r="G82" s="19"/>
      <c r="H82" s="19"/>
      <c r="I82" s="19"/>
      <c r="J82" s="25"/>
      <c r="K82" s="26"/>
      <c r="L82" s="28"/>
      <c r="M82" s="32"/>
      <c r="N82" s="4"/>
      <c r="O82" s="4"/>
      <c r="P82" s="4"/>
      <c r="Q82" s="29"/>
      <c r="R82" s="4"/>
      <c r="S82" s="32"/>
      <c r="T82" s="4"/>
      <c r="U82" s="4"/>
      <c r="V82" s="4"/>
      <c r="W82" s="21"/>
      <c r="X82" s="30"/>
      <c r="Y82" s="30"/>
      <c r="Z82" s="21"/>
      <c r="AA82" s="22"/>
      <c r="AB82" s="22"/>
      <c r="AC82" s="21"/>
      <c r="AD82" s="22"/>
      <c r="AE82" s="22"/>
      <c r="AF82" s="22"/>
      <c r="AG82" s="21"/>
    </row>
    <row r="83" spans="1:33" ht="53.25" customHeight="1">
      <c r="A83" s="36">
        <v>221.1</v>
      </c>
      <c r="B83" s="18">
        <f t="shared" si="4"/>
        <v>3</v>
      </c>
      <c r="C83" s="42" t="s">
        <v>194</v>
      </c>
      <c r="D83" s="19" t="str">
        <f t="shared" si="7"/>
        <v xml:space="preserve">                  Reactor Vessel and Accessories</v>
      </c>
      <c r="E83" s="19"/>
      <c r="F83" s="19"/>
      <c r="G83" s="19"/>
      <c r="H83" s="19"/>
      <c r="I83" s="19"/>
      <c r="J83" s="25"/>
      <c r="K83" s="45"/>
      <c r="L83" s="4"/>
      <c r="M83" s="32"/>
      <c r="N83" s="4"/>
      <c r="O83" s="4"/>
      <c r="P83" s="4"/>
      <c r="Q83" s="29"/>
      <c r="R83" s="4"/>
      <c r="S83" s="32"/>
      <c r="T83" s="4"/>
      <c r="U83" s="4"/>
      <c r="V83" s="4"/>
      <c r="W83" s="21"/>
      <c r="X83" s="30"/>
      <c r="Y83" s="30"/>
      <c r="Z83" s="21"/>
      <c r="AA83" s="22"/>
      <c r="AB83" s="22"/>
      <c r="AC83" s="21"/>
      <c r="AD83" s="22"/>
      <c r="AE83" s="22"/>
      <c r="AF83" s="22"/>
      <c r="AG83" s="21"/>
    </row>
    <row r="84" spans="1:33" ht="111.75" customHeight="1">
      <c r="A84" s="36">
        <v>221.11</v>
      </c>
      <c r="B84" s="18">
        <f t="shared" si="4"/>
        <v>4</v>
      </c>
      <c r="C84" s="42" t="s">
        <v>195</v>
      </c>
      <c r="D84" s="19" t="str">
        <f t="shared" si="7"/>
        <v xml:space="preserve">                        Reactor Support</v>
      </c>
      <c r="E84" s="19" t="s">
        <v>35</v>
      </c>
      <c r="F84" s="19"/>
      <c r="G84" s="19"/>
      <c r="H84" s="19"/>
      <c r="I84" s="19"/>
      <c r="J84" s="25"/>
      <c r="K84" s="26">
        <f>MARVEL_Cost!C16/N84</f>
        <v>311.55798937474458</v>
      </c>
      <c r="L84" s="4" t="s">
        <v>196</v>
      </c>
      <c r="M84" s="32" t="s">
        <v>197</v>
      </c>
      <c r="N84" s="4">
        <f>1000*('Design Variables'!B52+'Design Variables'!B49)</f>
        <v>2447</v>
      </c>
      <c r="O84" s="4" t="s">
        <v>198</v>
      </c>
      <c r="P84" s="4">
        <v>0.85</v>
      </c>
      <c r="Q84" s="29">
        <v>2018</v>
      </c>
      <c r="R84" s="4" t="s">
        <v>96</v>
      </c>
      <c r="S84" s="32" t="s">
        <v>199</v>
      </c>
      <c r="T84" s="32"/>
      <c r="U84" s="42"/>
      <c r="V84" s="32" t="s">
        <v>200</v>
      </c>
      <c r="W84" s="21" t="s">
        <v>201</v>
      </c>
      <c r="X84" s="30">
        <f t="shared" ref="X84:X90" si="14">0.9*$J84</f>
        <v>0</v>
      </c>
      <c r="Y84" s="30">
        <f t="shared" ref="Y84:Y90" si="15">1.5*J84</f>
        <v>0</v>
      </c>
      <c r="Z84" s="21" t="s">
        <v>44</v>
      </c>
      <c r="AA84" s="22">
        <f t="shared" ref="AA84:AA90" si="16">0.9*K84</f>
        <v>280.40219043727012</v>
      </c>
      <c r="AB84" s="22">
        <f t="shared" ref="AB84:AB90" si="17">1.3*K84</f>
        <v>405.02538618716795</v>
      </c>
      <c r="AC84" s="21" t="s">
        <v>44</v>
      </c>
      <c r="AD84" s="22" t="s">
        <v>45</v>
      </c>
      <c r="AE84" s="22" t="s">
        <v>46</v>
      </c>
      <c r="AF84" s="22" t="s">
        <v>47</v>
      </c>
      <c r="AG84" s="21" t="s">
        <v>48</v>
      </c>
    </row>
    <row r="85" spans="1:33" ht="53.25" customHeight="1">
      <c r="A85" s="36">
        <v>221.12</v>
      </c>
      <c r="B85" s="18">
        <f t="shared" si="4"/>
        <v>4</v>
      </c>
      <c r="C85" s="42" t="s">
        <v>202</v>
      </c>
      <c r="D85" s="19" t="str">
        <f t="shared" si="7"/>
        <v xml:space="preserve">                        Outer Vessel Structure</v>
      </c>
      <c r="E85" s="19" t="s">
        <v>35</v>
      </c>
      <c r="F85" s="19" t="s">
        <v>203</v>
      </c>
      <c r="G85" s="19" t="s">
        <v>204</v>
      </c>
      <c r="H85" s="19"/>
      <c r="I85" s="19"/>
      <c r="J85" s="25"/>
      <c r="K85" s="26">
        <f>MARVEL_Cost!C17/N85</f>
        <v>757.20768746061754</v>
      </c>
      <c r="L85" s="4" t="s">
        <v>196</v>
      </c>
      <c r="M85" s="32" t="s">
        <v>205</v>
      </c>
      <c r="N85" s="46">
        <f>'Design Variables'!B52*1000</f>
        <v>1587</v>
      </c>
      <c r="O85" s="4" t="s">
        <v>198</v>
      </c>
      <c r="P85" s="4"/>
      <c r="Q85" s="29">
        <v>2017</v>
      </c>
      <c r="R85" s="4" t="s">
        <v>96</v>
      </c>
      <c r="S85" s="32" t="s">
        <v>206</v>
      </c>
      <c r="T85" s="200" t="s">
        <v>207</v>
      </c>
      <c r="U85" s="42"/>
      <c r="V85" s="4"/>
      <c r="W85" s="21" t="s">
        <v>201</v>
      </c>
      <c r="X85" s="30">
        <f t="shared" si="14"/>
        <v>0</v>
      </c>
      <c r="Y85" s="30">
        <f t="shared" si="15"/>
        <v>0</v>
      </c>
      <c r="Z85" s="21" t="s">
        <v>44</v>
      </c>
      <c r="AA85" s="22">
        <f t="shared" si="16"/>
        <v>681.48691871455583</v>
      </c>
      <c r="AB85" s="22">
        <f t="shared" si="17"/>
        <v>984.36999369880277</v>
      </c>
      <c r="AC85" s="21" t="s">
        <v>44</v>
      </c>
      <c r="AD85" s="22" t="s">
        <v>45</v>
      </c>
      <c r="AE85" s="22" t="s">
        <v>46</v>
      </c>
      <c r="AF85" s="22" t="s">
        <v>47</v>
      </c>
      <c r="AG85" s="21" t="s">
        <v>48</v>
      </c>
    </row>
    <row r="86" spans="1:33" ht="53.25" customHeight="1">
      <c r="A86" s="36">
        <v>221.12</v>
      </c>
      <c r="B86" s="18">
        <f t="shared" si="4"/>
        <v>4</v>
      </c>
      <c r="C86" s="42" t="s">
        <v>202</v>
      </c>
      <c r="D86" s="19" t="str">
        <f t="shared" si="7"/>
        <v xml:space="preserve">                        Outer Vessel Structure</v>
      </c>
      <c r="E86" s="19" t="s">
        <v>35</v>
      </c>
      <c r="F86" s="19" t="s">
        <v>203</v>
      </c>
      <c r="G86" s="19" t="s">
        <v>208</v>
      </c>
      <c r="H86" s="19"/>
      <c r="I86" s="19"/>
      <c r="J86" s="25"/>
      <c r="K86" s="26">
        <v>154.08000000000001</v>
      </c>
      <c r="L86" s="4" t="s">
        <v>196</v>
      </c>
      <c r="M86" s="32" t="s">
        <v>205</v>
      </c>
      <c r="N86" s="46"/>
      <c r="O86" s="4"/>
      <c r="P86" s="4"/>
      <c r="Q86" s="29">
        <v>2017</v>
      </c>
      <c r="R86" s="4" t="s">
        <v>96</v>
      </c>
      <c r="S86" s="32" t="s">
        <v>206</v>
      </c>
      <c r="T86" s="200"/>
      <c r="U86" s="42"/>
      <c r="V86" s="4"/>
      <c r="W86" s="21" t="s">
        <v>201</v>
      </c>
      <c r="X86" s="30">
        <f t="shared" si="14"/>
        <v>0</v>
      </c>
      <c r="Y86" s="30">
        <f t="shared" si="15"/>
        <v>0</v>
      </c>
      <c r="Z86" s="21" t="s">
        <v>44</v>
      </c>
      <c r="AA86" s="22">
        <f t="shared" si="16"/>
        <v>138.67200000000003</v>
      </c>
      <c r="AB86" s="22">
        <f t="shared" si="17"/>
        <v>200.30400000000003</v>
      </c>
      <c r="AC86" s="21" t="s">
        <v>44</v>
      </c>
      <c r="AD86" s="22" t="s">
        <v>45</v>
      </c>
      <c r="AE86" s="22" t="s">
        <v>46</v>
      </c>
      <c r="AF86" s="22" t="s">
        <v>47</v>
      </c>
      <c r="AG86" s="21" t="s">
        <v>48</v>
      </c>
    </row>
    <row r="87" spans="1:33" ht="53.25" customHeight="1">
      <c r="A87" s="36">
        <v>221.12</v>
      </c>
      <c r="B87" s="18">
        <f t="shared" si="4"/>
        <v>4</v>
      </c>
      <c r="C87" s="42" t="s">
        <v>202</v>
      </c>
      <c r="D87" s="19" t="str">
        <f t="shared" si="7"/>
        <v xml:space="preserve">                        Outer Vessel Structure</v>
      </c>
      <c r="E87" s="19" t="s">
        <v>35</v>
      </c>
      <c r="F87" s="19" t="s">
        <v>203</v>
      </c>
      <c r="G87" s="19" t="s">
        <v>209</v>
      </c>
      <c r="H87" s="19"/>
      <c r="I87" s="19"/>
      <c r="J87" s="25"/>
      <c r="K87" s="26">
        <v>444.08</v>
      </c>
      <c r="L87" s="4" t="s">
        <v>196</v>
      </c>
      <c r="M87" s="32" t="s">
        <v>205</v>
      </c>
      <c r="N87" s="46"/>
      <c r="O87" s="4"/>
      <c r="P87" s="4"/>
      <c r="Q87" s="29">
        <v>2017</v>
      </c>
      <c r="R87" s="4" t="s">
        <v>96</v>
      </c>
      <c r="S87" s="32" t="s">
        <v>206</v>
      </c>
      <c r="T87" s="200"/>
      <c r="U87" s="42"/>
      <c r="V87" s="4"/>
      <c r="W87" s="21" t="s">
        <v>201</v>
      </c>
      <c r="X87" s="30">
        <f t="shared" si="14"/>
        <v>0</v>
      </c>
      <c r="Y87" s="30">
        <f t="shared" si="15"/>
        <v>0</v>
      </c>
      <c r="Z87" s="21" t="s">
        <v>44</v>
      </c>
      <c r="AA87" s="22">
        <f t="shared" si="16"/>
        <v>399.67199999999997</v>
      </c>
      <c r="AB87" s="22">
        <f t="shared" si="17"/>
        <v>577.30399999999997</v>
      </c>
      <c r="AC87" s="21" t="s">
        <v>44</v>
      </c>
      <c r="AD87" s="22" t="s">
        <v>45</v>
      </c>
      <c r="AE87" s="22" t="s">
        <v>46</v>
      </c>
      <c r="AF87" s="22" t="s">
        <v>47</v>
      </c>
      <c r="AG87" s="21" t="s">
        <v>48</v>
      </c>
    </row>
    <row r="88" spans="1:33" ht="53.25" customHeight="1">
      <c r="A88" s="36">
        <v>221.13</v>
      </c>
      <c r="B88" s="18">
        <f t="shared" si="4"/>
        <v>4</v>
      </c>
      <c r="C88" s="42" t="s">
        <v>210</v>
      </c>
      <c r="D88" s="19" t="str">
        <f t="shared" si="7"/>
        <v xml:space="preserve">                        Inner Vessel Structure</v>
      </c>
      <c r="E88" s="19" t="s">
        <v>35</v>
      </c>
      <c r="F88" s="19" t="s">
        <v>211</v>
      </c>
      <c r="G88" s="19" t="s">
        <v>204</v>
      </c>
      <c r="H88" s="19"/>
      <c r="I88" s="19"/>
      <c r="J88" s="25">
        <f>MARVEL_Cost!C37+MARVEL_Cost!C36</f>
        <v>3369444.6</v>
      </c>
      <c r="K88" s="26">
        <f>(MARVEL_Cost!C35)/N88</f>
        <v>1768.3558139534885</v>
      </c>
      <c r="L88" s="4" t="s">
        <v>196</v>
      </c>
      <c r="M88" s="32" t="s">
        <v>212</v>
      </c>
      <c r="N88" s="4">
        <f>1000*'Design Variables'!B49</f>
        <v>860</v>
      </c>
      <c r="O88" s="4"/>
      <c r="P88" s="4"/>
      <c r="Q88" s="29">
        <v>2017</v>
      </c>
      <c r="R88" s="4" t="s">
        <v>96</v>
      </c>
      <c r="S88" s="32" t="s">
        <v>206</v>
      </c>
      <c r="T88" s="200"/>
      <c r="U88" s="42"/>
      <c r="V88" s="32" t="s">
        <v>213</v>
      </c>
      <c r="W88" s="21" t="s">
        <v>201</v>
      </c>
      <c r="X88" s="30">
        <f t="shared" si="14"/>
        <v>3032500.14</v>
      </c>
      <c r="Y88" s="30">
        <f t="shared" si="15"/>
        <v>5054166.9000000004</v>
      </c>
      <c r="Z88" s="21" t="s">
        <v>44</v>
      </c>
      <c r="AA88" s="22">
        <f t="shared" si="16"/>
        <v>1591.5202325581397</v>
      </c>
      <c r="AB88" s="22">
        <f t="shared" si="17"/>
        <v>2298.8625581395349</v>
      </c>
      <c r="AC88" s="21" t="s">
        <v>44</v>
      </c>
      <c r="AD88" s="22" t="s">
        <v>45</v>
      </c>
      <c r="AE88" s="22" t="s">
        <v>46</v>
      </c>
      <c r="AF88" s="22" t="s">
        <v>47</v>
      </c>
      <c r="AG88" s="21" t="s">
        <v>48</v>
      </c>
    </row>
    <row r="89" spans="1:33" ht="53.25" customHeight="1">
      <c r="A89" s="36">
        <v>221.13</v>
      </c>
      <c r="B89" s="18">
        <f t="shared" si="4"/>
        <v>4</v>
      </c>
      <c r="C89" s="42" t="s">
        <v>210</v>
      </c>
      <c r="D89" s="19" t="str">
        <f t="shared" si="7"/>
        <v xml:space="preserve">                        Inner Vessel Structure</v>
      </c>
      <c r="E89" s="19" t="s">
        <v>35</v>
      </c>
      <c r="F89" s="19" t="s">
        <v>211</v>
      </c>
      <c r="G89" s="19" t="s">
        <v>208</v>
      </c>
      <c r="H89" s="19"/>
      <c r="I89" s="19"/>
      <c r="J89" s="25"/>
      <c r="K89" s="26">
        <v>154.08000000000001</v>
      </c>
      <c r="L89" s="4" t="s">
        <v>196</v>
      </c>
      <c r="M89" s="32" t="s">
        <v>212</v>
      </c>
      <c r="N89" s="4"/>
      <c r="O89" s="4"/>
      <c r="P89" s="4"/>
      <c r="Q89" s="29">
        <v>2017</v>
      </c>
      <c r="R89" s="4" t="s">
        <v>96</v>
      </c>
      <c r="S89" s="32" t="s">
        <v>206</v>
      </c>
      <c r="T89" s="200"/>
      <c r="U89" s="42"/>
      <c r="V89" s="32"/>
      <c r="W89" s="21" t="s">
        <v>201</v>
      </c>
      <c r="X89" s="30">
        <f t="shared" si="14"/>
        <v>0</v>
      </c>
      <c r="Y89" s="30">
        <f t="shared" si="15"/>
        <v>0</v>
      </c>
      <c r="Z89" s="21" t="s">
        <v>44</v>
      </c>
      <c r="AA89" s="22">
        <f t="shared" si="16"/>
        <v>138.67200000000003</v>
      </c>
      <c r="AB89" s="22">
        <f t="shared" si="17"/>
        <v>200.30400000000003</v>
      </c>
      <c r="AC89" s="21" t="s">
        <v>44</v>
      </c>
      <c r="AD89" s="22" t="s">
        <v>45</v>
      </c>
      <c r="AE89" s="22" t="s">
        <v>46</v>
      </c>
      <c r="AF89" s="22" t="s">
        <v>47</v>
      </c>
      <c r="AG89" s="21" t="s">
        <v>48</v>
      </c>
    </row>
    <row r="90" spans="1:33" ht="53.25" customHeight="1">
      <c r="A90" s="36">
        <v>221.13</v>
      </c>
      <c r="B90" s="18">
        <f t="shared" si="4"/>
        <v>4</v>
      </c>
      <c r="C90" s="42" t="s">
        <v>210</v>
      </c>
      <c r="D90" s="19" t="str">
        <f t="shared" si="7"/>
        <v xml:space="preserve">                        Inner Vessel Structure</v>
      </c>
      <c r="E90" s="19" t="s">
        <v>35</v>
      </c>
      <c r="F90" s="19" t="s">
        <v>211</v>
      </c>
      <c r="G90" s="19" t="s">
        <v>209</v>
      </c>
      <c r="H90" s="19"/>
      <c r="I90" s="19"/>
      <c r="J90" s="25"/>
      <c r="K90" s="26">
        <v>444.08</v>
      </c>
      <c r="L90" s="4" t="s">
        <v>196</v>
      </c>
      <c r="M90" s="32" t="s">
        <v>212</v>
      </c>
      <c r="N90" s="4"/>
      <c r="O90" s="4"/>
      <c r="P90" s="4"/>
      <c r="Q90" s="29">
        <v>2017</v>
      </c>
      <c r="R90" s="4" t="s">
        <v>96</v>
      </c>
      <c r="S90" s="32" t="s">
        <v>206</v>
      </c>
      <c r="T90" s="200"/>
      <c r="U90" s="42"/>
      <c r="V90" s="32"/>
      <c r="W90" s="21" t="s">
        <v>201</v>
      </c>
      <c r="X90" s="30">
        <f t="shared" si="14"/>
        <v>0</v>
      </c>
      <c r="Y90" s="30">
        <f t="shared" si="15"/>
        <v>0</v>
      </c>
      <c r="Z90" s="21" t="s">
        <v>44</v>
      </c>
      <c r="AA90" s="22">
        <f t="shared" si="16"/>
        <v>399.67199999999997</v>
      </c>
      <c r="AB90" s="22">
        <f t="shared" si="17"/>
        <v>577.30399999999997</v>
      </c>
      <c r="AC90" s="21" t="s">
        <v>44</v>
      </c>
      <c r="AD90" s="22" t="s">
        <v>45</v>
      </c>
      <c r="AE90" s="22" t="s">
        <v>46</v>
      </c>
      <c r="AF90" s="22" t="s">
        <v>47</v>
      </c>
      <c r="AG90" s="21" t="s">
        <v>48</v>
      </c>
    </row>
    <row r="91" spans="1:33" ht="53.25" customHeight="1">
      <c r="A91" s="36">
        <v>221.2</v>
      </c>
      <c r="B91" s="18">
        <f t="shared" si="4"/>
        <v>3</v>
      </c>
      <c r="C91" s="42" t="s">
        <v>214</v>
      </c>
      <c r="D91" s="19" t="str">
        <f t="shared" si="7"/>
        <v xml:space="preserve">                  Reactor Control Devices</v>
      </c>
      <c r="E91" s="19"/>
      <c r="F91" s="19"/>
      <c r="G91" s="19"/>
      <c r="H91" s="19"/>
      <c r="I91" s="19"/>
      <c r="J91" s="25"/>
      <c r="K91" s="26"/>
      <c r="L91" s="4"/>
      <c r="M91" s="32"/>
      <c r="N91" s="4"/>
      <c r="O91" s="4"/>
      <c r="P91" s="4"/>
      <c r="Q91" s="29"/>
      <c r="R91" s="4"/>
      <c r="S91" s="32"/>
      <c r="T91" s="4"/>
      <c r="U91" s="4"/>
      <c r="V91" s="4"/>
      <c r="W91" s="21"/>
      <c r="X91" s="30"/>
      <c r="Y91" s="30"/>
      <c r="Z91" s="21"/>
      <c r="AA91" s="22"/>
      <c r="AB91" s="22"/>
      <c r="AC91" s="21"/>
      <c r="AD91" s="22"/>
      <c r="AE91" s="22"/>
      <c r="AF91" s="22"/>
      <c r="AG91" s="21"/>
    </row>
    <row r="92" spans="1:33" ht="53.25" customHeight="1">
      <c r="A92" s="36">
        <v>221.21</v>
      </c>
      <c r="B92" s="18">
        <f t="shared" si="4"/>
        <v>4</v>
      </c>
      <c r="C92" s="42" t="s">
        <v>215</v>
      </c>
      <c r="D92" s="19" t="str">
        <f t="shared" si="7"/>
        <v xml:space="preserve">                        Reactivity Control System </v>
      </c>
      <c r="E92" s="19"/>
      <c r="F92" s="19"/>
      <c r="G92" s="19"/>
      <c r="H92" s="19"/>
      <c r="I92" s="19"/>
      <c r="J92" s="25"/>
      <c r="K92" s="26"/>
      <c r="L92" s="4"/>
      <c r="M92" s="32"/>
      <c r="N92" s="4"/>
      <c r="O92" s="4"/>
      <c r="P92" s="4"/>
      <c r="Q92" s="29"/>
      <c r="R92" s="4"/>
      <c r="S92" s="32"/>
      <c r="T92" s="4"/>
      <c r="U92" s="4"/>
      <c r="V92" s="4"/>
      <c r="W92" s="21"/>
      <c r="X92" s="30"/>
      <c r="Y92" s="30"/>
      <c r="Z92" s="21"/>
      <c r="AA92" s="22"/>
      <c r="AB92" s="22"/>
      <c r="AC92" s="21"/>
      <c r="AD92" s="22"/>
      <c r="AE92" s="22"/>
      <c r="AF92" s="22"/>
      <c r="AG92" s="21"/>
    </row>
    <row r="93" spans="1:33" s="41" customFormat="1" ht="74.25" customHeight="1">
      <c r="A93" s="36">
        <v>221.21100000000001</v>
      </c>
      <c r="B93" s="18">
        <f t="shared" si="4"/>
        <v>5</v>
      </c>
      <c r="C93" s="42" t="s">
        <v>216</v>
      </c>
      <c r="D93" s="19" t="str">
        <f t="shared" si="7"/>
        <v xml:space="preserve">                              Reactivity Control System Fabrication</v>
      </c>
      <c r="E93" s="19" t="s">
        <v>35</v>
      </c>
      <c r="F93" s="19"/>
      <c r="G93" s="19"/>
      <c r="H93" s="19"/>
      <c r="I93" s="19"/>
      <c r="J93" s="25"/>
      <c r="K93" s="26">
        <f>MARVEL_Cost!C21/'Design Variables'!B21</f>
        <v>347890</v>
      </c>
      <c r="L93" s="4" t="s">
        <v>217</v>
      </c>
      <c r="M93" s="32" t="s">
        <v>218</v>
      </c>
      <c r="N93" s="4"/>
      <c r="O93" s="4"/>
      <c r="P93" s="4"/>
      <c r="Q93" s="29">
        <v>2024</v>
      </c>
      <c r="R93" s="4" t="s">
        <v>96</v>
      </c>
      <c r="S93" s="32" t="s">
        <v>219</v>
      </c>
      <c r="T93" s="200" t="s">
        <v>220</v>
      </c>
      <c r="U93" s="201" t="s">
        <v>221</v>
      </c>
      <c r="V93" s="32" t="s">
        <v>222</v>
      </c>
      <c r="W93" s="21" t="s">
        <v>223</v>
      </c>
      <c r="X93" s="30">
        <f t="shared" ref="X93:X103" si="18">0.9*$J93</f>
        <v>0</v>
      </c>
      <c r="Y93" s="30">
        <f t="shared" ref="Y93:Y103" si="19">1.5*J93</f>
        <v>0</v>
      </c>
      <c r="Z93" s="21" t="s">
        <v>44</v>
      </c>
      <c r="AA93" s="22">
        <f t="shared" ref="AA93:AA103" si="20">0.9*K93</f>
        <v>313101</v>
      </c>
      <c r="AB93" s="22">
        <f t="shared" ref="AB93:AB103" si="21">1.3*K93</f>
        <v>452257</v>
      </c>
      <c r="AC93" s="21" t="s">
        <v>44</v>
      </c>
      <c r="AD93" s="22" t="s">
        <v>45</v>
      </c>
      <c r="AE93" s="22" t="s">
        <v>46</v>
      </c>
      <c r="AF93" s="22" t="s">
        <v>47</v>
      </c>
      <c r="AG93" s="21" t="s">
        <v>48</v>
      </c>
    </row>
    <row r="94" spans="1:33" s="41" customFormat="1" ht="13.5" customHeight="1">
      <c r="A94" s="36">
        <v>221.21199999999999</v>
      </c>
      <c r="B94" s="18">
        <f>IF(ISNUMBER(A94),
IF(AND(A94=INT(A94), MOD(A94, 10) = 0), 0,
IF(AND(A94=INT(A94), LEN(A94)=2), 1,
IF(AND(A94=INT(A94), LEN(A94)=3), 2,
LEN(A94) - FIND(".", A94) + 2)
)
),
"")</f>
        <v>5</v>
      </c>
      <c r="C94" s="42" t="s">
        <v>224</v>
      </c>
      <c r="D94" s="19" t="str">
        <f t="shared" si="7"/>
        <v xml:space="preserve">                              Installation</v>
      </c>
      <c r="E94" s="19" t="s">
        <v>35</v>
      </c>
      <c r="F94" s="19"/>
      <c r="G94" s="19"/>
      <c r="H94" s="19"/>
      <c r="I94" s="19"/>
      <c r="J94" s="25"/>
      <c r="K94" s="26">
        <f>MARVEL_Cost!C22/'Design Variables'!B21</f>
        <v>80665.75</v>
      </c>
      <c r="L94" s="4" t="s">
        <v>217</v>
      </c>
      <c r="M94" s="32" t="s">
        <v>218</v>
      </c>
      <c r="N94" s="4"/>
      <c r="O94" s="4"/>
      <c r="P94" s="4"/>
      <c r="Q94" s="29">
        <v>2024</v>
      </c>
      <c r="R94" s="4" t="s">
        <v>73</v>
      </c>
      <c r="S94" s="32" t="s">
        <v>219</v>
      </c>
      <c r="T94" s="200"/>
      <c r="U94" s="200"/>
      <c r="V94" s="4"/>
      <c r="W94" s="21" t="s">
        <v>223</v>
      </c>
      <c r="X94" s="30">
        <f t="shared" si="18"/>
        <v>0</v>
      </c>
      <c r="Y94" s="30">
        <f t="shared" si="19"/>
        <v>0</v>
      </c>
      <c r="Z94" s="21" t="s">
        <v>44</v>
      </c>
      <c r="AA94" s="22">
        <f t="shared" si="20"/>
        <v>72599.175000000003</v>
      </c>
      <c r="AB94" s="22">
        <f t="shared" si="21"/>
        <v>104865.47500000001</v>
      </c>
      <c r="AC94" s="21" t="s">
        <v>44</v>
      </c>
      <c r="AD94" s="22" t="s">
        <v>45</v>
      </c>
      <c r="AE94" s="22" t="s">
        <v>46</v>
      </c>
      <c r="AF94" s="22" t="s">
        <v>47</v>
      </c>
      <c r="AG94" s="21" t="s">
        <v>48</v>
      </c>
    </row>
    <row r="95" spans="1:33" s="41" customFormat="1" ht="53.25" customHeight="1">
      <c r="A95" s="36">
        <v>221.21299999999999</v>
      </c>
      <c r="B95" s="18">
        <f>IF(ISNUMBER(A95),
IF(AND(A95=INT(A95), MOD(A95, 10) = 0), 0,
IF(AND(A95=INT(A95), LEN(A95)=2), 1,
IF(AND(A95=INT(A95), LEN(A95)=3), 2,
LEN(A95) - FIND(".", A95) + 2)
)
),
"")</f>
        <v>5</v>
      </c>
      <c r="C95" s="42" t="s">
        <v>225</v>
      </c>
      <c r="D95" s="19" t="str">
        <f t="shared" si="7"/>
        <v xml:space="preserve">                              Control Drums Materials (Absorber)</v>
      </c>
      <c r="E95" s="19" t="s">
        <v>35</v>
      </c>
      <c r="F95" s="19" t="s">
        <v>226</v>
      </c>
      <c r="G95" s="19" t="s">
        <v>227</v>
      </c>
      <c r="H95" s="19"/>
      <c r="I95" s="19"/>
      <c r="J95" s="25"/>
      <c r="K95" s="26">
        <f>400000/N95</f>
        <v>14285.714285714286</v>
      </c>
      <c r="L95" s="4" t="s">
        <v>196</v>
      </c>
      <c r="M95" s="32" t="s">
        <v>228</v>
      </c>
      <c r="N95" s="4">
        <f>'Design Variables'!B28+'Design Variables'!B29</f>
        <v>28</v>
      </c>
      <c r="O95" s="4" t="s">
        <v>198</v>
      </c>
      <c r="P95" s="4">
        <v>1</v>
      </c>
      <c r="Q95" s="29">
        <v>2024</v>
      </c>
      <c r="R95" s="4" t="s">
        <v>229</v>
      </c>
      <c r="S95" s="32" t="s">
        <v>219</v>
      </c>
      <c r="T95" s="200"/>
      <c r="U95" s="200"/>
      <c r="V95" s="4"/>
      <c r="W95" s="21" t="s">
        <v>167</v>
      </c>
      <c r="X95" s="30">
        <f t="shared" si="18"/>
        <v>0</v>
      </c>
      <c r="Y95" s="30">
        <f t="shared" si="19"/>
        <v>0</v>
      </c>
      <c r="Z95" s="21" t="s">
        <v>44</v>
      </c>
      <c r="AA95" s="22">
        <f t="shared" si="20"/>
        <v>12857.142857142859</v>
      </c>
      <c r="AB95" s="22">
        <f t="shared" si="21"/>
        <v>18571.428571428572</v>
      </c>
      <c r="AC95" s="21" t="s">
        <v>44</v>
      </c>
      <c r="AD95" s="22" t="s">
        <v>45</v>
      </c>
      <c r="AE95" s="22" t="s">
        <v>46</v>
      </c>
      <c r="AF95" s="22" t="s">
        <v>47</v>
      </c>
      <c r="AG95" s="21" t="s">
        <v>48</v>
      </c>
    </row>
    <row r="96" spans="1:33" s="41" customFormat="1" ht="53.25" customHeight="1">
      <c r="A96" s="36">
        <v>221.21299999999999</v>
      </c>
      <c r="B96" s="18">
        <f>IF(ISNUMBER(A96),
    IF(AND(A96=INT(A96), MOD(A96, 10) = 0), 0,
        IF(AND(A96=INT(A96), LEN(A96)=2), 1,
            IF(AND(A96=INT(A96), LEN(A96)=3), 2,
                LEN(A96) - FIND(".", A96) + 2)
        )
    ),
"")</f>
        <v>5</v>
      </c>
      <c r="C96" s="42" t="s">
        <v>225</v>
      </c>
      <c r="D96" s="19" t="str">
        <f t="shared" si="7"/>
        <v xml:space="preserve">                              Control Drums Materials (Absorber)</v>
      </c>
      <c r="E96" s="19" t="s">
        <v>35</v>
      </c>
      <c r="F96" s="19" t="s">
        <v>226</v>
      </c>
      <c r="G96" s="19" t="s">
        <v>230</v>
      </c>
      <c r="H96" s="19"/>
      <c r="I96" s="19"/>
      <c r="J96" s="25"/>
      <c r="K96" s="26">
        <v>10064</v>
      </c>
      <c r="L96" s="4" t="s">
        <v>196</v>
      </c>
      <c r="M96" s="32" t="s">
        <v>228</v>
      </c>
      <c r="N96" s="4"/>
      <c r="O96" s="4"/>
      <c r="P96" s="4"/>
      <c r="Q96" s="29">
        <v>2023</v>
      </c>
      <c r="R96" s="4" t="s">
        <v>229</v>
      </c>
      <c r="S96" s="32" t="s">
        <v>231</v>
      </c>
      <c r="T96" s="200"/>
      <c r="U96" s="200"/>
      <c r="V96" s="4"/>
      <c r="W96" s="21" t="s">
        <v>167</v>
      </c>
      <c r="X96" s="30">
        <f t="shared" si="18"/>
        <v>0</v>
      </c>
      <c r="Y96" s="30">
        <f t="shared" si="19"/>
        <v>0</v>
      </c>
      <c r="Z96" s="21" t="s">
        <v>44</v>
      </c>
      <c r="AA96" s="22">
        <f t="shared" si="20"/>
        <v>9057.6</v>
      </c>
      <c r="AB96" s="22">
        <f t="shared" si="21"/>
        <v>13083.2</v>
      </c>
      <c r="AC96" s="21" t="s">
        <v>44</v>
      </c>
      <c r="AD96" s="22" t="s">
        <v>45</v>
      </c>
      <c r="AE96" s="22" t="s">
        <v>46</v>
      </c>
      <c r="AF96" s="22" t="s">
        <v>47</v>
      </c>
      <c r="AG96" s="21" t="s">
        <v>48</v>
      </c>
    </row>
    <row r="97" spans="1:36" s="41" customFormat="1" ht="53.25" customHeight="1">
      <c r="A97" s="36">
        <v>221.214</v>
      </c>
      <c r="B97" s="18">
        <f>IF(ISNUMBER(A97),
IF(AND(A97=INT(A97), MOD(A97, 10) = 0), 0,
IF(AND(A97=INT(A97), LEN(A97)=2), 1,
IF(AND(A97=INT(A97), LEN(A97)=3), 2,
LEN(A97) - FIND(".", A97) + 2)
)
),
"")</f>
        <v>5</v>
      </c>
      <c r="C97" s="42" t="s">
        <v>232</v>
      </c>
      <c r="D97" s="19" t="str">
        <f t="shared" si="7"/>
        <v xml:space="preserve">                              Control Drums Materials (Reflector)</v>
      </c>
      <c r="E97" s="19" t="s">
        <v>35</v>
      </c>
      <c r="F97" s="19" t="s">
        <v>233</v>
      </c>
      <c r="G97" s="19" t="s">
        <v>234</v>
      </c>
      <c r="H97" s="19"/>
      <c r="I97" s="19"/>
      <c r="J97" s="25"/>
      <c r="K97" s="47">
        <f>MARVEL_Cost!C27/N97</f>
        <v>10062.893081761007</v>
      </c>
      <c r="L97" s="4" t="s">
        <v>196</v>
      </c>
      <c r="M97" s="32" t="s">
        <v>235</v>
      </c>
      <c r="N97" s="4">
        <f>'Design Variables'!B17</f>
        <v>318</v>
      </c>
      <c r="O97" s="4" t="s">
        <v>198</v>
      </c>
      <c r="P97" s="4">
        <v>1</v>
      </c>
      <c r="Q97" s="29">
        <v>2024</v>
      </c>
      <c r="R97" s="4" t="s">
        <v>229</v>
      </c>
      <c r="S97" s="32" t="s">
        <v>219</v>
      </c>
      <c r="T97" s="200"/>
      <c r="U97" s="200"/>
      <c r="V97" s="4"/>
      <c r="W97" s="21" t="s">
        <v>236</v>
      </c>
      <c r="X97" s="30">
        <f t="shared" si="18"/>
        <v>0</v>
      </c>
      <c r="Y97" s="30">
        <f t="shared" si="19"/>
        <v>0</v>
      </c>
      <c r="Z97" s="21" t="s">
        <v>44</v>
      </c>
      <c r="AA97" s="22">
        <f t="shared" si="20"/>
        <v>9056.6037735849059</v>
      </c>
      <c r="AB97" s="22">
        <f t="shared" si="21"/>
        <v>13081.761006289309</v>
      </c>
      <c r="AC97" s="21" t="s">
        <v>44</v>
      </c>
      <c r="AD97" s="22" t="s">
        <v>45</v>
      </c>
      <c r="AE97" s="22" t="s">
        <v>46</v>
      </c>
      <c r="AF97" s="22" t="s">
        <v>47</v>
      </c>
      <c r="AG97" s="21" t="s">
        <v>48</v>
      </c>
    </row>
    <row r="98" spans="1:36" s="41" customFormat="1" ht="53.25" customHeight="1">
      <c r="A98" s="36">
        <v>221.214</v>
      </c>
      <c r="B98" s="18">
        <f>IF(ISNUMBER(A98),
IF(AND(A98=INT(A98), MOD(A98, 10) = 0), 0,
IF(AND(A98=INT(A98), LEN(A98)=2), 1,
IF(AND(A98=INT(A98), LEN(A98)=3), 2,
LEN(A98) - FIND(".", A98) + 2)
)
),
"")</f>
        <v>5</v>
      </c>
      <c r="C98" s="48" t="s">
        <v>232</v>
      </c>
      <c r="D98" s="19" t="str">
        <f t="shared" si="7"/>
        <v xml:space="preserve">                              Control Drums Materials (Reflector)</v>
      </c>
      <c r="E98" s="19" t="s">
        <v>35</v>
      </c>
      <c r="F98" s="19" t="s">
        <v>233</v>
      </c>
      <c r="G98" s="19" t="s">
        <v>237</v>
      </c>
      <c r="H98" s="19"/>
      <c r="I98" s="19"/>
      <c r="J98" s="28"/>
      <c r="K98" s="47">
        <f>MARVEL_Cost!C28/N98</f>
        <v>44736.84210526316</v>
      </c>
      <c r="L98" s="4" t="s">
        <v>196</v>
      </c>
      <c r="M98" s="32" t="s">
        <v>235</v>
      </c>
      <c r="N98" s="4">
        <f>1000*'Design Variables'!B19</f>
        <v>19</v>
      </c>
      <c r="O98" s="4" t="s">
        <v>198</v>
      </c>
      <c r="P98" s="4">
        <v>1</v>
      </c>
      <c r="Q98" s="29">
        <v>2024</v>
      </c>
      <c r="R98" s="4" t="s">
        <v>229</v>
      </c>
      <c r="S98" s="32" t="s">
        <v>219</v>
      </c>
      <c r="T98" s="49"/>
      <c r="U98" s="6"/>
      <c r="V98" s="4"/>
      <c r="W98" s="21" t="s">
        <v>238</v>
      </c>
      <c r="X98" s="30">
        <f t="shared" si="18"/>
        <v>0</v>
      </c>
      <c r="Y98" s="30">
        <f t="shared" si="19"/>
        <v>0</v>
      </c>
      <c r="Z98" s="21" t="s">
        <v>44</v>
      </c>
      <c r="AA98" s="22">
        <f t="shared" si="20"/>
        <v>40263.157894736847</v>
      </c>
      <c r="AB98" s="22">
        <f t="shared" si="21"/>
        <v>58157.894736842107</v>
      </c>
      <c r="AC98" s="21" t="s">
        <v>44</v>
      </c>
      <c r="AD98" s="22" t="s">
        <v>45</v>
      </c>
      <c r="AE98" s="22" t="s">
        <v>46</v>
      </c>
      <c r="AF98" s="22" t="s">
        <v>47</v>
      </c>
      <c r="AG98" s="21" t="s">
        <v>48</v>
      </c>
      <c r="AJ98" s="50"/>
    </row>
    <row r="99" spans="1:36" s="41" customFormat="1" ht="53.25" customHeight="1">
      <c r="A99" s="36">
        <v>221.214</v>
      </c>
      <c r="B99" s="18">
        <f>IF(ISNUMBER(A99),
    IF(AND(A99=INT(A99), MOD(A99, 10) = 0), 0,
        IF(AND(A99=INT(A99), LEN(A99)=2), 1,
            IF(AND(A99=INT(A99), LEN(A99)=3), 2,
                LEN(A99) - FIND(".", A99) + 2)
        )
    ),
"")</f>
        <v>5</v>
      </c>
      <c r="C99" s="42" t="s">
        <v>232</v>
      </c>
      <c r="D99" s="19" t="str">
        <f t="shared" si="7"/>
        <v xml:space="preserve">                              Control Drums Materials (Reflector)</v>
      </c>
      <c r="E99" s="19" t="s">
        <v>35</v>
      </c>
      <c r="F99" s="19" t="s">
        <v>233</v>
      </c>
      <c r="G99" s="19" t="s">
        <v>239</v>
      </c>
      <c r="H99" s="19"/>
      <c r="I99" s="19"/>
      <c r="J99" s="25"/>
      <c r="K99" s="47">
        <v>80</v>
      </c>
      <c r="L99" s="4" t="s">
        <v>196</v>
      </c>
      <c r="M99" s="32" t="s">
        <v>235</v>
      </c>
      <c r="N99" s="4"/>
      <c r="O99" s="4"/>
      <c r="P99" s="4"/>
      <c r="Q99" s="29">
        <v>2022</v>
      </c>
      <c r="R99" s="4" t="s">
        <v>229</v>
      </c>
      <c r="S99" s="32" t="s">
        <v>240</v>
      </c>
      <c r="T99" s="7" t="s">
        <v>241</v>
      </c>
      <c r="U99" s="6"/>
      <c r="V99" s="4"/>
      <c r="W99" s="21" t="s">
        <v>167</v>
      </c>
      <c r="X99" s="30">
        <f t="shared" si="18"/>
        <v>0</v>
      </c>
      <c r="Y99" s="30">
        <f t="shared" si="19"/>
        <v>0</v>
      </c>
      <c r="Z99" s="21" t="s">
        <v>44</v>
      </c>
      <c r="AA99" s="22">
        <f t="shared" si="20"/>
        <v>72</v>
      </c>
      <c r="AB99" s="22">
        <f t="shared" si="21"/>
        <v>104</v>
      </c>
      <c r="AC99" s="21" t="s">
        <v>44</v>
      </c>
      <c r="AD99" s="22" t="s">
        <v>45</v>
      </c>
      <c r="AE99" s="22" t="s">
        <v>46</v>
      </c>
      <c r="AF99" s="22" t="s">
        <v>47</v>
      </c>
      <c r="AG99" s="21" t="s">
        <v>48</v>
      </c>
    </row>
    <row r="100" spans="1:36" s="41" customFormat="1" ht="53.25" customHeight="1">
      <c r="A100" s="36">
        <v>221.215</v>
      </c>
      <c r="B100" s="18">
        <f>IF(ISNUMBER(A100),
IF(AND(A100=INT(A100), MOD(A100, 10) = 0), 0,
IF(AND(A100=INT(A100), LEN(A100)=2), 1,
IF(AND(A100=INT(A100), LEN(A100)=3), 2,
LEN(A100) - FIND(".", A100) + 2)
)
),
"")</f>
        <v>5</v>
      </c>
      <c r="C100" s="42" t="s">
        <v>242</v>
      </c>
      <c r="D100" s="19" t="str">
        <f t="shared" si="7"/>
        <v xml:space="preserve">                              Control System Drive Mechanism</v>
      </c>
      <c r="E100" s="19" t="s">
        <v>35</v>
      </c>
      <c r="F100" s="19"/>
      <c r="G100" s="19"/>
      <c r="H100" s="19"/>
      <c r="I100" s="19"/>
      <c r="J100" s="25"/>
      <c r="K100" s="26">
        <v>74759</v>
      </c>
      <c r="L100" s="4" t="s">
        <v>217</v>
      </c>
      <c r="M100" s="32" t="s">
        <v>218</v>
      </c>
      <c r="N100" s="4"/>
      <c r="O100" s="4"/>
      <c r="P100" s="4"/>
      <c r="Q100" s="29">
        <v>2023</v>
      </c>
      <c r="R100" s="4" t="s">
        <v>96</v>
      </c>
      <c r="S100" s="32" t="s">
        <v>231</v>
      </c>
      <c r="T100" s="7" t="s">
        <v>243</v>
      </c>
      <c r="U100" s="6"/>
      <c r="V100" s="4" t="s">
        <v>244</v>
      </c>
      <c r="W100" s="21" t="s">
        <v>223</v>
      </c>
      <c r="X100" s="30">
        <f t="shared" si="18"/>
        <v>0</v>
      </c>
      <c r="Y100" s="30">
        <f t="shared" si="19"/>
        <v>0</v>
      </c>
      <c r="Z100" s="21" t="s">
        <v>44</v>
      </c>
      <c r="AA100" s="22">
        <f t="shared" si="20"/>
        <v>67283.100000000006</v>
      </c>
      <c r="AB100" s="22">
        <f t="shared" si="21"/>
        <v>97186.7</v>
      </c>
      <c r="AC100" s="21" t="s">
        <v>44</v>
      </c>
      <c r="AD100" s="22" t="s">
        <v>45</v>
      </c>
      <c r="AE100" s="22" t="s">
        <v>46</v>
      </c>
      <c r="AF100" s="22" t="s">
        <v>47</v>
      </c>
      <c r="AG100" s="21" t="s">
        <v>48</v>
      </c>
    </row>
    <row r="101" spans="1:36" s="41" customFormat="1" ht="39.75" customHeight="1">
      <c r="A101" s="36">
        <v>221.21600000000001</v>
      </c>
      <c r="B101" s="18">
        <f>IF(ISNUMBER(A101),IF(AND(A101=INT(A101),MOD(A101,10)=0),0,IF(AND(A101=INT(A101),LEN(A101)=2),1,IF(AND(A101=INT(A101),LEN(A101)=3),2,LEN(A101)-FIND(".",A101)+2))),"")</f>
        <v>5</v>
      </c>
      <c r="C101" s="42" t="s">
        <v>245</v>
      </c>
      <c r="D101" s="19" t="str">
        <f>REPT("   ",B101*2)&amp;C101</f>
        <v xml:space="preserve">                              Shutdown Rod Absorber Material</v>
      </c>
      <c r="E101" s="19" t="s">
        <v>35</v>
      </c>
      <c r="F101" s="19" t="s">
        <v>246</v>
      </c>
      <c r="G101" s="19" t="s">
        <v>227</v>
      </c>
      <c r="H101" s="19"/>
      <c r="I101" s="19"/>
      <c r="J101" s="25"/>
      <c r="K101" s="26">
        <v>14285.714285714301</v>
      </c>
      <c r="L101" s="4" t="s">
        <v>196</v>
      </c>
      <c r="M101" s="32" t="s">
        <v>247</v>
      </c>
      <c r="N101" s="4">
        <v>28</v>
      </c>
      <c r="O101" s="4" t="s">
        <v>198</v>
      </c>
      <c r="P101" s="4">
        <v>1</v>
      </c>
      <c r="Q101" s="29">
        <v>2024</v>
      </c>
      <c r="R101" s="4" t="s">
        <v>229</v>
      </c>
      <c r="S101" s="32" t="s">
        <v>219</v>
      </c>
      <c r="T101" s="5"/>
      <c r="U101" s="5"/>
      <c r="V101" s="4" t="s">
        <v>248</v>
      </c>
      <c r="W101" s="21" t="s">
        <v>167</v>
      </c>
      <c r="X101" s="30">
        <f t="shared" si="18"/>
        <v>0</v>
      </c>
      <c r="Y101" s="30">
        <f t="shared" si="19"/>
        <v>0</v>
      </c>
      <c r="Z101" s="21" t="s">
        <v>44</v>
      </c>
      <c r="AA101" s="22">
        <f t="shared" si="20"/>
        <v>12857.142857142871</v>
      </c>
      <c r="AB101" s="22">
        <f t="shared" si="21"/>
        <v>18571.428571428591</v>
      </c>
      <c r="AC101" s="21"/>
      <c r="AD101" s="22"/>
      <c r="AE101" s="22"/>
      <c r="AF101" s="22"/>
      <c r="AG101" s="21"/>
    </row>
    <row r="102" spans="1:36" s="41" customFormat="1" ht="39.75" customHeight="1">
      <c r="A102" s="36">
        <v>221.21600000000001</v>
      </c>
      <c r="B102" s="18">
        <f>IF(ISNUMBER(A102),IF(AND(A102=INT(A102),MOD(A102,10)=0),0,IF(AND(A102=INT(A102),LEN(A102)=2),1,IF(AND(A102=INT(A102),LEN(A102)=3),2,LEN(A102)-FIND(".",A102)+2))),"")</f>
        <v>5</v>
      </c>
      <c r="C102" s="42" t="s">
        <v>245</v>
      </c>
      <c r="D102" s="19" t="str">
        <f>REPT("   ",B102*2)&amp;C102</f>
        <v xml:space="preserve">                              Shutdown Rod Absorber Material</v>
      </c>
      <c r="E102" s="19" t="s">
        <v>35</v>
      </c>
      <c r="F102" s="19" t="s">
        <v>246</v>
      </c>
      <c r="G102" s="19" t="s">
        <v>230</v>
      </c>
      <c r="H102" s="19"/>
      <c r="I102" s="19"/>
      <c r="J102" s="25"/>
      <c r="K102" s="26">
        <v>10064</v>
      </c>
      <c r="L102" s="4" t="s">
        <v>196</v>
      </c>
      <c r="M102" s="32" t="s">
        <v>247</v>
      </c>
      <c r="N102" s="4"/>
      <c r="O102" s="4" t="s">
        <v>198</v>
      </c>
      <c r="P102" s="4">
        <v>1</v>
      </c>
      <c r="Q102" s="29">
        <v>2023</v>
      </c>
      <c r="R102" s="4" t="s">
        <v>229</v>
      </c>
      <c r="S102" s="32" t="s">
        <v>231</v>
      </c>
      <c r="T102" s="5" t="s">
        <v>249</v>
      </c>
      <c r="U102" s="5"/>
      <c r="V102" s="4" t="s">
        <v>250</v>
      </c>
      <c r="W102" s="21" t="s">
        <v>167</v>
      </c>
      <c r="X102" s="30">
        <f t="shared" si="18"/>
        <v>0</v>
      </c>
      <c r="Y102" s="30">
        <f t="shared" si="19"/>
        <v>0</v>
      </c>
      <c r="Z102" s="21" t="s">
        <v>44</v>
      </c>
      <c r="AA102" s="22">
        <f t="shared" si="20"/>
        <v>9057.6</v>
      </c>
      <c r="AB102" s="22">
        <f t="shared" si="21"/>
        <v>13083.2</v>
      </c>
      <c r="AC102" s="21"/>
      <c r="AD102" s="22"/>
      <c r="AE102" s="22"/>
      <c r="AF102" s="22"/>
      <c r="AG102" s="21"/>
    </row>
    <row r="103" spans="1:36" s="41" customFormat="1" ht="39.75" customHeight="1">
      <c r="A103" s="36">
        <v>221.21700000000001</v>
      </c>
      <c r="B103" s="18">
        <f>IF(ISNUMBER(A103),IF(AND(A103=INT(A103),MOD(A103,10)=0),0,IF(AND(A103=INT(A103),LEN(A103)=2),1,IF(AND(A103=INT(A103),LEN(A103)=3),2,LEN(A103)-FIND(".",A103)+2))),"")</f>
        <v>5</v>
      </c>
      <c r="C103" s="42" t="s">
        <v>251</v>
      </c>
      <c r="D103" s="19" t="str">
        <f>REPT("   ",B103*2)&amp;C103</f>
        <v xml:space="preserve">                              Shutdown Rod Cladding Material</v>
      </c>
      <c r="E103" s="19" t="s">
        <v>35</v>
      </c>
      <c r="F103" s="19" t="s">
        <v>252</v>
      </c>
      <c r="G103" s="19" t="s">
        <v>253</v>
      </c>
      <c r="H103" s="19"/>
      <c r="I103" s="19"/>
      <c r="J103" s="25"/>
      <c r="K103" s="26">
        <v>757.20768746061799</v>
      </c>
      <c r="L103" s="4" t="s">
        <v>196</v>
      </c>
      <c r="M103" s="32" t="s">
        <v>254</v>
      </c>
      <c r="N103" s="4">
        <v>1587</v>
      </c>
      <c r="O103" s="4" t="s">
        <v>198</v>
      </c>
      <c r="P103" s="4">
        <v>1</v>
      </c>
      <c r="Q103" s="29">
        <v>2017</v>
      </c>
      <c r="R103" s="4" t="s">
        <v>96</v>
      </c>
      <c r="S103" s="32" t="s">
        <v>206</v>
      </c>
      <c r="T103" s="5" t="s">
        <v>255</v>
      </c>
      <c r="U103" s="199"/>
      <c r="V103" s="4" t="s">
        <v>256</v>
      </c>
      <c r="W103" s="21" t="s">
        <v>167</v>
      </c>
      <c r="X103" s="30">
        <f t="shared" si="18"/>
        <v>0</v>
      </c>
      <c r="Y103" s="30">
        <f t="shared" si="19"/>
        <v>0</v>
      </c>
      <c r="Z103" s="21" t="s">
        <v>44</v>
      </c>
      <c r="AA103" s="22">
        <f t="shared" si="20"/>
        <v>681.48691871455617</v>
      </c>
      <c r="AB103" s="22">
        <f t="shared" si="21"/>
        <v>984.36999369880346</v>
      </c>
      <c r="AC103" s="21"/>
      <c r="AD103" s="22"/>
      <c r="AE103" s="22"/>
      <c r="AF103" s="22"/>
      <c r="AG103" s="21"/>
    </row>
    <row r="104" spans="1:36" ht="26.25" customHeight="1">
      <c r="A104" s="36">
        <v>221.3</v>
      </c>
      <c r="B104" s="18">
        <f>IF(ISNUMBER(A104),
IF(AND(A104=INT(A104), MOD(A104, 10) = 0), 0,
IF(AND(A104=INT(A104), LEN(A104)=2), 1,
IF(AND(A104=INT(A104), LEN(A104)=3), 2,
LEN(A104) - FIND(".", A104) + 2)
)
),
"")</f>
        <v>3</v>
      </c>
      <c r="C104" s="42" t="s">
        <v>257</v>
      </c>
      <c r="D104" s="19" t="str">
        <f t="shared" ref="D104:D135" si="22">REPT("   ", B104*2) &amp; C104</f>
        <v xml:space="preserve">                  Non-Fuel Core Internals</v>
      </c>
      <c r="E104" s="19" t="s">
        <v>35</v>
      </c>
      <c r="F104" s="19"/>
      <c r="G104" s="19"/>
      <c r="H104" s="19"/>
      <c r="I104" s="19"/>
      <c r="J104" s="25"/>
      <c r="K104" s="26"/>
      <c r="L104" s="4"/>
      <c r="M104" s="4"/>
      <c r="N104" s="4"/>
      <c r="O104" s="4"/>
      <c r="P104" s="4"/>
      <c r="Q104" s="29"/>
      <c r="R104" s="4"/>
      <c r="S104" s="32"/>
      <c r="T104" s="4"/>
      <c r="U104" s="199"/>
      <c r="V104" s="4"/>
      <c r="W104" s="21"/>
      <c r="X104" s="30"/>
      <c r="Y104" s="30"/>
      <c r="Z104" s="21"/>
      <c r="AA104" s="22"/>
      <c r="AB104" s="22"/>
      <c r="AC104" s="21"/>
      <c r="AD104" s="22"/>
      <c r="AE104" s="22"/>
      <c r="AF104" s="22"/>
      <c r="AG104" s="21"/>
    </row>
    <row r="105" spans="1:36" ht="25.5" customHeight="1">
      <c r="A105" s="36">
        <v>221.31</v>
      </c>
      <c r="B105" s="18">
        <f>IF(ISNUMBER(A105),
    IF(AND(A105=INT(A105), MOD(A105, 10) = 0), 0,
        IF(AND(A105=INT(A105), LEN(A105)=2), 1,
            IF(AND(A105=INT(A105), LEN(A105)=3), 2,
                LEN(A105) - FIND(".", A105) + 2)
        )
    ),
"")</f>
        <v>4</v>
      </c>
      <c r="C105" s="42" t="s">
        <v>258</v>
      </c>
      <c r="D105" s="19" t="str">
        <f t="shared" si="22"/>
        <v xml:space="preserve">                        Reflector</v>
      </c>
      <c r="E105" s="19"/>
      <c r="F105" s="19"/>
      <c r="G105" s="19"/>
      <c r="H105" s="19"/>
      <c r="I105" s="19"/>
      <c r="J105" s="25"/>
      <c r="K105" s="47"/>
      <c r="L105" s="4"/>
      <c r="M105" s="32"/>
      <c r="N105" s="4"/>
      <c r="O105" s="4"/>
      <c r="P105" s="4"/>
      <c r="Q105" s="29"/>
      <c r="R105" s="4"/>
      <c r="S105" s="32"/>
      <c r="T105" s="32"/>
      <c r="U105" s="199"/>
      <c r="V105" s="4"/>
      <c r="W105" s="21"/>
      <c r="X105" s="30"/>
      <c r="Y105" s="30"/>
      <c r="Z105" s="21"/>
      <c r="AA105" s="22"/>
      <c r="AB105" s="22"/>
      <c r="AC105" s="21"/>
      <c r="AD105" s="22"/>
      <c r="AE105" s="22"/>
      <c r="AF105" s="22"/>
      <c r="AG105" s="21"/>
    </row>
    <row r="106" spans="1:36" ht="25.5" customHeight="1">
      <c r="A106" s="36">
        <v>221.31100000000001</v>
      </c>
      <c r="B106" s="18">
        <f>IF(ISNUMBER(A106),
IF(AND(A106=INT(A106), MOD(A106, 10) = 0), 0,
IF(AND(A106=INT(A106), LEN(A106)=2), 1,
IF(AND(A106=INT(A106), LEN(A106)=3), 2,
LEN(A106) - FIND(".", A106) + 2)
)
),
"")</f>
        <v>5</v>
      </c>
      <c r="C106" s="42" t="s">
        <v>259</v>
      </c>
      <c r="D106" s="19" t="str">
        <f t="shared" si="22"/>
        <v xml:space="preserve">                              Radial Reflector</v>
      </c>
      <c r="E106" s="19" t="s">
        <v>35</v>
      </c>
      <c r="F106" s="19" t="s">
        <v>259</v>
      </c>
      <c r="G106" s="19" t="s">
        <v>234</v>
      </c>
      <c r="H106" s="19"/>
      <c r="I106" s="19"/>
      <c r="J106" s="25">
        <f>MARVEL_Cost!C29</f>
        <v>120231</v>
      </c>
      <c r="K106" s="47">
        <f>MARVEL_Cost!C27/N106</f>
        <v>10062.893081761007</v>
      </c>
      <c r="L106" s="4" t="s">
        <v>196</v>
      </c>
      <c r="M106" s="32" t="s">
        <v>260</v>
      </c>
      <c r="N106" s="4">
        <f>'Design Variables'!B17</f>
        <v>318</v>
      </c>
      <c r="O106" s="4" t="s">
        <v>198</v>
      </c>
      <c r="P106" s="4">
        <v>1</v>
      </c>
      <c r="Q106" s="29">
        <v>2024</v>
      </c>
      <c r="R106" s="4" t="s">
        <v>229</v>
      </c>
      <c r="S106" s="32" t="s">
        <v>219</v>
      </c>
      <c r="T106" s="32" t="s">
        <v>220</v>
      </c>
      <c r="U106" s="199"/>
      <c r="V106" s="4"/>
      <c r="W106" s="21" t="s">
        <v>236</v>
      </c>
      <c r="X106" s="30">
        <f t="shared" ref="X106:X113" si="23">0.9*$J106</f>
        <v>108207.90000000001</v>
      </c>
      <c r="Y106" s="30">
        <f t="shared" ref="Y106:Y113" si="24">1.5*J106</f>
        <v>180346.5</v>
      </c>
      <c r="Z106" s="21" t="s">
        <v>44</v>
      </c>
      <c r="AA106" s="22">
        <f t="shared" ref="AA106:AA113" si="25">0.9*K106</f>
        <v>9056.6037735849059</v>
      </c>
      <c r="AB106" s="22">
        <f t="shared" ref="AB106:AB113" si="26">1.3*K106</f>
        <v>13081.761006289309</v>
      </c>
      <c r="AC106" s="21" t="s">
        <v>44</v>
      </c>
      <c r="AD106" s="22" t="s">
        <v>45</v>
      </c>
      <c r="AE106" s="22" t="s">
        <v>46</v>
      </c>
      <c r="AF106" s="22" t="s">
        <v>47</v>
      </c>
      <c r="AG106" s="21" t="s">
        <v>48</v>
      </c>
    </row>
    <row r="107" spans="1:36" ht="25.5" customHeight="1">
      <c r="A107" s="36">
        <v>221.31200000000001</v>
      </c>
      <c r="B107" s="18">
        <f t="shared" ref="B107:B113" si="27">IF(ISNUMBER(A107),
    IF(AND(A107=INT(A107), MOD(A107, 10) = 0), 0,
        IF(AND(A107=INT(A107), LEN(A107)=2), 1,
            IF(AND(A107=INT(A107), LEN(A107)=3), 2,
                LEN(A107) - FIND(".", A107) + 2)
        )
    ),
"")</f>
        <v>5</v>
      </c>
      <c r="C107" s="42" t="s">
        <v>261</v>
      </c>
      <c r="D107" s="19" t="str">
        <f t="shared" si="22"/>
        <v xml:space="preserve">                              Axial Reflector</v>
      </c>
      <c r="E107" s="19" t="s">
        <v>35</v>
      </c>
      <c r="F107" s="19" t="s">
        <v>261</v>
      </c>
      <c r="G107" s="19" t="s">
        <v>234</v>
      </c>
      <c r="H107" s="19"/>
      <c r="I107" s="19"/>
      <c r="J107" s="25">
        <v>120231</v>
      </c>
      <c r="K107" s="47">
        <v>10062.893081761</v>
      </c>
      <c r="L107" s="4" t="s">
        <v>196</v>
      </c>
      <c r="M107" s="32" t="s">
        <v>262</v>
      </c>
      <c r="N107" s="4">
        <v>318</v>
      </c>
      <c r="O107" s="4" t="s">
        <v>198</v>
      </c>
      <c r="P107" s="4">
        <v>1</v>
      </c>
      <c r="Q107" s="29">
        <v>2024</v>
      </c>
      <c r="R107" s="4" t="s">
        <v>229</v>
      </c>
      <c r="S107" s="32" t="s">
        <v>219</v>
      </c>
      <c r="T107" s="32" t="s">
        <v>220</v>
      </c>
      <c r="U107" s="199"/>
      <c r="V107" s="4"/>
      <c r="W107" s="21" t="s">
        <v>236</v>
      </c>
      <c r="X107" s="30">
        <f t="shared" si="23"/>
        <v>108207.90000000001</v>
      </c>
      <c r="Y107" s="30">
        <f t="shared" si="24"/>
        <v>180346.5</v>
      </c>
      <c r="Z107" s="21" t="s">
        <v>44</v>
      </c>
      <c r="AA107" s="22">
        <f t="shared" si="25"/>
        <v>9056.6037735849004</v>
      </c>
      <c r="AB107" s="22">
        <f t="shared" si="26"/>
        <v>13081.7610062893</v>
      </c>
      <c r="AC107" s="21" t="s">
        <v>44</v>
      </c>
      <c r="AD107" s="22" t="s">
        <v>45</v>
      </c>
      <c r="AE107" s="22" t="s">
        <v>46</v>
      </c>
      <c r="AF107" s="22" t="s">
        <v>47</v>
      </c>
      <c r="AG107" s="21" t="s">
        <v>48</v>
      </c>
    </row>
    <row r="108" spans="1:36" ht="25.5" customHeight="1">
      <c r="A108" s="36">
        <v>221.31100000000001</v>
      </c>
      <c r="B108" s="18">
        <f t="shared" si="27"/>
        <v>5</v>
      </c>
      <c r="C108" s="42" t="s">
        <v>259</v>
      </c>
      <c r="D108" s="19" t="str">
        <f t="shared" si="22"/>
        <v xml:space="preserve">                              Radial Reflector</v>
      </c>
      <c r="E108" s="19" t="s">
        <v>35</v>
      </c>
      <c r="F108" s="19" t="s">
        <v>259</v>
      </c>
      <c r="G108" s="19" t="s">
        <v>237</v>
      </c>
      <c r="H108" s="19"/>
      <c r="I108" s="19"/>
      <c r="J108" s="25"/>
      <c r="K108" s="47">
        <f>MARVEL_Cost!C28/N98</f>
        <v>44736.84210526316</v>
      </c>
      <c r="L108" s="4" t="s">
        <v>196</v>
      </c>
      <c r="M108" s="32" t="s">
        <v>260</v>
      </c>
      <c r="N108" s="4">
        <f>1000*'Design Variables'!B19</f>
        <v>19</v>
      </c>
      <c r="O108" s="4" t="s">
        <v>198</v>
      </c>
      <c r="P108" s="4">
        <v>1</v>
      </c>
      <c r="Q108" s="29">
        <v>2024</v>
      </c>
      <c r="R108" s="4" t="s">
        <v>229</v>
      </c>
      <c r="S108" s="32" t="s">
        <v>219</v>
      </c>
      <c r="T108" s="32" t="s">
        <v>220</v>
      </c>
      <c r="U108" s="199"/>
      <c r="V108" s="4"/>
      <c r="W108" s="21" t="s">
        <v>238</v>
      </c>
      <c r="X108" s="30">
        <f t="shared" si="23"/>
        <v>0</v>
      </c>
      <c r="Y108" s="30">
        <f t="shared" si="24"/>
        <v>0</v>
      </c>
      <c r="Z108" s="21" t="s">
        <v>44</v>
      </c>
      <c r="AA108" s="22">
        <f t="shared" si="25"/>
        <v>40263.157894736847</v>
      </c>
      <c r="AB108" s="22">
        <f t="shared" si="26"/>
        <v>58157.894736842107</v>
      </c>
      <c r="AC108" s="21" t="s">
        <v>44</v>
      </c>
      <c r="AD108" s="22" t="s">
        <v>45</v>
      </c>
      <c r="AE108" s="22" t="s">
        <v>46</v>
      </c>
      <c r="AF108" s="22" t="s">
        <v>47</v>
      </c>
      <c r="AG108" s="21" t="s">
        <v>48</v>
      </c>
    </row>
    <row r="109" spans="1:36" ht="25.5" customHeight="1">
      <c r="A109" s="36">
        <v>221.31200000000001</v>
      </c>
      <c r="B109" s="18">
        <f t="shared" si="27"/>
        <v>5</v>
      </c>
      <c r="C109" s="42" t="s">
        <v>261</v>
      </c>
      <c r="D109" s="19" t="str">
        <f t="shared" si="22"/>
        <v xml:space="preserve">                              Axial Reflector</v>
      </c>
      <c r="E109" s="19" t="s">
        <v>35</v>
      </c>
      <c r="F109" s="19" t="s">
        <v>261</v>
      </c>
      <c r="G109" s="19" t="s">
        <v>237</v>
      </c>
      <c r="H109" s="19"/>
      <c r="I109" s="19"/>
      <c r="J109" s="25"/>
      <c r="K109" s="47">
        <v>44736.842105263197</v>
      </c>
      <c r="L109" s="4" t="s">
        <v>196</v>
      </c>
      <c r="M109" s="32" t="s">
        <v>262</v>
      </c>
      <c r="N109" s="4">
        <v>19</v>
      </c>
      <c r="O109" s="4" t="s">
        <v>198</v>
      </c>
      <c r="P109" s="4">
        <v>1</v>
      </c>
      <c r="Q109" s="29">
        <v>2024</v>
      </c>
      <c r="R109" s="4" t="s">
        <v>229</v>
      </c>
      <c r="S109" s="32" t="s">
        <v>219</v>
      </c>
      <c r="T109" s="32" t="s">
        <v>220</v>
      </c>
      <c r="U109" s="199"/>
      <c r="V109" s="4"/>
      <c r="W109" s="21" t="s">
        <v>238</v>
      </c>
      <c r="X109" s="30">
        <f t="shared" si="23"/>
        <v>0</v>
      </c>
      <c r="Y109" s="30">
        <f t="shared" si="24"/>
        <v>0</v>
      </c>
      <c r="Z109" s="21" t="s">
        <v>44</v>
      </c>
      <c r="AA109" s="22">
        <f t="shared" si="25"/>
        <v>40263.157894736876</v>
      </c>
      <c r="AB109" s="22">
        <f t="shared" si="26"/>
        <v>58157.894736842158</v>
      </c>
      <c r="AC109" s="21" t="s">
        <v>44</v>
      </c>
      <c r="AD109" s="22" t="s">
        <v>45</v>
      </c>
      <c r="AE109" s="22" t="s">
        <v>46</v>
      </c>
      <c r="AF109" s="22" t="s">
        <v>47</v>
      </c>
      <c r="AG109" s="21" t="s">
        <v>48</v>
      </c>
    </row>
    <row r="110" spans="1:36" ht="101.25" customHeight="1">
      <c r="A110" s="36">
        <v>221.31100000000001</v>
      </c>
      <c r="B110" s="18">
        <f t="shared" si="27"/>
        <v>5</v>
      </c>
      <c r="C110" s="42" t="s">
        <v>259</v>
      </c>
      <c r="D110" s="19" t="str">
        <f t="shared" si="22"/>
        <v xml:space="preserve">                              Radial Reflector</v>
      </c>
      <c r="E110" s="19" t="s">
        <v>35</v>
      </c>
      <c r="F110" s="19" t="s">
        <v>259</v>
      </c>
      <c r="G110" s="19" t="s">
        <v>239</v>
      </c>
      <c r="H110" s="19"/>
      <c r="I110" s="19"/>
      <c r="J110" s="25"/>
      <c r="K110" s="47">
        <v>80</v>
      </c>
      <c r="L110" s="4" t="s">
        <v>196</v>
      </c>
      <c r="M110" s="32" t="s">
        <v>260</v>
      </c>
      <c r="N110" s="4"/>
      <c r="O110" s="4"/>
      <c r="P110" s="4"/>
      <c r="Q110" s="29">
        <v>2022</v>
      </c>
      <c r="R110" s="4" t="s">
        <v>229</v>
      </c>
      <c r="S110" s="32" t="s">
        <v>240</v>
      </c>
      <c r="T110" s="32" t="s">
        <v>241</v>
      </c>
      <c r="U110" s="199"/>
      <c r="V110" s="4"/>
      <c r="W110" s="21" t="s">
        <v>167</v>
      </c>
      <c r="X110" s="30">
        <f t="shared" si="23"/>
        <v>0</v>
      </c>
      <c r="Y110" s="30">
        <f t="shared" si="24"/>
        <v>0</v>
      </c>
      <c r="Z110" s="21" t="s">
        <v>44</v>
      </c>
      <c r="AA110" s="22">
        <f t="shared" si="25"/>
        <v>72</v>
      </c>
      <c r="AB110" s="22">
        <f t="shared" si="26"/>
        <v>104</v>
      </c>
      <c r="AC110" s="21" t="s">
        <v>44</v>
      </c>
      <c r="AD110" s="22" t="s">
        <v>45</v>
      </c>
      <c r="AE110" s="22" t="s">
        <v>46</v>
      </c>
      <c r="AF110" s="22" t="s">
        <v>47</v>
      </c>
      <c r="AG110" s="21" t="s">
        <v>48</v>
      </c>
    </row>
    <row r="111" spans="1:36" ht="101.25" customHeight="1">
      <c r="A111" s="36">
        <v>221.31200000000001</v>
      </c>
      <c r="B111" s="18">
        <f t="shared" si="27"/>
        <v>5</v>
      </c>
      <c r="C111" s="42" t="s">
        <v>261</v>
      </c>
      <c r="D111" s="19" t="str">
        <f t="shared" si="22"/>
        <v xml:space="preserve">                              Axial Reflector</v>
      </c>
      <c r="E111" s="19" t="s">
        <v>35</v>
      </c>
      <c r="F111" s="19" t="s">
        <v>261</v>
      </c>
      <c r="G111" s="19" t="s">
        <v>239</v>
      </c>
      <c r="H111" s="19"/>
      <c r="I111" s="19"/>
      <c r="J111" s="25"/>
      <c r="K111" s="47">
        <v>80</v>
      </c>
      <c r="L111" s="4" t="s">
        <v>196</v>
      </c>
      <c r="M111" s="32" t="s">
        <v>262</v>
      </c>
      <c r="N111" s="4"/>
      <c r="O111" s="4"/>
      <c r="P111" s="4"/>
      <c r="Q111" s="29">
        <v>2022</v>
      </c>
      <c r="R111" s="4" t="s">
        <v>229</v>
      </c>
      <c r="S111" s="32" t="s">
        <v>240</v>
      </c>
      <c r="T111" s="32" t="s">
        <v>241</v>
      </c>
      <c r="U111" s="199"/>
      <c r="V111" s="4"/>
      <c r="W111" s="21" t="s">
        <v>167</v>
      </c>
      <c r="X111" s="30">
        <f t="shared" si="23"/>
        <v>0</v>
      </c>
      <c r="Y111" s="30">
        <f t="shared" si="24"/>
        <v>0</v>
      </c>
      <c r="Z111" s="21" t="s">
        <v>44</v>
      </c>
      <c r="AA111" s="22">
        <f t="shared" si="25"/>
        <v>72</v>
      </c>
      <c r="AB111" s="22">
        <f t="shared" si="26"/>
        <v>104</v>
      </c>
      <c r="AC111" s="21" t="s">
        <v>44</v>
      </c>
      <c r="AD111" s="22" t="s">
        <v>45</v>
      </c>
      <c r="AE111" s="22" t="s">
        <v>46</v>
      </c>
      <c r="AF111" s="22" t="s">
        <v>47</v>
      </c>
      <c r="AG111" s="21" t="s">
        <v>48</v>
      </c>
    </row>
    <row r="112" spans="1:36" ht="51.75" customHeight="1">
      <c r="A112" s="36">
        <v>221.31100000000001</v>
      </c>
      <c r="B112" s="18">
        <f t="shared" si="27"/>
        <v>5</v>
      </c>
      <c r="C112" s="42" t="s">
        <v>259</v>
      </c>
      <c r="D112" s="19" t="str">
        <f t="shared" si="22"/>
        <v xml:space="preserve">                              Radial Reflector</v>
      </c>
      <c r="E112" s="19" t="s">
        <v>35</v>
      </c>
      <c r="F112" s="19" t="s">
        <v>259</v>
      </c>
      <c r="G112" s="19" t="s">
        <v>263</v>
      </c>
      <c r="H112" s="19"/>
      <c r="I112" s="19"/>
      <c r="J112" s="25"/>
      <c r="K112" s="47">
        <v>134.1</v>
      </c>
      <c r="L112" s="4" t="s">
        <v>196</v>
      </c>
      <c r="M112" s="32" t="s">
        <v>260</v>
      </c>
      <c r="N112" s="4"/>
      <c r="O112" s="4"/>
      <c r="P112" s="4"/>
      <c r="Q112" s="29">
        <v>2017</v>
      </c>
      <c r="R112" s="4" t="s">
        <v>229</v>
      </c>
      <c r="S112" s="32" t="s">
        <v>264</v>
      </c>
      <c r="T112" s="32"/>
      <c r="U112" s="199"/>
      <c r="V112" s="4"/>
      <c r="W112" s="21" t="s">
        <v>167</v>
      </c>
      <c r="X112" s="30">
        <f t="shared" si="23"/>
        <v>0</v>
      </c>
      <c r="Y112" s="30">
        <f t="shared" si="24"/>
        <v>0</v>
      </c>
      <c r="Z112" s="21" t="s">
        <v>44</v>
      </c>
      <c r="AA112" s="22">
        <f t="shared" si="25"/>
        <v>120.69</v>
      </c>
      <c r="AB112" s="22">
        <f t="shared" si="26"/>
        <v>174.33</v>
      </c>
      <c r="AC112" s="21" t="s">
        <v>44</v>
      </c>
      <c r="AD112" s="22" t="s">
        <v>45</v>
      </c>
      <c r="AE112" s="22" t="s">
        <v>46</v>
      </c>
      <c r="AF112" s="22" t="s">
        <v>47</v>
      </c>
      <c r="AG112" s="21" t="s">
        <v>48</v>
      </c>
    </row>
    <row r="113" spans="1:33" ht="26.25" customHeight="1">
      <c r="A113" s="36">
        <v>221.31200000000001</v>
      </c>
      <c r="B113" s="18">
        <f t="shared" si="27"/>
        <v>5</v>
      </c>
      <c r="C113" s="42" t="s">
        <v>261</v>
      </c>
      <c r="D113" s="19" t="str">
        <f t="shared" si="22"/>
        <v xml:space="preserve">                              Axial Reflector</v>
      </c>
      <c r="E113" s="19" t="s">
        <v>35</v>
      </c>
      <c r="F113" s="19" t="s">
        <v>261</v>
      </c>
      <c r="G113" s="19" t="s">
        <v>263</v>
      </c>
      <c r="H113" s="19"/>
      <c r="I113" s="19"/>
      <c r="J113" s="25"/>
      <c r="K113" s="47">
        <v>134.1</v>
      </c>
      <c r="L113" s="4" t="s">
        <v>196</v>
      </c>
      <c r="M113" s="32" t="s">
        <v>262</v>
      </c>
      <c r="N113" s="4"/>
      <c r="O113" s="4"/>
      <c r="P113" s="4"/>
      <c r="Q113" s="29">
        <v>2017</v>
      </c>
      <c r="R113" s="4" t="s">
        <v>229</v>
      </c>
      <c r="S113" s="32" t="s">
        <v>264</v>
      </c>
      <c r="T113" s="32"/>
      <c r="U113" s="199"/>
      <c r="V113" s="4"/>
      <c r="W113" s="21" t="s">
        <v>167</v>
      </c>
      <c r="X113" s="30">
        <f t="shared" si="23"/>
        <v>0</v>
      </c>
      <c r="Y113" s="30">
        <f t="shared" si="24"/>
        <v>0</v>
      </c>
      <c r="Z113" s="21" t="s">
        <v>44</v>
      </c>
      <c r="AA113" s="22">
        <f t="shared" si="25"/>
        <v>120.69</v>
      </c>
      <c r="AB113" s="22">
        <f t="shared" si="26"/>
        <v>174.33</v>
      </c>
      <c r="AC113" s="21" t="s">
        <v>44</v>
      </c>
      <c r="AD113" s="22" t="s">
        <v>45</v>
      </c>
      <c r="AE113" s="22" t="s">
        <v>46</v>
      </c>
      <c r="AF113" s="22" t="s">
        <v>47</v>
      </c>
      <c r="AG113" s="21" t="s">
        <v>48</v>
      </c>
    </row>
    <row r="114" spans="1:33" ht="26.25" customHeight="1">
      <c r="A114" s="36">
        <v>221.32</v>
      </c>
      <c r="B114" s="18">
        <f>IF(ISNUMBER(A114),
IF(AND(A114=INT(A114), MOD(A114, 10) = 0), 0,
IF(AND(A114=INT(A114), LEN(A114)=2), 1,
IF(AND(A114=INT(A114), LEN(A114)=3), 2,
LEN(A114) - FIND(".", A114) + 2)
)
),
"")</f>
        <v>4</v>
      </c>
      <c r="C114" s="42" t="s">
        <v>265</v>
      </c>
      <c r="D114" s="19" t="str">
        <f t="shared" si="22"/>
        <v xml:space="preserve">                        Shield</v>
      </c>
      <c r="E114" s="19"/>
      <c r="F114" s="19"/>
      <c r="G114" s="19"/>
      <c r="H114" s="19"/>
      <c r="I114" s="19"/>
      <c r="J114" s="25"/>
      <c r="K114" s="26"/>
      <c r="L114" s="4"/>
      <c r="M114" s="32"/>
      <c r="N114" s="4"/>
      <c r="O114" s="4"/>
      <c r="P114" s="4"/>
      <c r="Q114" s="29"/>
      <c r="R114" s="4"/>
      <c r="S114" s="32"/>
      <c r="T114" s="32"/>
      <c r="U114" s="5"/>
      <c r="V114" s="4"/>
      <c r="W114" s="21"/>
      <c r="X114" s="30"/>
      <c r="Y114" s="30"/>
      <c r="Z114" s="21"/>
      <c r="AA114" s="22"/>
      <c r="AB114" s="22"/>
      <c r="AC114" s="21"/>
      <c r="AD114" s="22"/>
      <c r="AE114" s="22"/>
      <c r="AF114" s="22"/>
      <c r="AG114" s="21"/>
    </row>
    <row r="115" spans="1:33" s="41" customFormat="1" ht="53.25" customHeight="1">
      <c r="A115" s="36">
        <v>221.321</v>
      </c>
      <c r="B115" s="18">
        <f>IF(ISNUMBER(A115),
IF(AND(A115=INT(A115), MOD(A115, 10) = 0), 0,
IF(AND(A115=INT(A115), LEN(A115)=2), 1,
IF(AND(A115=INT(A115), LEN(A115)=3), 2,
LEN(A115) - FIND(".", A115) + 2)
)
),
"")</f>
        <v>5</v>
      </c>
      <c r="C115" s="42" t="s">
        <v>266</v>
      </c>
      <c r="D115" s="19" t="str">
        <f t="shared" si="22"/>
        <v xml:space="preserve">                              In Vessel Shield Materials</v>
      </c>
      <c r="E115" s="19" t="s">
        <v>35</v>
      </c>
      <c r="F115" s="19" t="s">
        <v>267</v>
      </c>
      <c r="G115" s="19" t="s">
        <v>227</v>
      </c>
      <c r="H115" s="19"/>
      <c r="I115" s="19"/>
      <c r="J115" s="25">
        <f>MARVEL_Cost!C30</f>
        <v>647990.6</v>
      </c>
      <c r="K115" s="26">
        <f>K95</f>
        <v>14285.714285714286</v>
      </c>
      <c r="L115" s="4" t="s">
        <v>196</v>
      </c>
      <c r="M115" s="32" t="s">
        <v>268</v>
      </c>
      <c r="N115" s="4">
        <f>N95</f>
        <v>28</v>
      </c>
      <c r="O115" s="4" t="s">
        <v>198</v>
      </c>
      <c r="P115" s="4">
        <v>1</v>
      </c>
      <c r="Q115" s="29">
        <v>2024</v>
      </c>
      <c r="R115" s="4" t="s">
        <v>229</v>
      </c>
      <c r="S115" s="32" t="s">
        <v>219</v>
      </c>
      <c r="T115" s="32"/>
      <c r="U115" s="5"/>
      <c r="V115" s="4"/>
      <c r="W115" s="21" t="s">
        <v>167</v>
      </c>
      <c r="X115" s="30">
        <f>0.9*$J115</f>
        <v>583191.54</v>
      </c>
      <c r="Y115" s="30">
        <f>1.5*J115</f>
        <v>971985.89999999991</v>
      </c>
      <c r="Z115" s="21" t="s">
        <v>44</v>
      </c>
      <c r="AA115" s="22">
        <f t="shared" ref="AA115:AA123" si="28">0.9*K115</f>
        <v>12857.142857142859</v>
      </c>
      <c r="AB115" s="22">
        <f t="shared" ref="AB115:AB123" si="29">1.3*K115</f>
        <v>18571.428571428572</v>
      </c>
      <c r="AC115" s="21" t="s">
        <v>44</v>
      </c>
      <c r="AD115" s="22" t="s">
        <v>45</v>
      </c>
      <c r="AE115" s="22" t="s">
        <v>46</v>
      </c>
      <c r="AF115" s="22" t="s">
        <v>47</v>
      </c>
      <c r="AG115" s="21" t="s">
        <v>48</v>
      </c>
    </row>
    <row r="116" spans="1:33" s="41" customFormat="1" ht="53.25" customHeight="1">
      <c r="A116" s="36">
        <v>221.322</v>
      </c>
      <c r="B116" s="18">
        <f>IF(ISNUMBER(A116),
IF(AND(A116=INT(A116), MOD(A116, 10) = 0), 0,
IF(AND(A116=INT(A116), LEN(A116)=2), 1,
IF(AND(A116=INT(A116), LEN(A116)=3), 2,
LEN(A116) - FIND(".", A116) + 2)
)
),
"")</f>
        <v>5</v>
      </c>
      <c r="C116" s="42" t="s">
        <v>269</v>
      </c>
      <c r="D116" s="19" t="str">
        <f t="shared" si="22"/>
        <v xml:space="preserve">                              Out The Vessel Shield Materials</v>
      </c>
      <c r="E116" s="19" t="s">
        <v>35</v>
      </c>
      <c r="F116" s="19" t="s">
        <v>270</v>
      </c>
      <c r="G116" s="19" t="s">
        <v>271</v>
      </c>
      <c r="H116" s="19"/>
      <c r="I116" s="19"/>
      <c r="J116" s="25"/>
      <c r="K116" s="26">
        <v>20</v>
      </c>
      <c r="L116" s="4" t="s">
        <v>196</v>
      </c>
      <c r="M116" s="32" t="s">
        <v>272</v>
      </c>
      <c r="N116" s="4">
        <f>'Design Variables'!B43</f>
        <v>925.3</v>
      </c>
      <c r="O116" s="4" t="s">
        <v>198</v>
      </c>
      <c r="P116" s="4">
        <v>1</v>
      </c>
      <c r="Q116" s="29">
        <v>2024</v>
      </c>
      <c r="R116" s="4" t="s">
        <v>229</v>
      </c>
      <c r="S116" s="32" t="s">
        <v>219</v>
      </c>
      <c r="T116" s="32"/>
      <c r="U116" s="51"/>
      <c r="V116" s="4"/>
      <c r="W116" s="21" t="s">
        <v>167</v>
      </c>
      <c r="X116" s="30">
        <f>0.9*$J116</f>
        <v>0</v>
      </c>
      <c r="Y116" s="30">
        <f>1.5*J116</f>
        <v>0</v>
      </c>
      <c r="Z116" s="21" t="s">
        <v>44</v>
      </c>
      <c r="AA116" s="22">
        <f t="shared" si="28"/>
        <v>18</v>
      </c>
      <c r="AB116" s="22">
        <f t="shared" si="29"/>
        <v>26</v>
      </c>
      <c r="AC116" s="21" t="s">
        <v>44</v>
      </c>
      <c r="AD116" s="22" t="s">
        <v>45</v>
      </c>
      <c r="AE116" s="22" t="s">
        <v>46</v>
      </c>
      <c r="AF116" s="22" t="s">
        <v>47</v>
      </c>
      <c r="AG116" s="21" t="s">
        <v>48</v>
      </c>
    </row>
    <row r="117" spans="1:33" ht="122.25" customHeight="1">
      <c r="A117" s="52">
        <v>221.33</v>
      </c>
      <c r="B117" s="53">
        <f>IF(ISNUMBER(A117),
IF(AND(A117=INT(A117), MOD(A117, 10) = 0), 0,
IF(AND(A117=INT(A117), LEN(A117)=2), 1,
IF(AND(A117=INT(A117), LEN(A117)=3), 2,
LEN(A117) - FIND(".", A117) + 2)
)
),
"")</f>
        <v>4</v>
      </c>
      <c r="C117" s="42" t="s">
        <v>273</v>
      </c>
      <c r="D117" s="19" t="str">
        <f t="shared" si="22"/>
        <v xml:space="preserve">                        Moderator</v>
      </c>
      <c r="E117" s="19" t="s">
        <v>35</v>
      </c>
      <c r="F117" s="19" t="s">
        <v>273</v>
      </c>
      <c r="G117" s="19" t="s">
        <v>239</v>
      </c>
      <c r="H117" s="54"/>
      <c r="I117" s="54"/>
      <c r="K117" s="26">
        <v>80</v>
      </c>
      <c r="L117" s="4" t="s">
        <v>196</v>
      </c>
      <c r="M117" s="32" t="s">
        <v>274</v>
      </c>
      <c r="O117" s="4" t="s">
        <v>198</v>
      </c>
      <c r="Q117" s="29">
        <v>2022</v>
      </c>
      <c r="R117" s="4" t="s">
        <v>229</v>
      </c>
      <c r="S117" s="32" t="s">
        <v>240</v>
      </c>
      <c r="T117" s="7" t="s">
        <v>241</v>
      </c>
      <c r="W117" s="21" t="s">
        <v>167</v>
      </c>
      <c r="Z117" s="21" t="s">
        <v>44</v>
      </c>
      <c r="AA117" s="22">
        <f t="shared" si="28"/>
        <v>72</v>
      </c>
      <c r="AB117" s="22">
        <f t="shared" si="29"/>
        <v>104</v>
      </c>
      <c r="AC117" s="21" t="s">
        <v>44</v>
      </c>
      <c r="AD117" s="22" t="s">
        <v>45</v>
      </c>
      <c r="AE117" s="22" t="s">
        <v>46</v>
      </c>
      <c r="AF117" s="22" t="s">
        <v>47</v>
      </c>
      <c r="AG117" s="21" t="s">
        <v>48</v>
      </c>
    </row>
    <row r="118" spans="1:33" ht="122.25" customHeight="1">
      <c r="A118" s="52">
        <v>221.33</v>
      </c>
      <c r="B118" s="53">
        <f>IF(ISNUMBER(A118),
    IF(AND(A118=INT(A118), MOD(A118, 10) = 0), 0,
        IF(AND(A118=INT(A118), LEN(A118)=2), 1,
            IF(AND(A118=INT(A118), LEN(A118)=3), 2,
                LEN(A118) - FIND(".", A118) + 2)
        )
    ),
"")</f>
        <v>4</v>
      </c>
      <c r="C118" s="42" t="s">
        <v>273</v>
      </c>
      <c r="D118" s="19" t="str">
        <f t="shared" si="22"/>
        <v xml:space="preserve">                        Moderator</v>
      </c>
      <c r="E118" s="19" t="s">
        <v>35</v>
      </c>
      <c r="F118" s="19" t="s">
        <v>273</v>
      </c>
      <c r="G118" s="19" t="s">
        <v>275</v>
      </c>
      <c r="H118" s="54"/>
      <c r="I118" s="54"/>
      <c r="K118" s="26">
        <f>2*K117</f>
        <v>160</v>
      </c>
      <c r="L118" s="4" t="s">
        <v>196</v>
      </c>
      <c r="M118" s="32" t="s">
        <v>274</v>
      </c>
      <c r="O118" s="4" t="s">
        <v>198</v>
      </c>
      <c r="Q118" s="29">
        <v>2022</v>
      </c>
      <c r="R118" s="4" t="s">
        <v>229</v>
      </c>
      <c r="S118" s="32" t="s">
        <v>276</v>
      </c>
      <c r="T118" s="7"/>
      <c r="W118" s="21" t="s">
        <v>167</v>
      </c>
      <c r="Z118" s="21" t="s">
        <v>44</v>
      </c>
      <c r="AA118" s="22">
        <f t="shared" si="28"/>
        <v>144</v>
      </c>
      <c r="AB118" s="22">
        <f t="shared" si="29"/>
        <v>208</v>
      </c>
      <c r="AC118" s="21" t="s">
        <v>44</v>
      </c>
      <c r="AD118" s="22" t="s">
        <v>45</v>
      </c>
      <c r="AE118" s="22" t="s">
        <v>46</v>
      </c>
      <c r="AF118" s="22" t="s">
        <v>47</v>
      </c>
      <c r="AG118" s="21" t="s">
        <v>48</v>
      </c>
    </row>
    <row r="119" spans="1:33" ht="122.25" customHeight="1">
      <c r="A119" s="52">
        <v>221.33</v>
      </c>
      <c r="B119" s="53">
        <f>IF(ISNUMBER(A119),
IF(AND(A119=INT(A119), MOD(A119, 10) = 0), 0,
IF(AND(A119=INT(A119), LEN(A119)=2), 1,
IF(AND(A119=INT(A119), LEN(A119)=3), 2,
LEN(A119) - FIND(".", A119) + 2)
)
),
"")</f>
        <v>4</v>
      </c>
      <c r="C119" s="42" t="s">
        <v>273</v>
      </c>
      <c r="D119" s="19" t="str">
        <f t="shared" si="22"/>
        <v xml:space="preserve">                        Moderator</v>
      </c>
      <c r="E119" s="19" t="s">
        <v>35</v>
      </c>
      <c r="F119" s="19" t="s">
        <v>273</v>
      </c>
      <c r="G119" s="19" t="s">
        <v>277</v>
      </c>
      <c r="H119" s="54"/>
      <c r="I119" s="54"/>
      <c r="K119" s="26">
        <v>1520</v>
      </c>
      <c r="L119" s="4" t="s">
        <v>196</v>
      </c>
      <c r="M119" s="32" t="s">
        <v>274</v>
      </c>
      <c r="O119" s="4" t="s">
        <v>198</v>
      </c>
      <c r="Q119" s="29">
        <v>2017</v>
      </c>
      <c r="R119" s="4" t="s">
        <v>229</v>
      </c>
      <c r="S119" s="32" t="s">
        <v>278</v>
      </c>
      <c r="T119" s="7" t="s">
        <v>279</v>
      </c>
      <c r="W119" s="21" t="s">
        <v>167</v>
      </c>
      <c r="Z119" s="21" t="s">
        <v>44</v>
      </c>
      <c r="AA119" s="22">
        <f t="shared" si="28"/>
        <v>1368</v>
      </c>
      <c r="AB119" s="22">
        <f t="shared" si="29"/>
        <v>1976</v>
      </c>
      <c r="AC119" s="21" t="s">
        <v>44</v>
      </c>
      <c r="AD119" s="22" t="s">
        <v>45</v>
      </c>
      <c r="AE119" s="22" t="s">
        <v>46</v>
      </c>
      <c r="AF119" s="22" t="s">
        <v>47</v>
      </c>
      <c r="AG119" s="21" t="s">
        <v>48</v>
      </c>
    </row>
    <row r="120" spans="1:33" ht="122.25" customHeight="1">
      <c r="A120" s="52">
        <v>221.33</v>
      </c>
      <c r="B120" s="53">
        <f>IF(ISNUMBER(A120),
    IF(AND(A120=INT(A120), MOD(A120, 10) = 0), 0,
        IF(AND(A120=INT(A120), LEN(A120)=2), 1,
            IF(AND(A120=INT(A120), LEN(A120)=3), 2,
                LEN(A120) - FIND(".", A120) + 2)
        )
    ),
"")</f>
        <v>4</v>
      </c>
      <c r="C120" s="42" t="s">
        <v>273</v>
      </c>
      <c r="D120" s="19" t="str">
        <f t="shared" si="22"/>
        <v xml:space="preserve">                        Moderator</v>
      </c>
      <c r="E120" s="19" t="s">
        <v>35</v>
      </c>
      <c r="F120" s="19" t="s">
        <v>273</v>
      </c>
      <c r="G120" s="19" t="s">
        <v>280</v>
      </c>
      <c r="H120" s="54"/>
      <c r="I120" s="54"/>
      <c r="K120" s="26">
        <v>1520</v>
      </c>
      <c r="L120" s="4" t="s">
        <v>196</v>
      </c>
      <c r="M120" s="32" t="s">
        <v>274</v>
      </c>
      <c r="O120" s="4" t="s">
        <v>198</v>
      </c>
      <c r="Q120" s="29">
        <v>2017</v>
      </c>
      <c r="R120" s="4" t="s">
        <v>229</v>
      </c>
      <c r="S120" s="32"/>
      <c r="T120" s="7" t="s">
        <v>281</v>
      </c>
      <c r="W120" s="21" t="s">
        <v>167</v>
      </c>
      <c r="Z120" s="21" t="s">
        <v>44</v>
      </c>
      <c r="AA120" s="22">
        <f t="shared" si="28"/>
        <v>1368</v>
      </c>
      <c r="AB120" s="22">
        <f t="shared" si="29"/>
        <v>1976</v>
      </c>
      <c r="AC120" s="21" t="s">
        <v>44</v>
      </c>
      <c r="AD120" s="22" t="s">
        <v>45</v>
      </c>
      <c r="AE120" s="22" t="s">
        <v>46</v>
      </c>
      <c r="AF120" s="22" t="s">
        <v>47</v>
      </c>
      <c r="AG120" s="21" t="s">
        <v>48</v>
      </c>
    </row>
    <row r="121" spans="1:33" ht="122.25" customHeight="1">
      <c r="A121" s="52">
        <v>221.34</v>
      </c>
      <c r="B121" s="53">
        <f>IF(ISNUMBER(A121),
IF(AND(A121=INT(A121), MOD(A121, 10) = 0), 0,
IF(AND(A121=INT(A121), LEN(A121)=2), 1,
IF(AND(A121=INT(A121), LEN(A121)=3), 2,
LEN(A121) - FIND(".", A121) + 2)
)
),
"")</f>
        <v>4</v>
      </c>
      <c r="C121" s="42" t="s">
        <v>282</v>
      </c>
      <c r="D121" s="19" t="str">
        <f t="shared" si="22"/>
        <v xml:space="preserve">                        Moderator (Booster)</v>
      </c>
      <c r="E121" s="19" t="s">
        <v>35</v>
      </c>
      <c r="F121" s="19" t="s">
        <v>283</v>
      </c>
      <c r="G121" s="19" t="s">
        <v>239</v>
      </c>
      <c r="H121" s="54"/>
      <c r="I121" s="54"/>
      <c r="K121" s="26">
        <v>80</v>
      </c>
      <c r="L121" s="4" t="s">
        <v>196</v>
      </c>
      <c r="M121" s="32" t="s">
        <v>284</v>
      </c>
      <c r="O121" s="4" t="s">
        <v>198</v>
      </c>
      <c r="Q121" s="29">
        <v>2022</v>
      </c>
      <c r="R121" s="4" t="s">
        <v>229</v>
      </c>
      <c r="S121" s="32" t="s">
        <v>240</v>
      </c>
      <c r="T121" s="7" t="s">
        <v>241</v>
      </c>
      <c r="W121" s="21" t="s">
        <v>167</v>
      </c>
      <c r="Z121" s="21" t="s">
        <v>44</v>
      </c>
      <c r="AA121" s="22">
        <f t="shared" si="28"/>
        <v>72</v>
      </c>
      <c r="AB121" s="22">
        <f t="shared" si="29"/>
        <v>104</v>
      </c>
      <c r="AC121" s="21" t="s">
        <v>44</v>
      </c>
      <c r="AD121" s="22" t="s">
        <v>45</v>
      </c>
      <c r="AE121" s="22" t="s">
        <v>46</v>
      </c>
      <c r="AF121" s="22" t="s">
        <v>47</v>
      </c>
      <c r="AG121" s="21" t="s">
        <v>48</v>
      </c>
    </row>
    <row r="122" spans="1:33" ht="122.25" customHeight="1">
      <c r="A122" s="52">
        <v>221.34</v>
      </c>
      <c r="B122" s="53">
        <f>IF(ISNUMBER(A122),
IF(AND(A122=INT(A122), MOD(A122, 10) = 0), 0,
IF(AND(A122=INT(A122), LEN(A122)=2), 1,
IF(AND(A122=INT(A122), LEN(A122)=3), 2,
LEN(A122) - FIND(".", A122) + 2)
)
),
"")</f>
        <v>4</v>
      </c>
      <c r="C122" s="42" t="s">
        <v>282</v>
      </c>
      <c r="D122" s="19" t="str">
        <f t="shared" si="22"/>
        <v xml:space="preserve">                        Moderator (Booster)</v>
      </c>
      <c r="E122" s="19" t="s">
        <v>35</v>
      </c>
      <c r="F122" s="19" t="s">
        <v>283</v>
      </c>
      <c r="G122" s="19" t="s">
        <v>280</v>
      </c>
      <c r="H122" s="54"/>
      <c r="I122" s="54"/>
      <c r="K122" s="26">
        <v>1520</v>
      </c>
      <c r="L122" s="4" t="s">
        <v>196</v>
      </c>
      <c r="M122" s="32" t="s">
        <v>285</v>
      </c>
      <c r="O122" s="4" t="s">
        <v>198</v>
      </c>
      <c r="Q122" s="29">
        <v>2017</v>
      </c>
      <c r="R122" s="4" t="s">
        <v>229</v>
      </c>
      <c r="S122" s="32"/>
      <c r="T122" s="7" t="s">
        <v>281</v>
      </c>
      <c r="W122" s="21" t="s">
        <v>167</v>
      </c>
      <c r="Z122" s="21" t="s">
        <v>44</v>
      </c>
      <c r="AA122" s="22">
        <f t="shared" si="28"/>
        <v>1368</v>
      </c>
      <c r="AB122" s="22">
        <f t="shared" si="29"/>
        <v>1976</v>
      </c>
      <c r="AC122" s="21" t="s">
        <v>44</v>
      </c>
      <c r="AD122" s="22" t="s">
        <v>45</v>
      </c>
      <c r="AE122" s="22" t="s">
        <v>46</v>
      </c>
      <c r="AF122" s="22" t="s">
        <v>47</v>
      </c>
      <c r="AG122" s="21" t="s">
        <v>48</v>
      </c>
    </row>
    <row r="123" spans="1:33" ht="122.25" customHeight="1">
      <c r="A123" s="52">
        <v>221.34</v>
      </c>
      <c r="B123" s="53">
        <f>IF(ISNUMBER(A123),
IF(AND(A123=INT(A123), MOD(A123, 10) = 0), 0,
IF(AND(A123=INT(A123), LEN(A123)=2), 1,
IF(AND(A123=INT(A123), LEN(A123)=3), 2,
LEN(A123) - FIND(".", A123) + 2)
)
),
"")</f>
        <v>4</v>
      </c>
      <c r="C123" s="42" t="s">
        <v>282</v>
      </c>
      <c r="D123" s="19" t="str">
        <f t="shared" si="22"/>
        <v xml:space="preserve">                        Moderator (Booster)</v>
      </c>
      <c r="E123" s="19" t="s">
        <v>35</v>
      </c>
      <c r="F123" s="19" t="s">
        <v>283</v>
      </c>
      <c r="G123" s="19" t="s">
        <v>277</v>
      </c>
      <c r="H123" s="54"/>
      <c r="I123" s="54"/>
      <c r="K123" s="26">
        <v>1520</v>
      </c>
      <c r="L123" s="4" t="s">
        <v>196</v>
      </c>
      <c r="M123" s="32" t="s">
        <v>286</v>
      </c>
      <c r="O123" s="4" t="s">
        <v>198</v>
      </c>
      <c r="Q123" s="29">
        <v>2017</v>
      </c>
      <c r="R123" s="4" t="s">
        <v>229</v>
      </c>
      <c r="S123" s="32" t="s">
        <v>278</v>
      </c>
      <c r="T123" s="200" t="s">
        <v>279</v>
      </c>
      <c r="U123" s="197"/>
      <c r="V123" s="197"/>
      <c r="W123" s="21" t="s">
        <v>167</v>
      </c>
      <c r="Z123" s="21" t="s">
        <v>44</v>
      </c>
      <c r="AA123" s="22">
        <f t="shared" si="28"/>
        <v>1368</v>
      </c>
      <c r="AB123" s="22">
        <f t="shared" si="29"/>
        <v>1976</v>
      </c>
      <c r="AC123" s="21" t="s">
        <v>44</v>
      </c>
      <c r="AD123" s="22" t="s">
        <v>45</v>
      </c>
      <c r="AE123" s="22" t="s">
        <v>46</v>
      </c>
      <c r="AF123" s="22" t="s">
        <v>47</v>
      </c>
      <c r="AG123" s="21" t="s">
        <v>48</v>
      </c>
    </row>
    <row r="124" spans="1:33" ht="53.25" customHeight="1">
      <c r="A124" s="36">
        <v>222</v>
      </c>
      <c r="B124" s="18">
        <f>IF(ISNUMBER(A124),
IF(AND(A124=INT(A124), MOD(A124, 10) = 0), 0,
IF(AND(A124=INT(A124), LEN(A124)=2), 1,
IF(AND(A124=INT(A124), LEN(A124)=3), 2,
LEN(A124) - FIND(".", A124) + 2)
)
),
"")</f>
        <v>2</v>
      </c>
      <c r="C124" s="42" t="s">
        <v>287</v>
      </c>
      <c r="D124" s="19" t="str">
        <f t="shared" si="22"/>
        <v xml:space="preserve">            Main Heat Transport System</v>
      </c>
      <c r="E124" s="19"/>
      <c r="F124" s="19"/>
      <c r="G124" s="19"/>
      <c r="H124" s="19"/>
      <c r="I124" s="19"/>
      <c r="J124" s="25"/>
      <c r="K124" s="26"/>
      <c r="L124" s="4"/>
      <c r="M124" s="32"/>
      <c r="N124" s="4"/>
      <c r="O124" s="4"/>
      <c r="P124" s="4"/>
      <c r="Q124" s="29"/>
      <c r="R124" s="4"/>
      <c r="S124" s="32"/>
      <c r="T124" s="200"/>
      <c r="U124" s="197"/>
      <c r="V124" s="197"/>
      <c r="W124" s="21"/>
      <c r="X124" s="30"/>
      <c r="Y124" s="30"/>
      <c r="Z124" s="21"/>
      <c r="AA124" s="22"/>
      <c r="AB124" s="22"/>
      <c r="AC124" s="21"/>
      <c r="AD124" s="22"/>
      <c r="AE124" s="22"/>
      <c r="AF124" s="22"/>
      <c r="AG124" s="21"/>
    </row>
    <row r="125" spans="1:33" ht="26.25" customHeight="1">
      <c r="A125" s="36">
        <v>222.1</v>
      </c>
      <c r="B125" s="18">
        <f>IF(ISNUMBER(A125),
    IF(AND(A125=INT(A125), MOD(A125, 10) = 0), 0,
        IF(AND(A125=INT(A125), LEN(A125)=2), 1,
            IF(AND(A125=INT(A125), LEN(A125)=3), 2,
                LEN(A125) - FIND(".", A125) + 2)
        )
    ),
"")</f>
        <v>3</v>
      </c>
      <c r="C125" s="42" t="s">
        <v>288</v>
      </c>
      <c r="D125" s="19" t="str">
        <f t="shared" si="22"/>
        <v xml:space="preserve">                  Fluid Circulation Drive System</v>
      </c>
      <c r="E125" s="19"/>
      <c r="F125" s="19"/>
      <c r="G125" s="19"/>
      <c r="H125" s="19"/>
      <c r="I125" s="19"/>
      <c r="J125" s="25"/>
      <c r="K125" s="29"/>
      <c r="L125" s="4"/>
      <c r="M125" s="32"/>
      <c r="N125" s="4"/>
      <c r="O125" s="4"/>
      <c r="P125" s="4"/>
      <c r="Q125" s="29"/>
      <c r="R125" s="4"/>
      <c r="S125" s="32"/>
      <c r="T125" s="4"/>
      <c r="U125" s="4"/>
      <c r="V125" s="4"/>
      <c r="W125" s="21"/>
      <c r="X125" s="30"/>
      <c r="Y125" s="30"/>
      <c r="Z125" s="21"/>
      <c r="AA125" s="22"/>
      <c r="AB125" s="22"/>
      <c r="AC125" s="21"/>
      <c r="AD125" s="22"/>
      <c r="AE125" s="22"/>
      <c r="AF125" s="22"/>
      <c r="AG125" s="21"/>
    </row>
    <row r="126" spans="1:33" ht="108.75" customHeight="1">
      <c r="A126" s="24">
        <v>222.11</v>
      </c>
      <c r="B126" s="18">
        <f>IF(ISNUMBER(A126),
IF(AND(A126=INT(A126), MOD(A126, 10) = 0), 0,
IF(AND(A126=INT(A126), LEN(A126)=2), 1,
IF(AND(A126=INT(A126), LEN(A126)=3), 2,
LEN(A126) - FIND(".", A126) + 2)
)
),
"")</f>
        <v>4</v>
      </c>
      <c r="C126" s="42" t="s">
        <v>289</v>
      </c>
      <c r="D126" s="19" t="str">
        <f t="shared" si="22"/>
        <v xml:space="preserve">                        Primary Pump</v>
      </c>
      <c r="E126" s="19" t="s">
        <v>290</v>
      </c>
      <c r="F126" s="19" t="s">
        <v>289</v>
      </c>
      <c r="G126" s="19" t="s">
        <v>291</v>
      </c>
      <c r="H126" s="19"/>
      <c r="I126" s="19"/>
      <c r="J126" s="25"/>
      <c r="K126" s="26">
        <f>12.5*705.48</f>
        <v>8818.5</v>
      </c>
      <c r="L126" s="4" t="s">
        <v>292</v>
      </c>
      <c r="M126" s="32" t="s">
        <v>293</v>
      </c>
      <c r="N126" s="4"/>
      <c r="O126" s="4"/>
      <c r="P126" s="4">
        <v>0.71</v>
      </c>
      <c r="Q126" s="29">
        <v>2003</v>
      </c>
      <c r="R126" s="4" t="s">
        <v>96</v>
      </c>
      <c r="S126" s="32" t="s">
        <v>294</v>
      </c>
      <c r="T126" s="7" t="s">
        <v>295</v>
      </c>
      <c r="U126" s="55" t="s">
        <v>296</v>
      </c>
      <c r="V126" s="7"/>
      <c r="W126" s="21" t="s">
        <v>167</v>
      </c>
      <c r="X126" s="30">
        <f t="shared" ref="X126:X131" si="30">0.9*$J126</f>
        <v>0</v>
      </c>
      <c r="Y126" s="30">
        <f t="shared" ref="Y126:Y131" si="31">1.5*J126</f>
        <v>0</v>
      </c>
      <c r="Z126" s="21" t="s">
        <v>44</v>
      </c>
      <c r="AA126" s="22">
        <f t="shared" ref="AA126:AA131" si="32">0.9*K126</f>
        <v>7936.6500000000005</v>
      </c>
      <c r="AB126" s="22">
        <f t="shared" ref="AB126:AB131" si="33">1.3*K126</f>
        <v>11464.050000000001</v>
      </c>
      <c r="AC126" s="21" t="s">
        <v>44</v>
      </c>
      <c r="AD126" s="22" t="s">
        <v>45</v>
      </c>
      <c r="AE126" s="22" t="s">
        <v>46</v>
      </c>
      <c r="AF126" s="22" t="s">
        <v>47</v>
      </c>
      <c r="AG126" s="21" t="s">
        <v>48</v>
      </c>
    </row>
    <row r="127" spans="1:33" ht="51.75" customHeight="1">
      <c r="A127" s="24">
        <v>222.12</v>
      </c>
      <c r="B127" s="18">
        <f>IF(ISNUMBER(A127),
IF(AND(A127=INT(A127), MOD(A127, 10) = 0), 0,
IF(AND(A127=INT(A127), LEN(A127)=2), 1,
IF(AND(A127=INT(A127), LEN(A127)=3), 2,
LEN(A127) - FIND(".", A127) + 2)
)
),
"")</f>
        <v>4</v>
      </c>
      <c r="C127" s="42" t="s">
        <v>297</v>
      </c>
      <c r="D127" s="19" t="str">
        <f t="shared" si="22"/>
        <v xml:space="preserve">                        Secondary Pump</v>
      </c>
      <c r="E127" s="19" t="s">
        <v>290</v>
      </c>
      <c r="F127" s="19" t="s">
        <v>297</v>
      </c>
      <c r="G127" s="19" t="s">
        <v>291</v>
      </c>
      <c r="H127" s="19"/>
      <c r="I127" s="19"/>
      <c r="J127" s="25"/>
      <c r="K127" s="26">
        <v>705.48</v>
      </c>
      <c r="L127" s="4" t="s">
        <v>292</v>
      </c>
      <c r="M127" s="32" t="s">
        <v>298</v>
      </c>
      <c r="N127" s="4"/>
      <c r="O127" s="4"/>
      <c r="P127" s="4">
        <v>0.71</v>
      </c>
      <c r="Q127" s="29">
        <v>2003</v>
      </c>
      <c r="R127" s="4" t="s">
        <v>96</v>
      </c>
      <c r="S127" s="32" t="s">
        <v>299</v>
      </c>
      <c r="T127" s="51"/>
      <c r="U127" s="51"/>
      <c r="V127" s="51"/>
      <c r="W127" s="21" t="s">
        <v>167</v>
      </c>
      <c r="X127" s="30">
        <f t="shared" si="30"/>
        <v>0</v>
      </c>
      <c r="Y127" s="30">
        <f t="shared" si="31"/>
        <v>0</v>
      </c>
      <c r="Z127" s="21" t="s">
        <v>44</v>
      </c>
      <c r="AA127" s="22">
        <f t="shared" si="32"/>
        <v>634.93200000000002</v>
      </c>
      <c r="AB127" s="22">
        <f t="shared" si="33"/>
        <v>917.12400000000002</v>
      </c>
      <c r="AC127" s="21" t="s">
        <v>44</v>
      </c>
      <c r="AD127" s="22" t="s">
        <v>45</v>
      </c>
      <c r="AE127" s="22" t="s">
        <v>46</v>
      </c>
      <c r="AF127" s="22" t="s">
        <v>47</v>
      </c>
      <c r="AG127" s="21" t="s">
        <v>48</v>
      </c>
    </row>
    <row r="128" spans="1:33" ht="175.5" customHeight="1">
      <c r="A128" s="24">
        <v>222.13</v>
      </c>
      <c r="B128" s="18">
        <f>IF(ISNUMBER(A128),
IF(AND(A128=INT(A128), MOD(A128, 10) = 0), 0,
IF(AND(A128=INT(A128), LEN(A128)=2), 1,
IF(AND(A128=INT(A128), LEN(A128)=3), 2,
LEN(A128) - FIND(".", A128) + 2)
)
),
"")</f>
        <v>4</v>
      </c>
      <c r="C128" s="42" t="s">
        <v>300</v>
      </c>
      <c r="D128" s="19" t="str">
        <f t="shared" si="22"/>
        <v xml:space="preserve">                        Compressor</v>
      </c>
      <c r="E128" s="19" t="s">
        <v>290</v>
      </c>
      <c r="F128" s="19" t="s">
        <v>128</v>
      </c>
      <c r="G128" s="19" t="s">
        <v>129</v>
      </c>
      <c r="H128" s="19"/>
      <c r="I128" s="19"/>
      <c r="J128" s="25"/>
      <c r="K128" s="26">
        <v>7100000</v>
      </c>
      <c r="L128" s="4" t="s">
        <v>301</v>
      </c>
      <c r="M128" s="32"/>
      <c r="N128" s="4"/>
      <c r="O128" s="4"/>
      <c r="P128" s="4"/>
      <c r="Q128" s="29">
        <v>2020</v>
      </c>
      <c r="R128" s="4" t="s">
        <v>96</v>
      </c>
      <c r="S128" s="32" t="s">
        <v>302</v>
      </c>
      <c r="T128" s="7" t="s">
        <v>303</v>
      </c>
      <c r="U128" s="8"/>
      <c r="V128" s="7" t="s">
        <v>304</v>
      </c>
      <c r="W128" s="21" t="s">
        <v>167</v>
      </c>
      <c r="X128" s="30">
        <f t="shared" si="30"/>
        <v>0</v>
      </c>
      <c r="Y128" s="30">
        <f t="shared" si="31"/>
        <v>0</v>
      </c>
      <c r="Z128" s="21" t="s">
        <v>44</v>
      </c>
      <c r="AA128" s="22">
        <f t="shared" si="32"/>
        <v>6390000</v>
      </c>
      <c r="AB128" s="22">
        <f t="shared" si="33"/>
        <v>9230000</v>
      </c>
      <c r="AC128" s="21" t="s">
        <v>44</v>
      </c>
      <c r="AD128" s="22" t="s">
        <v>45</v>
      </c>
      <c r="AE128" s="22" t="s">
        <v>46</v>
      </c>
      <c r="AF128" s="22" t="s">
        <v>47</v>
      </c>
      <c r="AG128" s="21" t="s">
        <v>48</v>
      </c>
    </row>
    <row r="129" spans="1:33" ht="53.25" customHeight="1">
      <c r="A129" s="36">
        <v>222.2</v>
      </c>
      <c r="B129" s="18">
        <f>IF(ISNUMBER(A129),
IF(AND(A129=INT(A129), MOD(A129, 10) = 0), 0,
IF(AND(A129=INT(A129), LEN(A129)=2), 1,
IF(AND(A129=INT(A129), LEN(A129)=3), 2,
LEN(A129) - FIND(".", A129) + 2)
)
),
"")</f>
        <v>3</v>
      </c>
      <c r="C129" s="42" t="s">
        <v>305</v>
      </c>
      <c r="D129" s="19" t="str">
        <f t="shared" si="22"/>
        <v xml:space="preserve">                  Reactor Heat Transfer Piping System</v>
      </c>
      <c r="E129" s="19" t="s">
        <v>35</v>
      </c>
      <c r="F129" s="19" t="s">
        <v>128</v>
      </c>
      <c r="G129" s="19" t="s">
        <v>129</v>
      </c>
      <c r="H129" s="19"/>
      <c r="I129" s="19"/>
      <c r="J129" s="25"/>
      <c r="K129" s="26">
        <v>20000</v>
      </c>
      <c r="L129" s="4" t="s">
        <v>50</v>
      </c>
      <c r="M129" s="27" t="s">
        <v>51</v>
      </c>
      <c r="N129" s="4"/>
      <c r="O129" s="4"/>
      <c r="P129" s="4"/>
      <c r="Q129" s="29">
        <v>2017</v>
      </c>
      <c r="R129" s="4" t="s">
        <v>163</v>
      </c>
      <c r="S129" s="32" t="s">
        <v>306</v>
      </c>
      <c r="T129" s="32" t="s">
        <v>207</v>
      </c>
      <c r="U129" s="4"/>
      <c r="V129" s="4"/>
      <c r="W129" s="21" t="s">
        <v>167</v>
      </c>
      <c r="X129" s="30">
        <f t="shared" si="30"/>
        <v>0</v>
      </c>
      <c r="Y129" s="30">
        <f t="shared" si="31"/>
        <v>0</v>
      </c>
      <c r="Z129" s="21" t="s">
        <v>44</v>
      </c>
      <c r="AA129" s="22">
        <f t="shared" si="32"/>
        <v>18000</v>
      </c>
      <c r="AB129" s="22">
        <f t="shared" si="33"/>
        <v>26000</v>
      </c>
      <c r="AC129" s="21" t="s">
        <v>44</v>
      </c>
      <c r="AD129" s="22" t="s">
        <v>45</v>
      </c>
      <c r="AE129" s="22" t="s">
        <v>46</v>
      </c>
      <c r="AF129" s="22" t="s">
        <v>47</v>
      </c>
      <c r="AG129" s="21" t="s">
        <v>48</v>
      </c>
    </row>
    <row r="130" spans="1:33" ht="53.25" customHeight="1">
      <c r="A130" s="36">
        <v>222.2</v>
      </c>
      <c r="B130" s="18">
        <f>IF(ISNUMBER(A130),
    IF(AND(A130=INT(A130), MOD(A130, 10) = 0), 0,
        IF(AND(A130=INT(A130), LEN(A130)=2), 1,
            IF(AND(A130=INT(A130), LEN(A130)=3), 2,
                LEN(A130) - FIND(".", A130) + 2)
        )
    ),
"")</f>
        <v>3</v>
      </c>
      <c r="C130" s="42" t="s">
        <v>305</v>
      </c>
      <c r="D130" s="19" t="str">
        <f t="shared" si="22"/>
        <v xml:space="preserve">                  Reactor Heat Transfer Piping System</v>
      </c>
      <c r="E130" s="19" t="s">
        <v>35</v>
      </c>
      <c r="F130" s="19" t="s">
        <v>128</v>
      </c>
      <c r="G130" s="19" t="s">
        <v>307</v>
      </c>
      <c r="H130" s="19"/>
      <c r="I130" s="19"/>
      <c r="J130" s="25"/>
      <c r="K130" s="26">
        <v>20000</v>
      </c>
      <c r="L130" s="4" t="s">
        <v>50</v>
      </c>
      <c r="M130" s="27" t="s">
        <v>51</v>
      </c>
      <c r="N130" s="4"/>
      <c r="O130" s="4"/>
      <c r="P130" s="4"/>
      <c r="Q130" s="29">
        <v>2017</v>
      </c>
      <c r="R130" s="4" t="s">
        <v>163</v>
      </c>
      <c r="S130" s="32" t="s">
        <v>306</v>
      </c>
      <c r="T130" s="32" t="s">
        <v>207</v>
      </c>
      <c r="U130" s="4"/>
      <c r="V130" s="4"/>
      <c r="W130" s="21" t="s">
        <v>167</v>
      </c>
      <c r="X130" s="30">
        <f t="shared" si="30"/>
        <v>0</v>
      </c>
      <c r="Y130" s="30">
        <f t="shared" si="31"/>
        <v>0</v>
      </c>
      <c r="Z130" s="21" t="s">
        <v>44</v>
      </c>
      <c r="AA130" s="22">
        <f t="shared" si="32"/>
        <v>18000</v>
      </c>
      <c r="AB130" s="22">
        <f t="shared" si="33"/>
        <v>26000</v>
      </c>
      <c r="AC130" s="21" t="s">
        <v>44</v>
      </c>
      <c r="AD130" s="22" t="s">
        <v>45</v>
      </c>
      <c r="AE130" s="22" t="s">
        <v>46</v>
      </c>
      <c r="AF130" s="22" t="s">
        <v>47</v>
      </c>
      <c r="AG130" s="21" t="s">
        <v>48</v>
      </c>
    </row>
    <row r="131" spans="1:33" ht="53.25" customHeight="1">
      <c r="A131" s="36">
        <v>222.2</v>
      </c>
      <c r="B131" s="18">
        <f>IF(ISNUMBER(A131),
IF(AND(A131=INT(A131), MOD(A131, 10) = 0), 0,
IF(AND(A131=INT(A131), LEN(A131)=2), 1,
IF(AND(A131=INT(A131), LEN(A131)=3), 2,
LEN(A131) - FIND(".", A131) + 2)
)
),
"")</f>
        <v>3</v>
      </c>
      <c r="C131" s="42" t="s">
        <v>305</v>
      </c>
      <c r="D131" s="19" t="str">
        <f t="shared" si="22"/>
        <v xml:space="preserve">                  Reactor Heat Transfer Piping System</v>
      </c>
      <c r="E131" s="19" t="s">
        <v>35</v>
      </c>
      <c r="F131" s="19" t="s">
        <v>128</v>
      </c>
      <c r="G131" s="19" t="s">
        <v>308</v>
      </c>
      <c r="H131" s="19"/>
      <c r="I131" s="19"/>
      <c r="J131" s="25"/>
      <c r="K131" s="26">
        <v>10000</v>
      </c>
      <c r="L131" s="4" t="s">
        <v>309</v>
      </c>
      <c r="M131" s="27" t="s">
        <v>310</v>
      </c>
      <c r="N131" s="4">
        <v>1</v>
      </c>
      <c r="O131" s="4"/>
      <c r="P131" s="4">
        <v>0.7</v>
      </c>
      <c r="Q131" s="29">
        <v>2017</v>
      </c>
      <c r="R131" s="4" t="s">
        <v>163</v>
      </c>
      <c r="S131" s="32" t="s">
        <v>311</v>
      </c>
      <c r="T131" s="32"/>
      <c r="U131" s="4"/>
      <c r="V131" s="4"/>
      <c r="W131" s="21" t="s">
        <v>167</v>
      </c>
      <c r="X131" s="30">
        <f t="shared" si="30"/>
        <v>0</v>
      </c>
      <c r="Y131" s="30">
        <f t="shared" si="31"/>
        <v>0</v>
      </c>
      <c r="Z131" s="21" t="s">
        <v>44</v>
      </c>
      <c r="AA131" s="22">
        <f t="shared" si="32"/>
        <v>9000</v>
      </c>
      <c r="AB131" s="22">
        <f t="shared" si="33"/>
        <v>13000</v>
      </c>
      <c r="AC131" s="21" t="s">
        <v>44</v>
      </c>
      <c r="AD131" s="22" t="s">
        <v>45</v>
      </c>
      <c r="AE131" s="22" t="s">
        <v>46</v>
      </c>
      <c r="AF131" s="22" t="s">
        <v>47</v>
      </c>
      <c r="AG131" s="21" t="s">
        <v>48</v>
      </c>
    </row>
    <row r="132" spans="1:33" ht="26.25" customHeight="1">
      <c r="A132" s="36">
        <v>222.3</v>
      </c>
      <c r="B132" s="18">
        <f>IF(ISNUMBER(A132),
IF(AND(A132=INT(A132), MOD(A132, 10) = 0), 0,
IF(AND(A132=INT(A132), LEN(A132)=2), 1,
IF(AND(A132=INT(A132), LEN(A132)=3), 2,
LEN(A132) - FIND(".", A132) + 2)
)
),
"")</f>
        <v>3</v>
      </c>
      <c r="C132" s="42" t="s">
        <v>312</v>
      </c>
      <c r="D132" s="19" t="str">
        <f t="shared" si="22"/>
        <v xml:space="preserve">                  Heat Exchangers</v>
      </c>
      <c r="E132" s="19"/>
      <c r="F132" s="19"/>
      <c r="G132" s="19"/>
      <c r="H132" s="19"/>
      <c r="I132" s="19"/>
      <c r="J132" s="25"/>
      <c r="K132" s="26"/>
      <c r="L132" s="4"/>
      <c r="M132" s="32"/>
      <c r="N132" s="4"/>
      <c r="O132" s="4"/>
      <c r="P132" s="4"/>
      <c r="Q132" s="29"/>
      <c r="R132" s="4"/>
      <c r="S132" s="32"/>
      <c r="T132" s="4"/>
      <c r="U132" s="4"/>
      <c r="V132" s="4"/>
      <c r="W132" s="21"/>
      <c r="X132" s="30"/>
      <c r="Y132" s="30"/>
      <c r="Z132" s="21"/>
      <c r="AA132" s="22"/>
      <c r="AB132" s="22"/>
      <c r="AC132" s="21"/>
      <c r="AD132" s="22"/>
      <c r="AE132" s="22"/>
      <c r="AF132" s="22"/>
      <c r="AG132" s="21"/>
    </row>
    <row r="133" spans="1:33" ht="53.25" customHeight="1">
      <c r="A133" s="36">
        <v>222.31</v>
      </c>
      <c r="B133" s="18">
        <f>IF(ISNUMBER(A133),
    IF(AND(A133=INT(A133), MOD(A133, 10) = 0), 0,
        IF(AND(A133=INT(A133), LEN(A133)=2), 1,
            IF(AND(A133=INT(A133), LEN(A133)=3), 2,
                LEN(A133) - FIND(".", A133) + 2)
        )
    ),
"")</f>
        <v>4</v>
      </c>
      <c r="C133" s="42" t="s">
        <v>313</v>
      </c>
      <c r="D133" s="19" t="str">
        <f t="shared" si="22"/>
        <v xml:space="preserve">                        Primary Heat Exchanger</v>
      </c>
      <c r="E133" s="19" t="s">
        <v>35</v>
      </c>
      <c r="F133" s="19" t="s">
        <v>314</v>
      </c>
      <c r="G133" s="19" t="s">
        <v>315</v>
      </c>
      <c r="H133" s="19"/>
      <c r="I133" s="19"/>
      <c r="J133" s="25"/>
      <c r="K133" s="26">
        <v>50</v>
      </c>
      <c r="L133" s="4" t="s">
        <v>196</v>
      </c>
      <c r="M133" s="32" t="s">
        <v>316</v>
      </c>
      <c r="N133" s="4"/>
      <c r="O133" s="4" t="s">
        <v>198</v>
      </c>
      <c r="P133" s="4"/>
      <c r="Q133" s="29">
        <v>2004</v>
      </c>
      <c r="R133" s="4" t="s">
        <v>163</v>
      </c>
      <c r="S133" s="32" t="s">
        <v>317</v>
      </c>
      <c r="T133" s="7" t="s">
        <v>318</v>
      </c>
      <c r="U133" s="4"/>
      <c r="V133" s="4"/>
      <c r="W133" s="21" t="s">
        <v>167</v>
      </c>
      <c r="X133" s="30">
        <f>0.9*$J133</f>
        <v>0</v>
      </c>
      <c r="Y133" s="30">
        <f>1.5*J133</f>
        <v>0</v>
      </c>
      <c r="Z133" s="21" t="s">
        <v>44</v>
      </c>
      <c r="AA133" s="22">
        <f t="shared" ref="AA133:AA138" si="34">0.9*K133</f>
        <v>45</v>
      </c>
      <c r="AB133" s="22">
        <f t="shared" ref="AB133:AB138" si="35">1.3*K133</f>
        <v>65</v>
      </c>
      <c r="AC133" s="21" t="s">
        <v>44</v>
      </c>
      <c r="AD133" s="22" t="s">
        <v>45</v>
      </c>
      <c r="AE133" s="22" t="s">
        <v>46</v>
      </c>
      <c r="AF133" s="22" t="s">
        <v>47</v>
      </c>
      <c r="AG133" s="21" t="s">
        <v>48</v>
      </c>
    </row>
    <row r="134" spans="1:33" ht="53.25" customHeight="1">
      <c r="A134" s="36">
        <v>222.31</v>
      </c>
      <c r="B134" s="18">
        <f>IF(ISNUMBER(A134),
    IF(AND(A134=INT(A134), MOD(A134, 10) = 0), 0,
        IF(AND(A134=INT(A134), LEN(A134)=2), 1,
            IF(AND(A134=INT(A134), LEN(A134)=3), 2,
                LEN(A134) - FIND(".", A134) + 2)
        )
    ),
"")</f>
        <v>4</v>
      </c>
      <c r="C134" s="42" t="s">
        <v>313</v>
      </c>
      <c r="D134" s="19" t="str">
        <f t="shared" si="22"/>
        <v xml:space="preserve">                        Primary Heat Exchanger</v>
      </c>
      <c r="E134" s="19" t="s">
        <v>35</v>
      </c>
      <c r="F134" s="19" t="s">
        <v>314</v>
      </c>
      <c r="G134" s="19" t="s">
        <v>319</v>
      </c>
      <c r="H134" s="19"/>
      <c r="I134" s="19"/>
      <c r="J134" s="25"/>
      <c r="K134" s="26">
        <v>120</v>
      </c>
      <c r="L134" s="4" t="s">
        <v>196</v>
      </c>
      <c r="M134" s="32" t="s">
        <v>316</v>
      </c>
      <c r="N134" s="4"/>
      <c r="O134" s="4" t="s">
        <v>198</v>
      </c>
      <c r="P134" s="4"/>
      <c r="Q134" s="29">
        <v>2013</v>
      </c>
      <c r="R134" s="4" t="s">
        <v>163</v>
      </c>
      <c r="S134" s="32" t="s">
        <v>317</v>
      </c>
      <c r="T134" s="7" t="s">
        <v>320</v>
      </c>
      <c r="U134" s="4"/>
      <c r="V134" s="4"/>
      <c r="W134" s="21" t="s">
        <v>167</v>
      </c>
      <c r="X134" s="30">
        <f>0.9*$J134</f>
        <v>0</v>
      </c>
      <c r="Y134" s="30">
        <f>1.5*J134</f>
        <v>0</v>
      </c>
      <c r="Z134" s="21" t="s">
        <v>44</v>
      </c>
      <c r="AA134" s="22">
        <f t="shared" si="34"/>
        <v>108</v>
      </c>
      <c r="AB134" s="22">
        <f t="shared" si="35"/>
        <v>156</v>
      </c>
      <c r="AC134" s="21" t="s">
        <v>44</v>
      </c>
      <c r="AD134" s="22" t="s">
        <v>45</v>
      </c>
      <c r="AE134" s="22" t="s">
        <v>46</v>
      </c>
      <c r="AF134" s="22" t="s">
        <v>47</v>
      </c>
      <c r="AG134" s="21" t="s">
        <v>48</v>
      </c>
    </row>
    <row r="135" spans="1:33" ht="53.25" customHeight="1">
      <c r="A135" s="36">
        <v>222.32</v>
      </c>
      <c r="B135" s="18">
        <f>IF(ISNUMBER(A135),
    IF(AND(A135=INT(A135), MOD(A135, 10) = 0), 0,
        IF(AND(A135=INT(A135), LEN(A135)=2), 1,
            IF(AND(A135=INT(A135), LEN(A135)=3), 2,
                LEN(A135) - FIND(".", A135) + 2)
        )
    ),
"")</f>
        <v>4</v>
      </c>
      <c r="C135" s="42" t="s">
        <v>321</v>
      </c>
      <c r="D135" s="19" t="str">
        <f t="shared" si="22"/>
        <v xml:space="preserve">                        Secondary Heat Exchanger</v>
      </c>
      <c r="E135" s="19" t="s">
        <v>35</v>
      </c>
      <c r="F135" s="19" t="s">
        <v>314</v>
      </c>
      <c r="G135" s="19" t="s">
        <v>315</v>
      </c>
      <c r="H135" s="19"/>
      <c r="I135" s="19"/>
      <c r="J135" s="25"/>
      <c r="K135" s="26">
        <v>50</v>
      </c>
      <c r="L135" s="4" t="s">
        <v>196</v>
      </c>
      <c r="M135" s="32" t="s">
        <v>322</v>
      </c>
      <c r="N135" s="4"/>
      <c r="O135" s="4" t="s">
        <v>198</v>
      </c>
      <c r="P135" s="4"/>
      <c r="Q135" s="29">
        <v>2004</v>
      </c>
      <c r="R135" s="4" t="s">
        <v>163</v>
      </c>
      <c r="S135" s="32" t="s">
        <v>317</v>
      </c>
      <c r="T135" s="7" t="s">
        <v>318</v>
      </c>
      <c r="U135" s="4"/>
      <c r="V135" s="4"/>
      <c r="W135" s="21" t="s">
        <v>167</v>
      </c>
      <c r="X135" s="30">
        <f>0.9*$J135</f>
        <v>0</v>
      </c>
      <c r="Y135" s="30">
        <f>1.5*J135</f>
        <v>0</v>
      </c>
      <c r="Z135" s="21" t="s">
        <v>44</v>
      </c>
      <c r="AA135" s="22">
        <f t="shared" si="34"/>
        <v>45</v>
      </c>
      <c r="AB135" s="22">
        <f t="shared" si="35"/>
        <v>65</v>
      </c>
      <c r="AC135" s="21" t="s">
        <v>44</v>
      </c>
      <c r="AD135" s="22" t="s">
        <v>45</v>
      </c>
      <c r="AE135" s="22" t="s">
        <v>46</v>
      </c>
      <c r="AF135" s="22" t="s">
        <v>47</v>
      </c>
      <c r="AG135" s="21" t="s">
        <v>48</v>
      </c>
    </row>
    <row r="136" spans="1:33" ht="53.25" customHeight="1">
      <c r="A136" s="36">
        <v>222.32</v>
      </c>
      <c r="B136" s="18">
        <f>IF(ISNUMBER(A136),
    IF(AND(A136=INT(A136), MOD(A136, 10) = 0), 0,
        IF(AND(A136=INT(A136), LEN(A136)=2), 1,
            IF(AND(A136=INT(A136), LEN(A136)=3), 2,
                LEN(A136) - FIND(".", A136) + 2)
        )
    ),
"")</f>
        <v>4</v>
      </c>
      <c r="C136" s="42" t="s">
        <v>321</v>
      </c>
      <c r="D136" s="19" t="str">
        <f t="shared" ref="D136:D167" si="36">REPT("   ", B136*2) &amp; C136</f>
        <v xml:space="preserve">                        Secondary Heat Exchanger</v>
      </c>
      <c r="E136" s="19" t="s">
        <v>35</v>
      </c>
      <c r="F136" s="19" t="s">
        <v>314</v>
      </c>
      <c r="G136" s="19" t="s">
        <v>319</v>
      </c>
      <c r="H136" s="19"/>
      <c r="I136" s="19"/>
      <c r="J136" s="25"/>
      <c r="K136" s="26">
        <v>120</v>
      </c>
      <c r="L136" s="4" t="s">
        <v>196</v>
      </c>
      <c r="M136" s="32" t="s">
        <v>322</v>
      </c>
      <c r="N136" s="4"/>
      <c r="O136" s="4" t="s">
        <v>198</v>
      </c>
      <c r="P136" s="4"/>
      <c r="Q136" s="29">
        <v>2013</v>
      </c>
      <c r="R136" s="4" t="s">
        <v>163</v>
      </c>
      <c r="S136" s="32" t="s">
        <v>317</v>
      </c>
      <c r="T136" s="7" t="s">
        <v>320</v>
      </c>
      <c r="U136" s="4"/>
      <c r="V136" s="4"/>
      <c r="W136" s="21" t="s">
        <v>167</v>
      </c>
      <c r="X136" s="30">
        <f>0.9*$J136</f>
        <v>0</v>
      </c>
      <c r="Y136" s="30">
        <f>1.5*J136</f>
        <v>0</v>
      </c>
      <c r="Z136" s="21" t="s">
        <v>44</v>
      </c>
      <c r="AA136" s="22">
        <f t="shared" si="34"/>
        <v>108</v>
      </c>
      <c r="AB136" s="22">
        <f t="shared" si="35"/>
        <v>156</v>
      </c>
      <c r="AC136" s="21" t="s">
        <v>44</v>
      </c>
      <c r="AD136" s="22" t="s">
        <v>45</v>
      </c>
      <c r="AE136" s="22" t="s">
        <v>46</v>
      </c>
      <c r="AF136" s="22" t="s">
        <v>47</v>
      </c>
      <c r="AG136" s="21" t="s">
        <v>48</v>
      </c>
    </row>
    <row r="137" spans="1:33" ht="53.25" customHeight="1">
      <c r="A137" s="36">
        <v>222.5</v>
      </c>
      <c r="B137" s="18">
        <f>IF(ISNUMBER(A137),
IF(AND(A137=INT(A137), MOD(A137, 10) = 0), 0,
IF(AND(A137=INT(A137), LEN(A137)=2), 1,
IF(AND(A137=INT(A137), LEN(A137)=3), 2,
LEN(A137) - FIND(".", A137) + 2)
)
),
"")</f>
        <v>3</v>
      </c>
      <c r="C137" s="42" t="s">
        <v>323</v>
      </c>
      <c r="D137" s="19" t="str">
        <f t="shared" si="36"/>
        <v xml:space="preserve">                  Initial Coolant Inventory</v>
      </c>
      <c r="E137" s="19" t="s">
        <v>35</v>
      </c>
      <c r="F137" s="19" t="s">
        <v>324</v>
      </c>
      <c r="G137" s="19" t="s">
        <v>325</v>
      </c>
      <c r="H137" s="19"/>
      <c r="I137" s="19"/>
      <c r="J137" s="25"/>
      <c r="K137" s="26">
        <v>170</v>
      </c>
      <c r="L137" s="4" t="s">
        <v>196</v>
      </c>
      <c r="M137" s="32" t="s">
        <v>326</v>
      </c>
      <c r="N137" s="4"/>
      <c r="O137" s="4" t="s">
        <v>198</v>
      </c>
      <c r="P137" s="4"/>
      <c r="Q137" s="29">
        <v>2024</v>
      </c>
      <c r="R137" s="4" t="s">
        <v>229</v>
      </c>
      <c r="S137" s="32" t="s">
        <v>327</v>
      </c>
      <c r="T137" s="7" t="s">
        <v>327</v>
      </c>
      <c r="U137" s="56" t="s">
        <v>328</v>
      </c>
      <c r="V137" s="198" t="s">
        <v>329</v>
      </c>
      <c r="W137" s="21" t="s">
        <v>43</v>
      </c>
      <c r="X137" s="30">
        <f>0.9*$J137</f>
        <v>0</v>
      </c>
      <c r="Y137" s="30">
        <f>1.5*J137</f>
        <v>0</v>
      </c>
      <c r="Z137" s="21" t="s">
        <v>44</v>
      </c>
      <c r="AA137" s="22">
        <f t="shared" si="34"/>
        <v>153</v>
      </c>
      <c r="AB137" s="22">
        <f t="shared" si="35"/>
        <v>221</v>
      </c>
      <c r="AC137" s="21" t="s">
        <v>44</v>
      </c>
      <c r="AD137" s="22" t="s">
        <v>45</v>
      </c>
      <c r="AE137" s="22" t="s">
        <v>46</v>
      </c>
      <c r="AF137" s="22" t="s">
        <v>47</v>
      </c>
      <c r="AG137" s="21" t="s">
        <v>48</v>
      </c>
    </row>
    <row r="138" spans="1:33" ht="53.25" customHeight="1">
      <c r="A138" s="36">
        <v>222.5</v>
      </c>
      <c r="B138" s="18">
        <f>IF(ISNUMBER(A138),
    IF(AND(A138=INT(A138), MOD(A138, 10) = 0), 0,
        IF(AND(A138=INT(A138), LEN(A138)=2), 1,
            IF(AND(A138=INT(A138), LEN(A138)=3), 2,
                LEN(A138) - FIND(".", A138) + 2)
        )
    ),
"")</f>
        <v>3</v>
      </c>
      <c r="C138" s="42" t="s">
        <v>323</v>
      </c>
      <c r="D138" s="19" t="str">
        <f t="shared" si="36"/>
        <v xml:space="preserve">                  Initial Coolant Inventory</v>
      </c>
      <c r="E138" s="19" t="s">
        <v>35</v>
      </c>
      <c r="F138" s="19" t="s">
        <v>324</v>
      </c>
      <c r="G138" s="19" t="s">
        <v>330</v>
      </c>
      <c r="H138" s="19"/>
      <c r="I138" s="19"/>
      <c r="J138" s="25"/>
      <c r="K138" s="26">
        <v>118</v>
      </c>
      <c r="L138" s="4" t="s">
        <v>196</v>
      </c>
      <c r="M138" s="32" t="s">
        <v>326</v>
      </c>
      <c r="N138" s="4"/>
      <c r="O138" s="4" t="s">
        <v>198</v>
      </c>
      <c r="P138" s="4"/>
      <c r="Q138" s="29">
        <v>2023</v>
      </c>
      <c r="R138" s="4" t="s">
        <v>229</v>
      </c>
      <c r="S138" s="32"/>
      <c r="T138" s="7"/>
      <c r="U138" s="56"/>
      <c r="V138" s="198"/>
      <c r="W138" s="21" t="s">
        <v>43</v>
      </c>
      <c r="X138" s="30"/>
      <c r="Y138" s="30"/>
      <c r="Z138" s="21"/>
      <c r="AA138" s="22">
        <f t="shared" si="34"/>
        <v>106.2</v>
      </c>
      <c r="AB138" s="22">
        <f t="shared" si="35"/>
        <v>153.4</v>
      </c>
      <c r="AC138" s="21" t="s">
        <v>44</v>
      </c>
      <c r="AD138" s="22" t="s">
        <v>45</v>
      </c>
      <c r="AE138" s="22" t="s">
        <v>46</v>
      </c>
      <c r="AF138" s="22">
        <v>0</v>
      </c>
      <c r="AG138" s="21" t="s">
        <v>48</v>
      </c>
    </row>
    <row r="139" spans="1:33" ht="53.25" customHeight="1">
      <c r="A139" s="36">
        <v>222.6</v>
      </c>
      <c r="B139" s="18">
        <f t="shared" ref="B139:B146" si="37">IF(ISNUMBER(A139),
IF(AND(A139=INT(A139), MOD(A139, 10) = 0), 0,
IF(AND(A139=INT(A139), LEN(A139)=2), 1,
IF(AND(A139=INT(A139), LEN(A139)=3), 2,
LEN(A139) - FIND(".", A139) + 2)
)
),
"")</f>
        <v>3</v>
      </c>
      <c r="C139" s="42" t="s">
        <v>331</v>
      </c>
      <c r="D139" s="19" t="str">
        <f t="shared" si="36"/>
        <v xml:space="preserve">                  Integrated Heat Transfer Vessel</v>
      </c>
      <c r="E139" s="19"/>
      <c r="F139" s="19" t="s">
        <v>128</v>
      </c>
      <c r="G139" s="19" t="s">
        <v>129</v>
      </c>
      <c r="H139" s="19"/>
      <c r="I139" s="19"/>
      <c r="J139" s="25"/>
      <c r="K139" s="26"/>
      <c r="L139" s="4"/>
      <c r="M139" s="32"/>
      <c r="N139" s="4"/>
      <c r="O139" s="4"/>
      <c r="P139" s="4"/>
      <c r="Q139" s="29"/>
      <c r="R139" s="4"/>
      <c r="S139" s="32"/>
      <c r="T139" s="7"/>
      <c r="U139" s="56"/>
      <c r="V139" s="4"/>
      <c r="W139" s="21"/>
      <c r="X139" s="30"/>
      <c r="Y139" s="30"/>
      <c r="Z139" s="21"/>
      <c r="AA139" s="22"/>
      <c r="AB139" s="22"/>
      <c r="AC139" s="21"/>
      <c r="AD139" s="22"/>
      <c r="AE139" s="22"/>
      <c r="AF139" s="22"/>
      <c r="AG139" s="21"/>
    </row>
    <row r="140" spans="1:33" ht="53.25" customHeight="1">
      <c r="A140" s="36">
        <v>222.61</v>
      </c>
      <c r="B140" s="18">
        <f t="shared" si="37"/>
        <v>4</v>
      </c>
      <c r="C140" s="42" t="s">
        <v>331</v>
      </c>
      <c r="D140" s="19" t="str">
        <f t="shared" si="36"/>
        <v xml:space="preserve">                        Integrated Heat Transfer Vessel</v>
      </c>
      <c r="E140" s="19" t="s">
        <v>35</v>
      </c>
      <c r="F140" s="19" t="s">
        <v>128</v>
      </c>
      <c r="G140" s="19" t="s">
        <v>129</v>
      </c>
      <c r="H140" s="19"/>
      <c r="I140" s="19"/>
      <c r="J140" s="25"/>
      <c r="K140" s="189">
        <v>1768.36</v>
      </c>
      <c r="L140" s="4" t="s">
        <v>196</v>
      </c>
      <c r="M140" s="32" t="s">
        <v>332</v>
      </c>
      <c r="N140" s="191">
        <f>1000*'Design Variables'!B49</f>
        <v>860</v>
      </c>
      <c r="O140" s="4" t="s">
        <v>198</v>
      </c>
      <c r="P140" s="4"/>
      <c r="Q140" s="190">
        <v>2017</v>
      </c>
      <c r="R140" s="191" t="s">
        <v>96</v>
      </c>
      <c r="S140" s="192" t="s">
        <v>206</v>
      </c>
      <c r="T140" s="32"/>
      <c r="U140" s="56"/>
      <c r="V140" s="7" t="s">
        <v>333</v>
      </c>
      <c r="W140" s="21" t="s">
        <v>167</v>
      </c>
      <c r="X140" s="30">
        <f>0.9*$J140</f>
        <v>0</v>
      </c>
      <c r="Y140" s="30">
        <f>1.5*J140</f>
        <v>0</v>
      </c>
      <c r="Z140" s="21" t="s">
        <v>44</v>
      </c>
      <c r="AA140" s="22">
        <f>0.9*K140</f>
        <v>1591.5239999999999</v>
      </c>
      <c r="AB140" s="22">
        <f>1.3*K140</f>
        <v>2298.8679999999999</v>
      </c>
      <c r="AC140" s="21" t="s">
        <v>44</v>
      </c>
      <c r="AD140" s="22" t="s">
        <v>45</v>
      </c>
      <c r="AE140" s="22" t="s">
        <v>46</v>
      </c>
      <c r="AF140" s="22" t="s">
        <v>47</v>
      </c>
      <c r="AG140" s="21" t="s">
        <v>48</v>
      </c>
    </row>
    <row r="141" spans="1:33" ht="53.25" customHeight="1">
      <c r="A141" s="36">
        <v>222.62</v>
      </c>
      <c r="B141" s="18">
        <f t="shared" si="37"/>
        <v>4</v>
      </c>
      <c r="C141" s="42" t="s">
        <v>334</v>
      </c>
      <c r="D141" s="19" t="str">
        <f t="shared" si="36"/>
        <v xml:space="preserve">                        Integrated Heat Transfer System Support</v>
      </c>
      <c r="E141" s="19" t="s">
        <v>35</v>
      </c>
      <c r="F141" s="19" t="s">
        <v>128</v>
      </c>
      <c r="G141" s="19" t="s">
        <v>129</v>
      </c>
      <c r="H141" s="19"/>
      <c r="I141" s="19"/>
      <c r="J141" s="25"/>
      <c r="K141" s="189">
        <v>311.56</v>
      </c>
      <c r="L141" s="4" t="s">
        <v>196</v>
      </c>
      <c r="M141" s="32" t="s">
        <v>332</v>
      </c>
      <c r="N141" s="191">
        <f>1000*('Design Variables'!B52+'Design Variables'!B49)</f>
        <v>2447</v>
      </c>
      <c r="O141" s="4" t="s">
        <v>198</v>
      </c>
      <c r="P141" s="4">
        <v>0.85</v>
      </c>
      <c r="Q141" s="190">
        <v>2018</v>
      </c>
      <c r="R141" s="191" t="s">
        <v>96</v>
      </c>
      <c r="S141" s="192" t="s">
        <v>199</v>
      </c>
      <c r="T141" s="7"/>
      <c r="U141" s="56"/>
      <c r="V141" s="51"/>
      <c r="W141" s="21" t="s">
        <v>167</v>
      </c>
      <c r="X141" s="30">
        <f>0.9*$J141</f>
        <v>0</v>
      </c>
      <c r="Y141" s="30">
        <f>1.5*J141</f>
        <v>0</v>
      </c>
      <c r="Z141" s="21" t="s">
        <v>44</v>
      </c>
      <c r="AA141" s="22">
        <f>0.9*K141</f>
        <v>280.404</v>
      </c>
      <c r="AB141" s="22">
        <f>1.3*K141</f>
        <v>405.02800000000002</v>
      </c>
      <c r="AC141" s="21" t="s">
        <v>44</v>
      </c>
      <c r="AD141" s="22" t="s">
        <v>45</v>
      </c>
      <c r="AE141" s="22" t="s">
        <v>46</v>
      </c>
      <c r="AF141" s="22" t="s">
        <v>47</v>
      </c>
      <c r="AG141" s="21" t="s">
        <v>48</v>
      </c>
    </row>
    <row r="142" spans="1:33" ht="26.25" customHeight="1">
      <c r="A142" s="36">
        <v>223</v>
      </c>
      <c r="B142" s="18">
        <f t="shared" si="37"/>
        <v>2</v>
      </c>
      <c r="C142" s="42" t="s">
        <v>335</v>
      </c>
      <c r="D142" s="19" t="str">
        <f t="shared" si="36"/>
        <v xml:space="preserve">            Safety Systems</v>
      </c>
      <c r="E142" s="19"/>
      <c r="F142" s="19"/>
      <c r="G142" s="19"/>
      <c r="H142" s="19"/>
      <c r="I142" s="19"/>
      <c r="J142" s="25"/>
      <c r="K142" s="26"/>
      <c r="L142" s="4"/>
      <c r="M142" s="32"/>
      <c r="N142" s="4"/>
      <c r="O142" s="4"/>
      <c r="P142" s="4"/>
      <c r="Q142" s="29"/>
      <c r="R142" s="4"/>
      <c r="S142" s="32"/>
      <c r="T142" s="4"/>
      <c r="U142" s="4"/>
      <c r="V142" s="4"/>
      <c r="W142" s="21"/>
      <c r="X142" s="30"/>
      <c r="Y142" s="30"/>
      <c r="Z142" s="21"/>
      <c r="AA142" s="22"/>
      <c r="AB142" s="22"/>
      <c r="AC142" s="21"/>
      <c r="AD142" s="22"/>
      <c r="AE142" s="22"/>
      <c r="AF142" s="22"/>
      <c r="AG142" s="21"/>
    </row>
    <row r="143" spans="1:33" ht="26.25" customHeight="1">
      <c r="A143" s="36">
        <v>223.2</v>
      </c>
      <c r="B143" s="18">
        <f t="shared" si="37"/>
        <v>3</v>
      </c>
      <c r="C143" s="42" t="s">
        <v>336</v>
      </c>
      <c r="D143" s="19" t="str">
        <f t="shared" si="36"/>
        <v xml:space="preserve">                  Reactor Cavity Cooling System (Rvacs)</v>
      </c>
      <c r="E143" s="19"/>
      <c r="F143" s="19"/>
      <c r="G143" s="19"/>
      <c r="H143" s="19"/>
      <c r="I143" s="19"/>
      <c r="J143" s="25"/>
      <c r="K143" s="26"/>
      <c r="L143" s="4"/>
      <c r="M143" s="32"/>
      <c r="N143" s="4"/>
      <c r="O143" s="4"/>
      <c r="P143" s="4"/>
      <c r="Q143" s="29"/>
      <c r="R143" s="4"/>
      <c r="S143" s="32"/>
      <c r="T143" s="4"/>
      <c r="U143" s="4"/>
      <c r="V143" s="4"/>
      <c r="W143" s="21"/>
      <c r="X143" s="30"/>
      <c r="Y143" s="30"/>
      <c r="Z143" s="21"/>
      <c r="AA143" s="22"/>
      <c r="AB143" s="22"/>
      <c r="AC143" s="21"/>
      <c r="AD143" s="22"/>
      <c r="AE143" s="22"/>
      <c r="AF143" s="22"/>
      <c r="AG143" s="21"/>
    </row>
    <row r="144" spans="1:33" ht="53.25" customHeight="1">
      <c r="A144" s="36">
        <v>223.21</v>
      </c>
      <c r="B144" s="18">
        <f t="shared" si="37"/>
        <v>4</v>
      </c>
      <c r="C144" s="42" t="s">
        <v>337</v>
      </c>
      <c r="D144" s="19" t="str">
        <f t="shared" si="36"/>
        <v xml:space="preserve">                        Rvacs (Cooling Vessel)</v>
      </c>
      <c r="E144" s="19" t="s">
        <v>35</v>
      </c>
      <c r="F144" s="19"/>
      <c r="G144" s="27"/>
      <c r="H144" s="27"/>
      <c r="I144" s="27"/>
      <c r="J144" s="29"/>
      <c r="K144" s="26">
        <f>K85</f>
        <v>757.20768746061754</v>
      </c>
      <c r="L144" s="4" t="s">
        <v>196</v>
      </c>
      <c r="M144" s="32" t="s">
        <v>338</v>
      </c>
      <c r="N144" s="4"/>
      <c r="O144" s="4"/>
      <c r="P144" s="4"/>
      <c r="Q144" s="29">
        <v>2017</v>
      </c>
      <c r="R144" s="4" t="s">
        <v>96</v>
      </c>
      <c r="S144" s="32" t="s">
        <v>206</v>
      </c>
      <c r="T144" s="7" t="s">
        <v>207</v>
      </c>
      <c r="U144" s="4"/>
      <c r="V144" s="4"/>
      <c r="W144" s="21" t="s">
        <v>167</v>
      </c>
      <c r="X144" s="30">
        <f t="shared" ref="X144:X149" si="38">0.9*$J144</f>
        <v>0</v>
      </c>
      <c r="Y144" s="30">
        <f t="shared" ref="Y144:Y149" si="39">1.5*J144</f>
        <v>0</v>
      </c>
      <c r="Z144" s="21" t="s">
        <v>44</v>
      </c>
      <c r="AA144" s="22">
        <f t="shared" ref="AA144:AA149" si="40">0.9*K144</f>
        <v>681.48691871455583</v>
      </c>
      <c r="AB144" s="22">
        <f t="shared" ref="AB144:AB149" si="41">1.3*K144</f>
        <v>984.36999369880277</v>
      </c>
      <c r="AC144" s="21" t="s">
        <v>44</v>
      </c>
      <c r="AD144" s="22" t="s">
        <v>45</v>
      </c>
      <c r="AE144" s="22" t="s">
        <v>46</v>
      </c>
      <c r="AF144" s="22" t="s">
        <v>47</v>
      </c>
      <c r="AG144" s="21" t="s">
        <v>48</v>
      </c>
    </row>
    <row r="145" spans="1:33" ht="53.25" customHeight="1">
      <c r="A145" s="36">
        <v>223.22</v>
      </c>
      <c r="B145" s="18">
        <f t="shared" si="37"/>
        <v>4</v>
      </c>
      <c r="C145" s="42" t="s">
        <v>339</v>
      </c>
      <c r="D145" s="19" t="str">
        <f t="shared" si="36"/>
        <v xml:space="preserve">                        Rvacs (Intake Vessel)</v>
      </c>
      <c r="E145" s="19" t="s">
        <v>35</v>
      </c>
      <c r="F145" s="19"/>
      <c r="G145" s="27"/>
      <c r="H145" s="27"/>
      <c r="I145" s="27"/>
      <c r="J145" s="29"/>
      <c r="K145" s="26">
        <f>K144</f>
        <v>757.20768746061754</v>
      </c>
      <c r="L145" s="4" t="s">
        <v>196</v>
      </c>
      <c r="M145" s="32" t="s">
        <v>340</v>
      </c>
      <c r="N145" s="4"/>
      <c r="O145" s="4"/>
      <c r="P145" s="4"/>
      <c r="Q145" s="29">
        <v>2017</v>
      </c>
      <c r="R145" s="4" t="s">
        <v>96</v>
      </c>
      <c r="S145" s="32" t="s">
        <v>206</v>
      </c>
      <c r="T145" s="7" t="s">
        <v>207</v>
      </c>
      <c r="U145" s="4"/>
      <c r="V145" s="4"/>
      <c r="W145" s="21" t="s">
        <v>167</v>
      </c>
      <c r="X145" s="30">
        <f t="shared" si="38"/>
        <v>0</v>
      </c>
      <c r="Y145" s="30">
        <f t="shared" si="39"/>
        <v>0</v>
      </c>
      <c r="Z145" s="21" t="s">
        <v>44</v>
      </c>
      <c r="AA145" s="22">
        <f t="shared" si="40"/>
        <v>681.48691871455583</v>
      </c>
      <c r="AB145" s="22">
        <f t="shared" si="41"/>
        <v>984.36999369880277</v>
      </c>
      <c r="AC145" s="21" t="s">
        <v>44</v>
      </c>
      <c r="AD145" s="22" t="s">
        <v>45</v>
      </c>
      <c r="AE145" s="22" t="s">
        <v>46</v>
      </c>
      <c r="AF145" s="22" t="s">
        <v>47</v>
      </c>
      <c r="AG145" s="21" t="s">
        <v>48</v>
      </c>
    </row>
    <row r="146" spans="1:33" ht="53.25" customHeight="1">
      <c r="A146" s="36">
        <v>226</v>
      </c>
      <c r="B146" s="18">
        <f t="shared" si="37"/>
        <v>2</v>
      </c>
      <c r="C146" s="42" t="s">
        <v>341</v>
      </c>
      <c r="D146" s="19" t="str">
        <f t="shared" si="36"/>
        <v xml:space="preserve">            Other Reactor Plant Equipment</v>
      </c>
      <c r="E146" s="19" t="s">
        <v>35</v>
      </c>
      <c r="F146" s="19" t="s">
        <v>128</v>
      </c>
      <c r="G146" s="27" t="s">
        <v>307</v>
      </c>
      <c r="H146" s="27"/>
      <c r="I146" s="27"/>
      <c r="J146" s="26">
        <f>MARVEL_Cost!C42</f>
        <v>456297</v>
      </c>
      <c r="K146" s="26"/>
      <c r="L146" s="4"/>
      <c r="M146" s="32"/>
      <c r="N146" s="4"/>
      <c r="O146" s="4"/>
      <c r="P146" s="4"/>
      <c r="Q146" s="29">
        <v>2024</v>
      </c>
      <c r="R146" s="4" t="s">
        <v>163</v>
      </c>
      <c r="S146" s="32" t="s">
        <v>342</v>
      </c>
      <c r="T146" s="4"/>
      <c r="U146" s="4"/>
      <c r="V146" s="4"/>
      <c r="W146" s="21" t="s">
        <v>167</v>
      </c>
      <c r="X146" s="30">
        <f t="shared" si="38"/>
        <v>410667.3</v>
      </c>
      <c r="Y146" s="30">
        <f t="shared" si="39"/>
        <v>684445.5</v>
      </c>
      <c r="Z146" s="21" t="s">
        <v>44</v>
      </c>
      <c r="AA146" s="22">
        <f t="shared" si="40"/>
        <v>0</v>
      </c>
      <c r="AB146" s="22">
        <f t="shared" si="41"/>
        <v>0</v>
      </c>
      <c r="AC146" s="21" t="s">
        <v>44</v>
      </c>
      <c r="AD146" s="22" t="s">
        <v>45</v>
      </c>
      <c r="AE146" s="22" t="s">
        <v>46</v>
      </c>
      <c r="AF146" s="22" t="s">
        <v>47</v>
      </c>
      <c r="AG146" s="21" t="s">
        <v>48</v>
      </c>
    </row>
    <row r="147" spans="1:33" ht="53.25" customHeight="1">
      <c r="A147" s="36">
        <v>226</v>
      </c>
      <c r="B147" s="18">
        <v>2</v>
      </c>
      <c r="C147" s="42" t="s">
        <v>341</v>
      </c>
      <c r="D147" s="19" t="str">
        <f t="shared" si="36"/>
        <v xml:space="preserve">            Other Reactor Plant Equipment</v>
      </c>
      <c r="E147" s="19" t="s">
        <v>35</v>
      </c>
      <c r="F147" s="19" t="s">
        <v>128</v>
      </c>
      <c r="G147" s="27" t="s">
        <v>129</v>
      </c>
      <c r="H147" s="27"/>
      <c r="I147" s="27"/>
      <c r="J147" s="26"/>
      <c r="K147" s="26">
        <f>8844770/N147*8.15527886031535</f>
        <v>118207.77405377067</v>
      </c>
      <c r="L147" s="4" t="s">
        <v>301</v>
      </c>
      <c r="M147" s="32" t="s">
        <v>343</v>
      </c>
      <c r="N147" s="4">
        <v>610.21</v>
      </c>
      <c r="O147" s="4" t="s">
        <v>344</v>
      </c>
      <c r="P147" s="4">
        <v>0.6</v>
      </c>
      <c r="Q147" s="29">
        <v>2023</v>
      </c>
      <c r="R147" s="4" t="s">
        <v>96</v>
      </c>
      <c r="S147" s="32" t="s">
        <v>345</v>
      </c>
      <c r="T147" s="4" t="s">
        <v>346</v>
      </c>
      <c r="U147" s="57" t="s">
        <v>347</v>
      </c>
      <c r="V147" s="4" t="s">
        <v>348</v>
      </c>
      <c r="W147" s="21" t="s">
        <v>167</v>
      </c>
      <c r="X147" s="30">
        <f t="shared" si="38"/>
        <v>0</v>
      </c>
      <c r="Y147" s="30">
        <f t="shared" si="39"/>
        <v>0</v>
      </c>
      <c r="Z147" s="21" t="s">
        <v>44</v>
      </c>
      <c r="AA147" s="22">
        <f t="shared" si="40"/>
        <v>106386.9966483936</v>
      </c>
      <c r="AB147" s="22">
        <f t="shared" si="41"/>
        <v>153670.10626990188</v>
      </c>
      <c r="AC147" s="21" t="s">
        <v>44</v>
      </c>
      <c r="AD147" s="22" t="s">
        <v>45</v>
      </c>
      <c r="AE147" s="22" t="s">
        <v>46</v>
      </c>
      <c r="AF147" s="22" t="s">
        <v>47</v>
      </c>
      <c r="AG147" s="21" t="s">
        <v>48</v>
      </c>
    </row>
    <row r="148" spans="1:33" ht="75.75" customHeight="1">
      <c r="A148" s="36">
        <v>227</v>
      </c>
      <c r="B148" s="18">
        <f>IF(ISNUMBER(A148),
    IF(AND(A148=INT(A148), MOD(A148, 10) = 0), 0,
        IF(AND(A148=INT(A148), LEN(A148)=2), 1,
            IF(AND(A148=INT(A148), LEN(A148)=3), 2,
                LEN(A148) - FIND(".", A148) + 2)
        )
    ),
"")</f>
        <v>2</v>
      </c>
      <c r="C148" s="42" t="s">
        <v>349</v>
      </c>
      <c r="D148" s="19" t="str">
        <f t="shared" si="36"/>
        <v xml:space="preserve">            Reactor Instrumentation and Control (I&amp;C)</v>
      </c>
      <c r="E148" s="19" t="s">
        <v>35</v>
      </c>
      <c r="F148" s="19"/>
      <c r="G148" s="27"/>
      <c r="H148" s="27"/>
      <c r="I148" s="27"/>
      <c r="J148" s="26">
        <v>8500000</v>
      </c>
      <c r="K148" s="26"/>
      <c r="L148" s="4"/>
      <c r="M148" s="32"/>
      <c r="N148" s="4"/>
      <c r="O148" s="4"/>
      <c r="P148" s="4"/>
      <c r="Q148" s="29">
        <v>2023</v>
      </c>
      <c r="R148" s="4" t="s">
        <v>73</v>
      </c>
      <c r="S148" s="32" t="s">
        <v>350</v>
      </c>
      <c r="T148" s="32" t="s">
        <v>351</v>
      </c>
      <c r="U148" s="57" t="s">
        <v>352</v>
      </c>
      <c r="V148" s="4" t="s">
        <v>353</v>
      </c>
      <c r="W148" s="11" t="s">
        <v>354</v>
      </c>
      <c r="X148" s="30">
        <f t="shared" si="38"/>
        <v>7650000</v>
      </c>
      <c r="Y148" s="30">
        <f t="shared" si="39"/>
        <v>12750000</v>
      </c>
      <c r="Z148" s="21" t="s">
        <v>44</v>
      </c>
      <c r="AA148" s="22">
        <f t="shared" si="40"/>
        <v>0</v>
      </c>
      <c r="AB148" s="22">
        <f t="shared" si="41"/>
        <v>0</v>
      </c>
      <c r="AC148" s="21" t="s">
        <v>44</v>
      </c>
      <c r="AD148" s="22" t="s">
        <v>45</v>
      </c>
      <c r="AE148" s="22" t="s">
        <v>46</v>
      </c>
      <c r="AF148" s="22" t="s">
        <v>47</v>
      </c>
      <c r="AG148" s="21" t="s">
        <v>48</v>
      </c>
    </row>
    <row r="149" spans="1:33" ht="26.25" customHeight="1">
      <c r="A149" s="36">
        <v>228</v>
      </c>
      <c r="B149" s="18">
        <f t="shared" ref="B149:B165" si="42">IF(ISNUMBER(A149),
IF(AND(A149=INT(A149), MOD(A149, 10) = 0), 0,
IF(AND(A149=INT(A149), LEN(A149)=2), 1,
IF(AND(A149=INT(A149), LEN(A149)=3), 2,
LEN(A149) - FIND(".", A149) + 2)
)
),
"")</f>
        <v>2</v>
      </c>
      <c r="C149" s="42" t="s">
        <v>355</v>
      </c>
      <c r="D149" s="19" t="str">
        <f t="shared" si="36"/>
        <v xml:space="preserve">            Reactor Plant Miscellaneous Items</v>
      </c>
      <c r="E149" s="19" t="s">
        <v>35</v>
      </c>
      <c r="F149" s="19"/>
      <c r="G149" s="27"/>
      <c r="H149" s="27"/>
      <c r="I149" s="27"/>
      <c r="J149" s="26">
        <f>MARVEL_Cost!C44</f>
        <v>30960</v>
      </c>
      <c r="K149" s="26"/>
      <c r="L149" s="4"/>
      <c r="M149" s="32"/>
      <c r="N149" s="4"/>
      <c r="O149" s="4"/>
      <c r="P149" s="4"/>
      <c r="Q149" s="29">
        <v>2024</v>
      </c>
      <c r="R149" s="4" t="s">
        <v>96</v>
      </c>
      <c r="S149" s="32" t="s">
        <v>342</v>
      </c>
      <c r="T149" s="4"/>
      <c r="U149" s="4"/>
      <c r="V149" s="4"/>
      <c r="W149" s="21" t="s">
        <v>167</v>
      </c>
      <c r="X149" s="30">
        <f t="shared" si="38"/>
        <v>27864</v>
      </c>
      <c r="Y149" s="30">
        <f t="shared" si="39"/>
        <v>46440</v>
      </c>
      <c r="Z149" s="21" t="s">
        <v>44</v>
      </c>
      <c r="AA149" s="22">
        <f t="shared" si="40"/>
        <v>0</v>
      </c>
      <c r="AB149" s="22">
        <f t="shared" si="41"/>
        <v>0</v>
      </c>
      <c r="AC149" s="21" t="s">
        <v>44</v>
      </c>
      <c r="AD149" s="22" t="s">
        <v>45</v>
      </c>
      <c r="AE149" s="22" t="s">
        <v>46</v>
      </c>
      <c r="AF149" s="22" t="s">
        <v>47</v>
      </c>
      <c r="AG149" s="21" t="s">
        <v>48</v>
      </c>
    </row>
    <row r="150" spans="1:33" ht="26.25" customHeight="1">
      <c r="A150" s="15">
        <v>23</v>
      </c>
      <c r="B150" s="18">
        <f t="shared" si="42"/>
        <v>1</v>
      </c>
      <c r="C150" s="42" t="s">
        <v>356</v>
      </c>
      <c r="D150" s="19" t="str">
        <f t="shared" si="36"/>
        <v xml:space="preserve">      Energy Conversion System </v>
      </c>
      <c r="E150" s="19"/>
      <c r="F150" s="19"/>
      <c r="G150" s="27"/>
      <c r="H150" s="27"/>
      <c r="I150" s="27"/>
      <c r="J150" s="29"/>
      <c r="K150" s="26"/>
      <c r="L150" s="4"/>
      <c r="M150" s="32"/>
      <c r="N150" s="4"/>
      <c r="O150" s="4"/>
      <c r="P150" s="4"/>
      <c r="Q150" s="29"/>
      <c r="R150" s="4"/>
      <c r="S150" s="32"/>
      <c r="T150" s="4"/>
      <c r="U150" s="4"/>
      <c r="V150" s="4"/>
      <c r="W150" s="21"/>
      <c r="X150" s="30"/>
      <c r="Y150" s="30"/>
      <c r="Z150" s="21"/>
      <c r="AA150" s="22"/>
      <c r="AB150" s="22"/>
      <c r="AC150" s="21"/>
      <c r="AD150" s="22"/>
      <c r="AE150" s="22"/>
      <c r="AF150" s="22"/>
      <c r="AG150" s="21"/>
    </row>
    <row r="151" spans="1:33" ht="26.25" customHeight="1">
      <c r="A151" s="36">
        <v>232</v>
      </c>
      <c r="B151" s="18">
        <f t="shared" si="42"/>
        <v>2</v>
      </c>
      <c r="C151" s="42" t="s">
        <v>357</v>
      </c>
      <c r="D151" s="19" t="str">
        <f t="shared" si="36"/>
        <v xml:space="preserve">            Energy Applications</v>
      </c>
      <c r="E151" s="19"/>
      <c r="F151" s="19"/>
      <c r="G151" s="27"/>
      <c r="H151" s="27"/>
      <c r="I151" s="27"/>
      <c r="J151" s="29"/>
      <c r="K151" s="26"/>
      <c r="L151" s="4"/>
      <c r="M151" s="32"/>
      <c r="N151" s="4"/>
      <c r="O151" s="4"/>
      <c r="P151" s="4"/>
      <c r="Q151" s="29"/>
      <c r="R151" s="4"/>
      <c r="S151" s="32"/>
      <c r="T151" s="4"/>
      <c r="U151" s="4"/>
      <c r="V151" s="4"/>
      <c r="W151" s="21"/>
      <c r="X151" s="30"/>
      <c r="Y151" s="30"/>
      <c r="Z151" s="21"/>
      <c r="AA151" s="22"/>
      <c r="AB151" s="22"/>
      <c r="AC151" s="21"/>
      <c r="AD151" s="22"/>
      <c r="AE151" s="22"/>
      <c r="AF151" s="22"/>
      <c r="AG151" s="21"/>
    </row>
    <row r="152" spans="1:33" ht="26.25" customHeight="1">
      <c r="A152" s="36">
        <v>232.1</v>
      </c>
      <c r="B152" s="18">
        <f t="shared" si="42"/>
        <v>3</v>
      </c>
      <c r="C152" s="42" t="s">
        <v>358</v>
      </c>
      <c r="D152" s="19" t="str">
        <f t="shared" si="36"/>
        <v xml:space="preserve">                  Electricity Generation Systems</v>
      </c>
      <c r="E152" s="19" t="s">
        <v>35</v>
      </c>
      <c r="F152" s="19"/>
      <c r="G152" s="27"/>
      <c r="H152" s="27"/>
      <c r="I152" s="27"/>
      <c r="J152" s="29"/>
      <c r="K152" s="25">
        <v>12504</v>
      </c>
      <c r="L152" s="4" t="s">
        <v>359</v>
      </c>
      <c r="M152" s="27" t="s">
        <v>360</v>
      </c>
      <c r="N152" s="4">
        <v>1</v>
      </c>
      <c r="O152" s="4"/>
      <c r="P152" s="27">
        <v>0.77700000000000002</v>
      </c>
      <c r="Q152" s="29">
        <v>2023</v>
      </c>
      <c r="R152" s="4" t="s">
        <v>96</v>
      </c>
      <c r="S152" s="194" t="s">
        <v>361</v>
      </c>
      <c r="T152" s="194" t="s">
        <v>361</v>
      </c>
      <c r="U152" s="57" t="s">
        <v>362</v>
      </c>
      <c r="V152" s="4"/>
      <c r="W152" s="21" t="s">
        <v>354</v>
      </c>
      <c r="X152" s="30">
        <f>0.9*$J152</f>
        <v>0</v>
      </c>
      <c r="Y152" s="30">
        <f>1.5*J152</f>
        <v>0</v>
      </c>
      <c r="Z152" s="21" t="s">
        <v>44</v>
      </c>
      <c r="AA152" s="22">
        <f>0.9*K152</f>
        <v>11253.6</v>
      </c>
      <c r="AB152" s="22">
        <f>1.3*K152</f>
        <v>16255.2</v>
      </c>
      <c r="AC152" s="21" t="s">
        <v>44</v>
      </c>
      <c r="AD152" s="22" t="s">
        <v>45</v>
      </c>
      <c r="AE152" s="22" t="s">
        <v>46</v>
      </c>
      <c r="AF152" s="22" t="s">
        <v>47</v>
      </c>
      <c r="AG152" s="21" t="s">
        <v>48</v>
      </c>
    </row>
    <row r="153" spans="1:33" ht="75.75" customHeight="1">
      <c r="A153" s="36">
        <v>236</v>
      </c>
      <c r="B153" s="18">
        <f t="shared" si="42"/>
        <v>2</v>
      </c>
      <c r="C153" s="42" t="s">
        <v>363</v>
      </c>
      <c r="D153" s="19" t="str">
        <f t="shared" si="36"/>
        <v xml:space="preserve">            Common Instrumentation &amp; Controls</v>
      </c>
      <c r="E153" s="19" t="s">
        <v>35</v>
      </c>
      <c r="F153" s="19"/>
      <c r="G153" s="27"/>
      <c r="H153" s="27"/>
      <c r="I153" s="27"/>
      <c r="J153" s="25">
        <v>1000000</v>
      </c>
      <c r="K153" s="25"/>
      <c r="L153" s="4"/>
      <c r="M153" s="27"/>
      <c r="N153" s="4"/>
      <c r="O153" s="4"/>
      <c r="P153" s="27"/>
      <c r="Q153" s="29">
        <v>2023</v>
      </c>
      <c r="R153" s="4" t="s">
        <v>96</v>
      </c>
      <c r="S153" s="194"/>
      <c r="T153" s="194"/>
      <c r="U153" s="57" t="s">
        <v>352</v>
      </c>
      <c r="V153" s="4"/>
      <c r="W153" s="21" t="s">
        <v>354</v>
      </c>
      <c r="X153" s="30">
        <f>0.9*$J153</f>
        <v>900000</v>
      </c>
      <c r="Y153" s="30">
        <f>1.5*J153</f>
        <v>1500000</v>
      </c>
      <c r="Z153" s="21" t="s">
        <v>44</v>
      </c>
      <c r="AA153" s="22"/>
      <c r="AB153" s="22"/>
      <c r="AC153" s="21"/>
      <c r="AD153" s="22"/>
      <c r="AE153" s="22"/>
      <c r="AF153" s="22"/>
      <c r="AG153" s="21"/>
    </row>
    <row r="154" spans="1:33" ht="26.25" customHeight="1">
      <c r="A154" s="15">
        <v>24</v>
      </c>
      <c r="B154" s="18">
        <f t="shared" si="42"/>
        <v>1</v>
      </c>
      <c r="C154" s="42" t="s">
        <v>364</v>
      </c>
      <c r="D154" s="19" t="str">
        <f t="shared" si="36"/>
        <v xml:space="preserve">      Electrical Equipment</v>
      </c>
      <c r="E154" s="19"/>
      <c r="F154" s="19"/>
      <c r="G154" s="27"/>
      <c r="H154" s="27"/>
      <c r="I154" s="27"/>
      <c r="J154" s="29"/>
      <c r="K154" s="26"/>
      <c r="L154" s="4"/>
      <c r="M154" s="32"/>
      <c r="N154" s="4"/>
      <c r="O154" s="4"/>
      <c r="P154" s="4"/>
      <c r="Q154" s="29"/>
      <c r="R154" s="4"/>
      <c r="S154" s="194"/>
      <c r="T154" s="194"/>
      <c r="U154" s="4"/>
      <c r="V154" s="4"/>
      <c r="W154" s="21"/>
      <c r="X154" s="30"/>
      <c r="Y154" s="30"/>
      <c r="Z154" s="21"/>
      <c r="AA154" s="22"/>
      <c r="AB154" s="22"/>
      <c r="AC154" s="21"/>
      <c r="AD154" s="22"/>
      <c r="AE154" s="22"/>
      <c r="AF154" s="22"/>
      <c r="AG154" s="21"/>
    </row>
    <row r="155" spans="1:33" ht="26.25" customHeight="1">
      <c r="A155" s="15">
        <v>241</v>
      </c>
      <c r="B155" s="18">
        <f t="shared" si="42"/>
        <v>2</v>
      </c>
      <c r="C155" s="32" t="s">
        <v>365</v>
      </c>
      <c r="D155" s="19" t="str">
        <f t="shared" si="36"/>
        <v xml:space="preserve">            Switchgear</v>
      </c>
      <c r="E155" s="19" t="s">
        <v>35</v>
      </c>
      <c r="F155" s="19"/>
      <c r="G155" s="27"/>
      <c r="H155" s="27"/>
      <c r="I155" s="27"/>
      <c r="J155" s="29"/>
      <c r="K155" s="26">
        <f>14424707.2061682/N155</f>
        <v>12609.009795601574</v>
      </c>
      <c r="L155" s="4" t="s">
        <v>50</v>
      </c>
      <c r="M155" s="27" t="s">
        <v>51</v>
      </c>
      <c r="N155" s="4">
        <v>1144</v>
      </c>
      <c r="O155" s="4" t="s">
        <v>52</v>
      </c>
      <c r="P155" s="27">
        <v>0.6</v>
      </c>
      <c r="Q155" s="29">
        <v>2018</v>
      </c>
      <c r="R155" s="4" t="s">
        <v>96</v>
      </c>
      <c r="S155" s="194"/>
      <c r="T155" s="194"/>
      <c r="U155" s="4"/>
      <c r="V155" s="4"/>
      <c r="W155" s="21" t="s">
        <v>354</v>
      </c>
      <c r="X155" s="30">
        <f t="shared" ref="X155:X160" si="43">0.9*$J155</f>
        <v>0</v>
      </c>
      <c r="Y155" s="30">
        <f t="shared" ref="Y155:Y160" si="44">1.5*J155</f>
        <v>0</v>
      </c>
      <c r="Z155" s="21"/>
      <c r="AA155" s="22">
        <f t="shared" ref="AA155:AA160" si="45">0.9*K155</f>
        <v>11348.108816041417</v>
      </c>
      <c r="AB155" s="22">
        <f t="shared" ref="AB155:AB160" si="46">1.3*K155</f>
        <v>16391.712734282046</v>
      </c>
      <c r="AC155" s="21" t="s">
        <v>44</v>
      </c>
      <c r="AD155" s="22">
        <v>0.1</v>
      </c>
      <c r="AE155" s="22">
        <v>1</v>
      </c>
      <c r="AF155" s="22">
        <v>0</v>
      </c>
      <c r="AG155" s="21" t="s">
        <v>48</v>
      </c>
    </row>
    <row r="156" spans="1:33" ht="26.25" customHeight="1">
      <c r="A156" s="15">
        <v>242</v>
      </c>
      <c r="B156" s="18">
        <f t="shared" si="42"/>
        <v>2</v>
      </c>
      <c r="C156" s="32" t="s">
        <v>366</v>
      </c>
      <c r="D156" s="19" t="str">
        <f t="shared" si="36"/>
        <v xml:space="preserve">            Station Service Equipment</v>
      </c>
      <c r="E156" s="19" t="s">
        <v>35</v>
      </c>
      <c r="F156" s="19"/>
      <c r="G156" s="27"/>
      <c r="H156" s="27"/>
      <c r="I156" s="27"/>
      <c r="J156" s="29"/>
      <c r="K156" s="26">
        <f>11992641.3775456/N155</f>
        <v>10483.078127225175</v>
      </c>
      <c r="L156" s="4" t="s">
        <v>50</v>
      </c>
      <c r="M156" s="27" t="s">
        <v>51</v>
      </c>
      <c r="N156" s="4">
        <v>1144</v>
      </c>
      <c r="O156" s="4" t="s">
        <v>52</v>
      </c>
      <c r="P156" s="27">
        <v>0.6</v>
      </c>
      <c r="Q156" s="29">
        <v>2018</v>
      </c>
      <c r="R156" s="4" t="s">
        <v>96</v>
      </c>
      <c r="S156" s="194"/>
      <c r="T156" s="194"/>
      <c r="U156" s="4"/>
      <c r="V156" s="4"/>
      <c r="W156" s="21" t="s">
        <v>354</v>
      </c>
      <c r="X156" s="30">
        <f t="shared" si="43"/>
        <v>0</v>
      </c>
      <c r="Y156" s="30">
        <f t="shared" si="44"/>
        <v>0</v>
      </c>
      <c r="Z156" s="21"/>
      <c r="AA156" s="22">
        <f t="shared" si="45"/>
        <v>9434.7703145026571</v>
      </c>
      <c r="AB156" s="22">
        <f t="shared" si="46"/>
        <v>13628.001565392728</v>
      </c>
      <c r="AC156" s="21" t="s">
        <v>44</v>
      </c>
      <c r="AD156" s="22">
        <v>0.1</v>
      </c>
      <c r="AE156" s="22">
        <v>1</v>
      </c>
      <c r="AF156" s="22">
        <v>0</v>
      </c>
      <c r="AG156" s="21" t="s">
        <v>48</v>
      </c>
    </row>
    <row r="157" spans="1:33" ht="26.25" customHeight="1">
      <c r="A157" s="15">
        <v>243</v>
      </c>
      <c r="B157" s="18">
        <f t="shared" si="42"/>
        <v>2</v>
      </c>
      <c r="C157" s="32" t="s">
        <v>367</v>
      </c>
      <c r="D157" s="19" t="str">
        <f t="shared" si="36"/>
        <v xml:space="preserve">            Switchboards</v>
      </c>
      <c r="E157" s="19" t="s">
        <v>35</v>
      </c>
      <c r="F157" s="19"/>
      <c r="G157" s="27"/>
      <c r="H157" s="27"/>
      <c r="I157" s="27"/>
      <c r="J157" s="29"/>
      <c r="K157" s="26">
        <f>3894246.37400843/N155</f>
        <v>3404.0615157416346</v>
      </c>
      <c r="L157" s="4" t="s">
        <v>50</v>
      </c>
      <c r="M157" s="27" t="s">
        <v>51</v>
      </c>
      <c r="N157" s="4">
        <v>1144</v>
      </c>
      <c r="O157" s="4" t="s">
        <v>52</v>
      </c>
      <c r="P157" s="27">
        <v>0.6</v>
      </c>
      <c r="Q157" s="29">
        <v>2018</v>
      </c>
      <c r="R157" s="4" t="s">
        <v>96</v>
      </c>
      <c r="S157" s="194"/>
      <c r="T157" s="194"/>
      <c r="U157" s="4"/>
      <c r="V157" s="4"/>
      <c r="W157" s="21" t="s">
        <v>354</v>
      </c>
      <c r="X157" s="30">
        <f t="shared" si="43"/>
        <v>0</v>
      </c>
      <c r="Y157" s="30">
        <f t="shared" si="44"/>
        <v>0</v>
      </c>
      <c r="Z157" s="21"/>
      <c r="AA157" s="22">
        <f t="shared" si="45"/>
        <v>3063.6553641674714</v>
      </c>
      <c r="AB157" s="22">
        <f t="shared" si="46"/>
        <v>4425.2799704641247</v>
      </c>
      <c r="AC157" s="21" t="s">
        <v>44</v>
      </c>
      <c r="AD157" s="22">
        <v>0.1</v>
      </c>
      <c r="AE157" s="22">
        <v>1</v>
      </c>
      <c r="AF157" s="22">
        <v>0</v>
      </c>
      <c r="AG157" s="21" t="s">
        <v>48</v>
      </c>
    </row>
    <row r="158" spans="1:33" ht="26.25" customHeight="1">
      <c r="A158" s="15">
        <v>244</v>
      </c>
      <c r="B158" s="18">
        <f t="shared" si="42"/>
        <v>2</v>
      </c>
      <c r="C158" s="32" t="s">
        <v>368</v>
      </c>
      <c r="D158" s="19" t="str">
        <f t="shared" si="36"/>
        <v xml:space="preserve">            Protective Equipment</v>
      </c>
      <c r="E158" s="19" t="s">
        <v>35</v>
      </c>
      <c r="F158" s="19"/>
      <c r="G158" s="27"/>
      <c r="H158" s="27"/>
      <c r="I158" s="27"/>
      <c r="J158" s="29"/>
      <c r="K158" s="26">
        <f>11183911.9256997/N155</f>
        <v>9776.1467881990375</v>
      </c>
      <c r="L158" s="4" t="s">
        <v>50</v>
      </c>
      <c r="M158" s="27" t="s">
        <v>51</v>
      </c>
      <c r="N158" s="4">
        <v>1144</v>
      </c>
      <c r="O158" s="4" t="s">
        <v>52</v>
      </c>
      <c r="P158" s="27">
        <v>0.6</v>
      </c>
      <c r="Q158" s="29">
        <v>2018</v>
      </c>
      <c r="R158" s="4" t="s">
        <v>96</v>
      </c>
      <c r="S158" s="5"/>
      <c r="T158" s="5"/>
      <c r="U158" s="4"/>
      <c r="V158" s="4"/>
      <c r="W158" s="21" t="s">
        <v>354</v>
      </c>
      <c r="X158" s="30">
        <f t="shared" si="43"/>
        <v>0</v>
      </c>
      <c r="Y158" s="30">
        <f t="shared" si="44"/>
        <v>0</v>
      </c>
      <c r="Z158" s="21"/>
      <c r="AA158" s="22">
        <f t="shared" si="45"/>
        <v>8798.5321093791335</v>
      </c>
      <c r="AB158" s="22">
        <f t="shared" si="46"/>
        <v>12708.990824658749</v>
      </c>
      <c r="AC158" s="21" t="s">
        <v>44</v>
      </c>
      <c r="AD158" s="22">
        <v>0.1</v>
      </c>
      <c r="AE158" s="22">
        <v>1</v>
      </c>
      <c r="AF158" s="22">
        <v>0</v>
      </c>
      <c r="AG158" s="21" t="s">
        <v>48</v>
      </c>
    </row>
    <row r="159" spans="1:33" ht="26.25" customHeight="1">
      <c r="A159" s="15">
        <v>245</v>
      </c>
      <c r="B159" s="18">
        <f t="shared" si="42"/>
        <v>2</v>
      </c>
      <c r="C159" s="32" t="s">
        <v>369</v>
      </c>
      <c r="D159" s="19" t="str">
        <f t="shared" si="36"/>
        <v xml:space="preserve">            Electrical Structure &amp; Wiring Container</v>
      </c>
      <c r="E159" s="19" t="s">
        <v>35</v>
      </c>
      <c r="F159" s="19"/>
      <c r="G159" s="27"/>
      <c r="H159" s="27"/>
      <c r="I159" s="27"/>
      <c r="J159" s="29"/>
      <c r="K159" s="26">
        <f>60312483.673456/N155</f>
        <v>52720.70251176224</v>
      </c>
      <c r="L159" s="4" t="s">
        <v>50</v>
      </c>
      <c r="M159" s="27" t="s">
        <v>51</v>
      </c>
      <c r="N159" s="4">
        <v>1144</v>
      </c>
      <c r="O159" s="4" t="s">
        <v>52</v>
      </c>
      <c r="P159" s="27">
        <v>0.6</v>
      </c>
      <c r="Q159" s="29">
        <v>2018</v>
      </c>
      <c r="R159" s="4" t="s">
        <v>96</v>
      </c>
      <c r="S159" s="199"/>
      <c r="T159" s="199"/>
      <c r="U159" s="4"/>
      <c r="V159" s="4"/>
      <c r="W159" s="21" t="s">
        <v>354</v>
      </c>
      <c r="X159" s="30">
        <f t="shared" si="43"/>
        <v>0</v>
      </c>
      <c r="Y159" s="30">
        <f t="shared" si="44"/>
        <v>0</v>
      </c>
      <c r="Z159" s="21"/>
      <c r="AA159" s="22">
        <f t="shared" si="45"/>
        <v>47448.632260586019</v>
      </c>
      <c r="AB159" s="22">
        <f t="shared" si="46"/>
        <v>68536.913265290917</v>
      </c>
      <c r="AC159" s="21" t="s">
        <v>44</v>
      </c>
      <c r="AD159" s="22">
        <v>0.1</v>
      </c>
      <c r="AE159" s="22">
        <v>1</v>
      </c>
      <c r="AF159" s="22">
        <v>0</v>
      </c>
      <c r="AG159" s="21" t="s">
        <v>48</v>
      </c>
    </row>
    <row r="160" spans="1:33" ht="26.25" customHeight="1">
      <c r="A160" s="15">
        <v>246</v>
      </c>
      <c r="B160" s="18">
        <f t="shared" si="42"/>
        <v>2</v>
      </c>
      <c r="C160" s="32" t="s">
        <v>370</v>
      </c>
      <c r="D160" s="19" t="str">
        <f t="shared" si="36"/>
        <v xml:space="preserve">            Power &amp; Control Wiring</v>
      </c>
      <c r="E160" s="19" t="s">
        <v>35</v>
      </c>
      <c r="F160" s="19"/>
      <c r="G160" s="27"/>
      <c r="H160" s="27"/>
      <c r="I160" s="27"/>
      <c r="J160" s="29"/>
      <c r="K160" s="26">
        <f>45613077.4753702/N155</f>
        <v>39871.571219729194</v>
      </c>
      <c r="L160" s="4" t="s">
        <v>50</v>
      </c>
      <c r="M160" s="27" t="s">
        <v>51</v>
      </c>
      <c r="N160" s="4">
        <v>1144</v>
      </c>
      <c r="O160" s="4" t="s">
        <v>52</v>
      </c>
      <c r="P160" s="27">
        <v>0.6</v>
      </c>
      <c r="Q160" s="29">
        <v>2018</v>
      </c>
      <c r="R160" s="4" t="s">
        <v>96</v>
      </c>
      <c r="S160" s="199"/>
      <c r="T160" s="199"/>
      <c r="U160" s="4"/>
      <c r="V160" s="4"/>
      <c r="W160" s="21" t="s">
        <v>354</v>
      </c>
      <c r="X160" s="30">
        <f t="shared" si="43"/>
        <v>0</v>
      </c>
      <c r="Y160" s="30">
        <f t="shared" si="44"/>
        <v>0</v>
      </c>
      <c r="Z160" s="21"/>
      <c r="AA160" s="22">
        <f t="shared" si="45"/>
        <v>35884.414097756278</v>
      </c>
      <c r="AB160" s="22">
        <f t="shared" si="46"/>
        <v>51833.042585647956</v>
      </c>
      <c r="AC160" s="21" t="s">
        <v>44</v>
      </c>
      <c r="AD160" s="22">
        <v>0.1</v>
      </c>
      <c r="AE160" s="22">
        <v>1</v>
      </c>
      <c r="AF160" s="22">
        <v>0</v>
      </c>
      <c r="AG160" s="21" t="s">
        <v>48</v>
      </c>
    </row>
    <row r="161" spans="1:33" ht="26.25" customHeight="1">
      <c r="A161" s="15">
        <v>25</v>
      </c>
      <c r="B161" s="18">
        <f t="shared" si="42"/>
        <v>1</v>
      </c>
      <c r="C161" s="42" t="s">
        <v>371</v>
      </c>
      <c r="D161" s="19" t="str">
        <f t="shared" si="36"/>
        <v xml:space="preserve">      Initial Fuel Inventory</v>
      </c>
      <c r="E161" s="19"/>
      <c r="F161" s="19"/>
      <c r="G161" s="27"/>
      <c r="H161" s="27"/>
      <c r="I161" s="27"/>
      <c r="J161" s="29"/>
      <c r="K161" s="26"/>
      <c r="L161" s="4"/>
      <c r="M161" s="32"/>
      <c r="N161" s="4"/>
      <c r="O161" s="4"/>
      <c r="P161" s="4"/>
      <c r="Q161" s="29"/>
      <c r="R161" s="4"/>
      <c r="S161" s="199"/>
      <c r="T161" s="199"/>
      <c r="U161" s="4"/>
      <c r="V161" s="4"/>
      <c r="W161" s="21"/>
      <c r="X161" s="30"/>
      <c r="Y161" s="30"/>
      <c r="Z161" s="21"/>
      <c r="AA161" s="22"/>
      <c r="AB161" s="22"/>
      <c r="AC161" s="21"/>
      <c r="AD161" s="22"/>
      <c r="AE161" s="22"/>
      <c r="AF161" s="22"/>
      <c r="AG161" s="21"/>
    </row>
    <row r="162" spans="1:33" ht="28.5" customHeight="1">
      <c r="A162" s="36">
        <v>251</v>
      </c>
      <c r="B162" s="18">
        <f t="shared" si="42"/>
        <v>2</v>
      </c>
      <c r="C162" s="42" t="s">
        <v>372</v>
      </c>
      <c r="D162" s="19" t="str">
        <f t="shared" si="36"/>
        <v xml:space="preserve">            First Core Mining</v>
      </c>
      <c r="E162" s="19" t="s">
        <v>35</v>
      </c>
      <c r="F162" s="19"/>
      <c r="G162" s="27"/>
      <c r="H162" s="27"/>
      <c r="I162" s="27"/>
      <c r="J162" s="29"/>
      <c r="K162" s="29">
        <v>184</v>
      </c>
      <c r="L162" s="4" t="s">
        <v>196</v>
      </c>
      <c r="M162" s="27" t="s">
        <v>373</v>
      </c>
      <c r="N162" s="4"/>
      <c r="O162" s="4"/>
      <c r="P162" s="4"/>
      <c r="Q162" s="29">
        <v>2022</v>
      </c>
      <c r="R162" s="4" t="s">
        <v>229</v>
      </c>
      <c r="S162" s="199"/>
      <c r="T162" s="199"/>
      <c r="U162" s="4"/>
      <c r="V162" s="4"/>
      <c r="W162" s="21" t="s">
        <v>43</v>
      </c>
      <c r="X162" s="30">
        <f t="shared" ref="X162:X168" si="47">0.9*$J162</f>
        <v>0</v>
      </c>
      <c r="Y162" s="30">
        <f t="shared" ref="Y162:Y168" si="48">1.5*J162</f>
        <v>0</v>
      </c>
      <c r="Z162" s="21" t="s">
        <v>44</v>
      </c>
      <c r="AA162" s="22">
        <f t="shared" ref="AA162:AA168" si="49">0.9*K162</f>
        <v>165.6</v>
      </c>
      <c r="AB162" s="22">
        <f t="shared" ref="AB162:AB168" si="50">1.3*K162</f>
        <v>239.20000000000002</v>
      </c>
      <c r="AC162" s="21" t="s">
        <v>44</v>
      </c>
      <c r="AD162" s="22" t="s">
        <v>45</v>
      </c>
      <c r="AE162" s="22" t="s">
        <v>46</v>
      </c>
      <c r="AF162" s="22" t="s">
        <v>47</v>
      </c>
      <c r="AG162" s="21" t="s">
        <v>48</v>
      </c>
    </row>
    <row r="163" spans="1:33" ht="26.25" customHeight="1">
      <c r="A163" s="36">
        <v>252</v>
      </c>
      <c r="B163" s="18">
        <f t="shared" si="42"/>
        <v>2</v>
      </c>
      <c r="C163" s="42" t="s">
        <v>374</v>
      </c>
      <c r="D163" s="19" t="str">
        <f t="shared" si="36"/>
        <v xml:space="preserve">            First Core Conversion </v>
      </c>
      <c r="E163" s="19" t="s">
        <v>35</v>
      </c>
      <c r="F163" s="19"/>
      <c r="G163" s="27"/>
      <c r="H163" s="27"/>
      <c r="I163" s="27"/>
      <c r="J163" s="29"/>
      <c r="K163" s="29">
        <v>15.1</v>
      </c>
      <c r="L163" s="4" t="s">
        <v>196</v>
      </c>
      <c r="M163" s="27" t="s">
        <v>373</v>
      </c>
      <c r="N163" s="4"/>
      <c r="O163" s="4"/>
      <c r="P163" s="4"/>
      <c r="Q163" s="29">
        <v>2022</v>
      </c>
      <c r="R163" s="4" t="s">
        <v>229</v>
      </c>
      <c r="S163" s="199"/>
      <c r="T163" s="199"/>
      <c r="U163" s="4"/>
      <c r="V163" s="4"/>
      <c r="W163" s="21" t="s">
        <v>43</v>
      </c>
      <c r="X163" s="30">
        <f t="shared" si="47"/>
        <v>0</v>
      </c>
      <c r="Y163" s="30">
        <f t="shared" si="48"/>
        <v>0</v>
      </c>
      <c r="Z163" s="21" t="s">
        <v>44</v>
      </c>
      <c r="AA163" s="22">
        <f t="shared" si="49"/>
        <v>13.59</v>
      </c>
      <c r="AB163" s="22">
        <f t="shared" si="50"/>
        <v>19.63</v>
      </c>
      <c r="AC163" s="21" t="s">
        <v>44</v>
      </c>
      <c r="AD163" s="22" t="s">
        <v>45</v>
      </c>
      <c r="AE163" s="22" t="s">
        <v>46</v>
      </c>
      <c r="AF163" s="22" t="s">
        <v>47</v>
      </c>
      <c r="AG163" s="21" t="s">
        <v>48</v>
      </c>
    </row>
    <row r="164" spans="1:33" ht="26.25" customHeight="1">
      <c r="A164" s="36">
        <v>253</v>
      </c>
      <c r="B164" s="18">
        <f t="shared" si="42"/>
        <v>2</v>
      </c>
      <c r="C164" s="42" t="s">
        <v>375</v>
      </c>
      <c r="D164" s="19" t="str">
        <f t="shared" si="36"/>
        <v xml:space="preserve">            First Core Enrichment </v>
      </c>
      <c r="E164" s="19" t="s">
        <v>290</v>
      </c>
      <c r="F164" s="19"/>
      <c r="G164" s="27"/>
      <c r="H164" s="27"/>
      <c r="I164" s="27"/>
      <c r="J164" s="29"/>
      <c r="K164" s="29">
        <v>184.2</v>
      </c>
      <c r="L164" s="4" t="s">
        <v>376</v>
      </c>
      <c r="M164" s="32" t="s">
        <v>377</v>
      </c>
      <c r="N164" s="4"/>
      <c r="O164" s="4"/>
      <c r="P164" s="4">
        <v>1</v>
      </c>
      <c r="Q164" s="29">
        <v>2022</v>
      </c>
      <c r="R164" s="4" t="s">
        <v>229</v>
      </c>
      <c r="S164" s="199"/>
      <c r="T164" s="199"/>
      <c r="U164" s="4"/>
      <c r="V164" s="4"/>
      <c r="W164" s="21" t="s">
        <v>43</v>
      </c>
      <c r="X164" s="30">
        <f t="shared" si="47"/>
        <v>0</v>
      </c>
      <c r="Y164" s="30">
        <f t="shared" si="48"/>
        <v>0</v>
      </c>
      <c r="Z164" s="21" t="s">
        <v>44</v>
      </c>
      <c r="AA164" s="22">
        <f t="shared" si="49"/>
        <v>165.78</v>
      </c>
      <c r="AB164" s="22">
        <f t="shared" si="50"/>
        <v>239.45999999999998</v>
      </c>
      <c r="AC164" s="21" t="s">
        <v>44</v>
      </c>
      <c r="AD164" s="22" t="s">
        <v>45</v>
      </c>
      <c r="AE164" s="22" t="s">
        <v>46</v>
      </c>
      <c r="AF164" s="22" t="s">
        <v>47</v>
      </c>
      <c r="AG164" s="21" t="s">
        <v>48</v>
      </c>
    </row>
    <row r="165" spans="1:33" ht="26.25" customHeight="1">
      <c r="A165" s="36">
        <v>254</v>
      </c>
      <c r="B165" s="18">
        <f t="shared" si="42"/>
        <v>2</v>
      </c>
      <c r="C165" s="42" t="s">
        <v>378</v>
      </c>
      <c r="D165" s="19" t="str">
        <f t="shared" si="36"/>
        <v xml:space="preserve">            First Core Fuel Assembly Fabrication </v>
      </c>
      <c r="E165" s="19" t="s">
        <v>35</v>
      </c>
      <c r="F165" s="19" t="s">
        <v>379</v>
      </c>
      <c r="G165" s="27" t="s">
        <v>380</v>
      </c>
      <c r="H165" s="27" t="s">
        <v>381</v>
      </c>
      <c r="I165" s="27" t="s">
        <v>382</v>
      </c>
      <c r="J165" s="29"/>
      <c r="K165" s="29">
        <v>1520</v>
      </c>
      <c r="L165" s="4" t="s">
        <v>196</v>
      </c>
      <c r="M165" s="32" t="s">
        <v>383</v>
      </c>
      <c r="N165" s="4"/>
      <c r="O165" s="4"/>
      <c r="P165" s="4"/>
      <c r="Q165" s="29">
        <v>2023</v>
      </c>
      <c r="R165" s="4" t="s">
        <v>229</v>
      </c>
      <c r="S165" s="5"/>
      <c r="T165" s="5"/>
      <c r="U165" s="4"/>
      <c r="V165" s="4"/>
      <c r="W165" s="21" t="s">
        <v>167</v>
      </c>
      <c r="X165" s="30">
        <f t="shared" si="47"/>
        <v>0</v>
      </c>
      <c r="Y165" s="30">
        <f t="shared" si="48"/>
        <v>0</v>
      </c>
      <c r="Z165" s="21" t="s">
        <v>44</v>
      </c>
      <c r="AA165" s="22">
        <f t="shared" si="49"/>
        <v>1368</v>
      </c>
      <c r="AB165" s="22">
        <f t="shared" si="50"/>
        <v>1976</v>
      </c>
      <c r="AC165" s="21" t="s">
        <v>44</v>
      </c>
      <c r="AD165" s="22" t="s">
        <v>45</v>
      </c>
      <c r="AE165" s="22" t="s">
        <v>46</v>
      </c>
      <c r="AF165" s="22" t="s">
        <v>47</v>
      </c>
      <c r="AG165" s="21" t="s">
        <v>48</v>
      </c>
    </row>
    <row r="166" spans="1:33" ht="26.25" customHeight="1">
      <c r="A166" s="36">
        <v>254</v>
      </c>
      <c r="B166" s="18">
        <f>IF(ISNUMBER(A166),
    IF(AND(A166=INT(A166), MOD(A166, 10) = 0), 0,
        IF(AND(A166=INT(A166), LEN(A166)=2), 1,
            IF(AND(A166=INT(A166), LEN(A166)=3), 2,
                LEN(A166) - FIND(".", A166) + 2)
        )
    ),
"")</f>
        <v>2</v>
      </c>
      <c r="C166" s="42" t="s">
        <v>378</v>
      </c>
      <c r="D166" s="19" t="str">
        <f t="shared" si="36"/>
        <v xml:space="preserve">            First Core Fuel Assembly Fabrication </v>
      </c>
      <c r="E166" s="19" t="s">
        <v>35</v>
      </c>
      <c r="F166" s="19" t="s">
        <v>379</v>
      </c>
      <c r="G166" s="27" t="s">
        <v>380</v>
      </c>
      <c r="H166" s="27" t="s">
        <v>381</v>
      </c>
      <c r="I166" s="27" t="s">
        <v>384</v>
      </c>
      <c r="J166" s="29"/>
      <c r="K166" s="29">
        <v>250</v>
      </c>
      <c r="L166" s="4" t="s">
        <v>196</v>
      </c>
      <c r="M166" s="32" t="s">
        <v>383</v>
      </c>
      <c r="N166" s="4"/>
      <c r="O166" s="4"/>
      <c r="P166" s="4"/>
      <c r="Q166" s="29">
        <v>2023</v>
      </c>
      <c r="R166" s="4" t="s">
        <v>229</v>
      </c>
      <c r="S166" s="5"/>
      <c r="T166" s="5"/>
      <c r="U166" s="4"/>
      <c r="V166" s="4"/>
      <c r="W166" s="21" t="s">
        <v>167</v>
      </c>
      <c r="X166" s="30">
        <f t="shared" si="47"/>
        <v>0</v>
      </c>
      <c r="Y166" s="30">
        <f t="shared" si="48"/>
        <v>0</v>
      </c>
      <c r="Z166" s="21" t="s">
        <v>44</v>
      </c>
      <c r="AA166" s="22">
        <f t="shared" si="49"/>
        <v>225</v>
      </c>
      <c r="AB166" s="22">
        <f t="shared" si="50"/>
        <v>325</v>
      </c>
      <c r="AC166" s="21" t="s">
        <v>44</v>
      </c>
      <c r="AD166" s="22" t="s">
        <v>45</v>
      </c>
      <c r="AE166" s="22" t="s">
        <v>46</v>
      </c>
      <c r="AF166" s="22" t="s">
        <v>47</v>
      </c>
      <c r="AG166" s="21" t="s">
        <v>48</v>
      </c>
    </row>
    <row r="167" spans="1:33" ht="26.25" customHeight="1">
      <c r="A167" s="36">
        <v>254</v>
      </c>
      <c r="B167" s="18">
        <f>IF(ISNUMBER(A167),
    IF(AND(A167=INT(A167), MOD(A167, 10) = 0), 0,
        IF(AND(A167=INT(A167), LEN(A167)=2), 1,
            IF(AND(A167=INT(A167), LEN(A167)=3), 2,
                LEN(A167) - FIND(".", A167) + 2)
        )
    ),
"")</f>
        <v>2</v>
      </c>
      <c r="C167" s="42" t="s">
        <v>378</v>
      </c>
      <c r="D167" s="19" t="str">
        <f t="shared" si="36"/>
        <v xml:space="preserve">            First Core Fuel Assembly Fabrication </v>
      </c>
      <c r="E167" s="19" t="s">
        <v>35</v>
      </c>
      <c r="F167" s="19" t="s">
        <v>379</v>
      </c>
      <c r="G167" s="27" t="s">
        <v>291</v>
      </c>
      <c r="H167" s="27"/>
      <c r="I167" s="27"/>
      <c r="J167" s="29"/>
      <c r="K167" s="29">
        <v>10000</v>
      </c>
      <c r="L167" s="4" t="s">
        <v>196</v>
      </c>
      <c r="M167" s="32" t="s">
        <v>383</v>
      </c>
      <c r="N167" s="4"/>
      <c r="O167" s="4"/>
      <c r="P167" s="4"/>
      <c r="Q167" s="29">
        <v>2009</v>
      </c>
      <c r="R167" s="4" t="s">
        <v>229</v>
      </c>
      <c r="S167" s="51"/>
      <c r="T167" s="51"/>
      <c r="U167" s="4"/>
      <c r="V167" s="4"/>
      <c r="W167" s="21" t="s">
        <v>167</v>
      </c>
      <c r="X167" s="30">
        <f t="shared" si="47"/>
        <v>0</v>
      </c>
      <c r="Y167" s="30">
        <f t="shared" si="48"/>
        <v>0</v>
      </c>
      <c r="Z167" s="21" t="s">
        <v>44</v>
      </c>
      <c r="AA167" s="22">
        <f t="shared" si="49"/>
        <v>9000</v>
      </c>
      <c r="AB167" s="22">
        <f t="shared" si="50"/>
        <v>13000</v>
      </c>
      <c r="AC167" s="21" t="s">
        <v>44</v>
      </c>
      <c r="AD167" s="22" t="s">
        <v>45</v>
      </c>
      <c r="AE167" s="22" t="s">
        <v>46</v>
      </c>
      <c r="AF167" s="22" t="s">
        <v>47</v>
      </c>
      <c r="AG167" s="21" t="s">
        <v>48</v>
      </c>
    </row>
    <row r="168" spans="1:33" ht="53.25" customHeight="1">
      <c r="A168" s="15">
        <v>26</v>
      </c>
      <c r="B168" s="18">
        <f>IF(ISNUMBER(A168),
IF(AND(A168=INT(A168), MOD(A168, 10) = 0), 0,
IF(AND(A168=INT(A168), LEN(A168)=2), 1,
IF(AND(A168=INT(A168), LEN(A168)=3), 2,
LEN(A168) - FIND(".", A168) + 2)
)
),
"")</f>
        <v>1</v>
      </c>
      <c r="C168" s="42" t="s">
        <v>385</v>
      </c>
      <c r="D168" s="19" t="str">
        <f t="shared" ref="D168:D198" si="51">REPT("   ", B168*2) &amp; C168</f>
        <v xml:space="preserve">      Miscellaneous Equipment (Cranes)</v>
      </c>
      <c r="E168" s="19" t="s">
        <v>35</v>
      </c>
      <c r="F168" s="19"/>
      <c r="G168" s="19"/>
      <c r="H168" s="19"/>
      <c r="I168" s="19"/>
      <c r="J168" s="26">
        <v>1000000</v>
      </c>
      <c r="K168" s="29"/>
      <c r="L168" s="4"/>
      <c r="M168" s="32"/>
      <c r="N168" s="4"/>
      <c r="O168" s="4"/>
      <c r="P168" s="4"/>
      <c r="Q168" s="29">
        <v>2021</v>
      </c>
      <c r="R168" s="4" t="s">
        <v>163</v>
      </c>
      <c r="S168" s="32" t="s">
        <v>386</v>
      </c>
      <c r="T168" s="32" t="s">
        <v>387</v>
      </c>
      <c r="U168" s="4"/>
      <c r="V168" s="4"/>
      <c r="W168" s="21" t="s">
        <v>167</v>
      </c>
      <c r="X168" s="30">
        <f t="shared" si="47"/>
        <v>900000</v>
      </c>
      <c r="Y168" s="30">
        <f t="shared" si="48"/>
        <v>1500000</v>
      </c>
      <c r="Z168" s="21" t="s">
        <v>44</v>
      </c>
      <c r="AA168" s="22">
        <f t="shared" si="49"/>
        <v>0</v>
      </c>
      <c r="AB168" s="22">
        <f t="shared" si="50"/>
        <v>0</v>
      </c>
      <c r="AC168" s="21" t="s">
        <v>44</v>
      </c>
      <c r="AD168" s="22" t="s">
        <v>45</v>
      </c>
      <c r="AE168" s="22" t="s">
        <v>46</v>
      </c>
      <c r="AF168" s="22" t="s">
        <v>47</v>
      </c>
      <c r="AG168" s="21" t="s">
        <v>48</v>
      </c>
    </row>
    <row r="169" spans="1:33" ht="53.25" customHeight="1">
      <c r="A169" s="15">
        <v>28</v>
      </c>
      <c r="B169" s="18">
        <v>1</v>
      </c>
      <c r="C169" s="42" t="s">
        <v>833</v>
      </c>
      <c r="D169" s="19" t="str">
        <f t="shared" si="51"/>
        <v xml:space="preserve">      Dispersed Infrastructure</v>
      </c>
      <c r="E169" s="19"/>
      <c r="F169" s="19"/>
      <c r="G169" s="19"/>
      <c r="H169" s="19"/>
      <c r="I169" s="19"/>
      <c r="J169" s="26"/>
      <c r="K169" s="29"/>
      <c r="L169" s="4"/>
      <c r="M169" s="32"/>
      <c r="N169" s="4"/>
      <c r="O169" s="4"/>
      <c r="P169" s="4"/>
      <c r="Q169" s="29"/>
      <c r="R169" s="4"/>
      <c r="S169" s="32"/>
      <c r="T169" s="32"/>
      <c r="U169" s="4"/>
      <c r="V169" s="4"/>
      <c r="W169" s="21"/>
      <c r="X169" s="30"/>
      <c r="Y169" s="30"/>
      <c r="Z169" s="21"/>
      <c r="AA169" s="22"/>
      <c r="AB169" s="22"/>
      <c r="AC169" s="21"/>
      <c r="AD169" s="22"/>
      <c r="AE169" s="22"/>
      <c r="AF169" s="22"/>
      <c r="AG169" s="21"/>
    </row>
    <row r="170" spans="1:33" ht="53.25" customHeight="1">
      <c r="A170" s="15">
        <v>288.2</v>
      </c>
      <c r="B170" s="18">
        <v>3</v>
      </c>
      <c r="C170" s="32" t="s">
        <v>672</v>
      </c>
      <c r="D170" s="19" t="str">
        <f t="shared" si="51"/>
        <v xml:space="preserve">                  Security Cameras</v>
      </c>
      <c r="E170" s="19" t="s">
        <v>35</v>
      </c>
      <c r="F170" s="19"/>
      <c r="G170" s="99">
        <v>1</v>
      </c>
      <c r="H170" s="19"/>
      <c r="I170" s="19"/>
      <c r="J170" s="148"/>
      <c r="K170" s="26">
        <v>27507.56</v>
      </c>
      <c r="L170" s="4"/>
      <c r="M170" s="19" t="s">
        <v>829</v>
      </c>
      <c r="N170" s="4"/>
      <c r="O170" s="4"/>
      <c r="P170" s="29"/>
      <c r="Q170" s="29">
        <v>2025</v>
      </c>
      <c r="R170" s="4" t="s">
        <v>163</v>
      </c>
      <c r="S170" s="38"/>
      <c r="T170" s="175" t="s">
        <v>832</v>
      </c>
      <c r="U170" s="144"/>
      <c r="V170" s="145"/>
      <c r="W170" s="21" t="s">
        <v>43</v>
      </c>
      <c r="X170" s="30">
        <f>0.9*$J170</f>
        <v>0</v>
      </c>
      <c r="Y170" s="30">
        <f>1.5*J170</f>
        <v>0</v>
      </c>
      <c r="Z170" s="21" t="s">
        <v>44</v>
      </c>
      <c r="AA170" s="22">
        <f>0.9*K170</f>
        <v>24756.804</v>
      </c>
      <c r="AB170" s="22">
        <f>1.3*K170</f>
        <v>35759.828000000001</v>
      </c>
      <c r="AC170" s="21" t="s">
        <v>44</v>
      </c>
      <c r="AD170" s="22" t="s">
        <v>45</v>
      </c>
      <c r="AE170" s="22" t="s">
        <v>46</v>
      </c>
      <c r="AF170" s="22" t="s">
        <v>47</v>
      </c>
      <c r="AG170" s="21" t="s">
        <v>48</v>
      </c>
    </row>
    <row r="171" spans="1:33" ht="53.25" customHeight="1">
      <c r="A171" s="15">
        <v>288.3</v>
      </c>
      <c r="B171" s="18">
        <v>3</v>
      </c>
      <c r="C171" s="32" t="s">
        <v>675</v>
      </c>
      <c r="D171" s="19" t="str">
        <f t="shared" si="51"/>
        <v xml:space="preserve">                  Motion Detectors</v>
      </c>
      <c r="E171" s="19" t="s">
        <v>35</v>
      </c>
      <c r="F171" s="19"/>
      <c r="G171" s="99">
        <v>1</v>
      </c>
      <c r="H171" s="19"/>
      <c r="I171" s="19"/>
      <c r="J171" s="148"/>
      <c r="K171" s="26">
        <v>23307.56</v>
      </c>
      <c r="L171" s="4"/>
      <c r="M171" s="19" t="s">
        <v>830</v>
      </c>
      <c r="N171" s="4"/>
      <c r="O171" s="4"/>
      <c r="P171" s="29"/>
      <c r="Q171" s="29">
        <v>2025</v>
      </c>
      <c r="R171" s="4" t="s">
        <v>163</v>
      </c>
      <c r="S171" s="38"/>
      <c r="T171" s="175" t="s">
        <v>832</v>
      </c>
      <c r="U171" s="144"/>
      <c r="V171" s="145"/>
      <c r="W171" s="21" t="s">
        <v>43</v>
      </c>
      <c r="X171" s="30">
        <f>0.9*$J171</f>
        <v>0</v>
      </c>
      <c r="Y171" s="30">
        <f>1.5*J171</f>
        <v>0</v>
      </c>
      <c r="Z171" s="21" t="s">
        <v>44</v>
      </c>
      <c r="AA171" s="22">
        <f>0.9*K171</f>
        <v>20976.804</v>
      </c>
      <c r="AB171" s="22">
        <f>1.3*K171</f>
        <v>30299.828000000001</v>
      </c>
      <c r="AC171" s="21" t="s">
        <v>44</v>
      </c>
      <c r="AD171" s="22" t="s">
        <v>45</v>
      </c>
      <c r="AE171" s="22" t="s">
        <v>46</v>
      </c>
      <c r="AF171" s="22" t="s">
        <v>47</v>
      </c>
      <c r="AG171" s="21" t="s">
        <v>48</v>
      </c>
    </row>
    <row r="172" spans="1:33" ht="53.25" customHeight="1">
      <c r="A172" s="15">
        <v>288.5</v>
      </c>
      <c r="B172" s="18">
        <v>3</v>
      </c>
      <c r="C172" s="32" t="s">
        <v>783</v>
      </c>
      <c r="D172" s="19" t="str">
        <f t="shared" si="51"/>
        <v xml:space="preserve">                  Radiation Monitors</v>
      </c>
      <c r="E172" s="19" t="s">
        <v>35</v>
      </c>
      <c r="F172" s="19"/>
      <c r="G172" s="99">
        <v>1</v>
      </c>
      <c r="H172" s="19"/>
      <c r="I172" s="19"/>
      <c r="J172" s="33"/>
      <c r="K172" s="26">
        <v>637264.63</v>
      </c>
      <c r="L172" s="4"/>
      <c r="M172" s="19" t="s">
        <v>831</v>
      </c>
      <c r="N172" s="4"/>
      <c r="O172" s="4"/>
      <c r="P172" s="29"/>
      <c r="Q172" s="29">
        <v>2025</v>
      </c>
      <c r="R172" s="4" t="s">
        <v>163</v>
      </c>
      <c r="S172" s="38"/>
      <c r="T172" s="175" t="s">
        <v>832</v>
      </c>
      <c r="U172" s="144"/>
      <c r="V172" s="145"/>
      <c r="W172" s="21" t="s">
        <v>167</v>
      </c>
      <c r="X172" s="30">
        <f>0.9*$J172</f>
        <v>0</v>
      </c>
      <c r="Y172" s="30">
        <f>1.5*J172</f>
        <v>0</v>
      </c>
      <c r="Z172" s="21" t="s">
        <v>44</v>
      </c>
      <c r="AA172" s="22">
        <f>0.9*K172</f>
        <v>573538.16700000002</v>
      </c>
      <c r="AB172" s="22">
        <f>1.3*K172</f>
        <v>828444.01900000009</v>
      </c>
      <c r="AC172" s="21" t="s">
        <v>44</v>
      </c>
      <c r="AD172" s="22" t="s">
        <v>45</v>
      </c>
      <c r="AE172" s="22" t="s">
        <v>46</v>
      </c>
      <c r="AF172" s="22" t="s">
        <v>47</v>
      </c>
      <c r="AG172" s="21" t="s">
        <v>48</v>
      </c>
    </row>
    <row r="173" spans="1:33" ht="26.25" customHeight="1">
      <c r="A173" s="2">
        <v>30</v>
      </c>
      <c r="B173" s="18">
        <f>IF(ISNUMBER(A173),
    IF(AND(A173=INT(A173), MOD(A173, 10) = 0), 0,
        IF(AND(A173=INT(A173), LEN(A173)=2), 1,
            IF(AND(A173=INT(A173), LEN(A173)=3), 2,
                LEN(A173) - FIND(".", A173) + 2)
        )
    ),
"")</f>
        <v>0</v>
      </c>
      <c r="C173" s="42" t="s">
        <v>388</v>
      </c>
      <c r="D173" s="19" t="str">
        <f t="shared" si="51"/>
        <v>Capitalized Indirect Services Cost</v>
      </c>
      <c r="E173" s="19"/>
      <c r="F173" s="19"/>
      <c r="G173" s="19"/>
      <c r="H173" s="19"/>
      <c r="I173" s="19"/>
      <c r="J173" s="34"/>
      <c r="K173" s="33"/>
      <c r="L173" s="2"/>
      <c r="M173" s="2"/>
      <c r="N173" s="2"/>
      <c r="O173" s="2"/>
      <c r="P173" s="2"/>
      <c r="Q173" s="34"/>
      <c r="R173" s="2"/>
      <c r="S173" s="193"/>
      <c r="T173" s="2"/>
      <c r="U173" s="2"/>
      <c r="V173" s="2"/>
      <c r="W173" s="21"/>
      <c r="X173" s="30"/>
      <c r="Y173" s="30"/>
      <c r="Z173" s="21"/>
      <c r="AA173" s="22"/>
      <c r="AB173" s="22"/>
      <c r="AC173" s="21"/>
      <c r="AD173" s="22"/>
      <c r="AE173" s="22"/>
      <c r="AF173" s="22"/>
      <c r="AG173" s="21"/>
    </row>
    <row r="174" spans="1:33" ht="51.75" customHeight="1">
      <c r="A174" s="2">
        <v>31</v>
      </c>
      <c r="B174" s="18">
        <v>1</v>
      </c>
      <c r="C174" s="42" t="s">
        <v>389</v>
      </c>
      <c r="D174" s="19" t="str">
        <f t="shared" si="51"/>
        <v xml:space="preserve">      Factory &amp; field indirect costs</v>
      </c>
      <c r="E174" s="19"/>
      <c r="F174" s="19"/>
      <c r="G174" s="19"/>
      <c r="H174" s="19"/>
      <c r="I174" s="19"/>
      <c r="J174" s="34"/>
      <c r="K174" s="58"/>
      <c r="L174" s="4"/>
      <c r="M174" s="32"/>
      <c r="N174" s="2"/>
      <c r="O174" s="2"/>
      <c r="P174" s="2"/>
      <c r="Q174" s="29"/>
      <c r="R174" s="4"/>
      <c r="S174" s="193"/>
      <c r="T174" s="2"/>
      <c r="U174" s="2"/>
      <c r="V174" s="2"/>
      <c r="W174" s="21"/>
      <c r="X174" s="30"/>
      <c r="Y174" s="30"/>
      <c r="Z174" s="21"/>
      <c r="AA174" s="22"/>
      <c r="AB174" s="22"/>
      <c r="AC174" s="21"/>
      <c r="AD174" s="22"/>
      <c r="AE174" s="22"/>
      <c r="AF174" s="22"/>
      <c r="AG174" s="21"/>
    </row>
    <row r="175" spans="1:33" ht="26.25" customHeight="1">
      <c r="A175" s="2">
        <v>32</v>
      </c>
      <c r="B175" s="18">
        <v>1</v>
      </c>
      <c r="C175" s="42" t="s">
        <v>390</v>
      </c>
      <c r="D175" s="19" t="str">
        <f t="shared" si="51"/>
        <v xml:space="preserve">      Factory and construction supervision</v>
      </c>
      <c r="E175" s="19"/>
      <c r="F175" s="19"/>
      <c r="G175" s="19"/>
      <c r="H175" s="19"/>
      <c r="I175" s="19"/>
      <c r="J175" s="34"/>
      <c r="K175" s="33"/>
      <c r="L175" s="2"/>
      <c r="M175" s="2"/>
      <c r="N175" s="2"/>
      <c r="O175" s="2"/>
      <c r="P175" s="2"/>
      <c r="Q175" s="29"/>
      <c r="R175" s="4"/>
      <c r="S175" s="193"/>
      <c r="T175" s="2"/>
      <c r="U175" s="2"/>
      <c r="V175" s="2"/>
      <c r="W175" s="21"/>
      <c r="X175" s="30"/>
      <c r="Y175" s="30"/>
      <c r="Z175" s="21"/>
      <c r="AA175" s="22"/>
      <c r="AB175" s="22"/>
      <c r="AC175" s="21"/>
      <c r="AD175" s="22"/>
      <c r="AE175" s="22"/>
      <c r="AF175" s="22"/>
      <c r="AG175" s="21"/>
    </row>
    <row r="176" spans="1:33" ht="26.25" customHeight="1">
      <c r="A176" s="15">
        <v>33</v>
      </c>
      <c r="B176" s="18">
        <f t="shared" ref="B176:B190" si="52">IF(ISNUMBER(A176),
IF(AND(A176=INT(A176), MOD(A176, 10) = 0), 0,
IF(AND(A176=INT(A176), LEN(A176)=2), 1,
IF(AND(A176=INT(A176), LEN(A176)=3), 2,
LEN(A176) - FIND(".", A176) + 2)
)
),
"")</f>
        <v>1</v>
      </c>
      <c r="C176" s="42" t="s">
        <v>391</v>
      </c>
      <c r="D176" s="19" t="str">
        <f t="shared" si="51"/>
        <v xml:space="preserve">      Startup Costs</v>
      </c>
      <c r="E176" s="19" t="s">
        <v>35</v>
      </c>
      <c r="F176" s="19"/>
      <c r="G176" s="19"/>
      <c r="H176" s="19"/>
      <c r="I176" s="19"/>
      <c r="J176" s="25">
        <f>MARVEL_Cost!C58</f>
        <v>2407166.4</v>
      </c>
      <c r="K176" s="26"/>
      <c r="L176" s="28"/>
      <c r="M176" s="35"/>
      <c r="N176" s="28"/>
      <c r="O176" s="28"/>
      <c r="P176" s="28"/>
      <c r="Q176" s="29">
        <v>2024</v>
      </c>
      <c r="R176" s="28" t="s">
        <v>73</v>
      </c>
      <c r="S176" s="193"/>
      <c r="T176" s="28"/>
      <c r="U176" s="28"/>
      <c r="V176" s="28"/>
      <c r="W176" s="21" t="s">
        <v>77</v>
      </c>
      <c r="X176" s="30">
        <f>0.9*$J176</f>
        <v>2166449.7599999998</v>
      </c>
      <c r="Y176" s="30">
        <f>1.5*J176</f>
        <v>3610749.5999999996</v>
      </c>
      <c r="Z176" s="21" t="s">
        <v>44</v>
      </c>
      <c r="AA176" s="22">
        <f>0.9*K176</f>
        <v>0</v>
      </c>
      <c r="AB176" s="22">
        <f>1.3*K176</f>
        <v>0</v>
      </c>
      <c r="AC176" s="21" t="s">
        <v>44</v>
      </c>
      <c r="AD176" s="22" t="s">
        <v>45</v>
      </c>
      <c r="AE176" s="22" t="s">
        <v>46</v>
      </c>
      <c r="AF176" s="22" t="s">
        <v>47</v>
      </c>
      <c r="AG176" s="21" t="s">
        <v>48</v>
      </c>
    </row>
    <row r="177" spans="1:33" ht="53.25" customHeight="1">
      <c r="A177" s="15">
        <v>34</v>
      </c>
      <c r="B177" s="18">
        <f t="shared" si="52"/>
        <v>1</v>
      </c>
      <c r="C177" s="42" t="s">
        <v>392</v>
      </c>
      <c r="D177" s="19" t="str">
        <f t="shared" si="51"/>
        <v xml:space="preserve">      Shipping and Transportation Costs</v>
      </c>
      <c r="E177" s="19" t="s">
        <v>35</v>
      </c>
      <c r="F177" s="19"/>
      <c r="G177" s="19"/>
      <c r="H177" s="19"/>
      <c r="I177" s="19"/>
      <c r="J177" s="25">
        <f>0.5*MARVEL_Cost!C62</f>
        <v>832641.4</v>
      </c>
      <c r="K177" s="26"/>
      <c r="L177" s="28"/>
      <c r="M177" s="35"/>
      <c r="N177" s="28"/>
      <c r="O177" s="28"/>
      <c r="P177" s="28"/>
      <c r="Q177" s="29">
        <v>2024</v>
      </c>
      <c r="R177" s="28" t="s">
        <v>73</v>
      </c>
      <c r="S177" s="5"/>
      <c r="T177" s="28"/>
      <c r="U177" s="28"/>
      <c r="V177" s="28"/>
      <c r="W177" s="21" t="s">
        <v>77</v>
      </c>
      <c r="X177" s="30">
        <f>0.9*$J177</f>
        <v>749377.26</v>
      </c>
      <c r="Y177" s="30">
        <f>1.5*J177</f>
        <v>1248962.1000000001</v>
      </c>
      <c r="Z177" s="21" t="s">
        <v>44</v>
      </c>
      <c r="AA177" s="22">
        <f>0.9*K177</f>
        <v>0</v>
      </c>
      <c r="AB177" s="22">
        <f>1.3*K177</f>
        <v>0</v>
      </c>
      <c r="AC177" s="21" t="s">
        <v>44</v>
      </c>
      <c r="AD177" s="22" t="s">
        <v>45</v>
      </c>
      <c r="AE177" s="22" t="s">
        <v>46</v>
      </c>
      <c r="AF177" s="22" t="s">
        <v>47</v>
      </c>
      <c r="AG177" s="21" t="s">
        <v>48</v>
      </c>
    </row>
    <row r="178" spans="1:33" ht="26.25" customHeight="1">
      <c r="A178" s="15">
        <v>35</v>
      </c>
      <c r="B178" s="18">
        <f t="shared" si="52"/>
        <v>1</v>
      </c>
      <c r="C178" s="42" t="s">
        <v>393</v>
      </c>
      <c r="D178" s="19" t="str">
        <f t="shared" si="51"/>
        <v xml:space="preserve">      Engineering Services</v>
      </c>
      <c r="E178" s="19" t="s">
        <v>35</v>
      </c>
      <c r="F178" s="19"/>
      <c r="G178" s="19"/>
      <c r="H178" s="19"/>
      <c r="I178" s="19"/>
      <c r="J178" s="25">
        <f>MARVEL_Cost!C65</f>
        <v>620313.58773783199</v>
      </c>
      <c r="K178" s="26"/>
      <c r="L178" s="4"/>
      <c r="M178" s="32"/>
      <c r="N178" s="4"/>
      <c r="O178" s="4"/>
      <c r="P178" s="4"/>
      <c r="Q178" s="29">
        <v>2024</v>
      </c>
      <c r="R178" s="4" t="s">
        <v>53</v>
      </c>
      <c r="S178" s="5"/>
      <c r="T178" s="4"/>
      <c r="U178" s="4"/>
      <c r="V178" s="4"/>
      <c r="W178" s="21" t="s">
        <v>77</v>
      </c>
      <c r="X178" s="30">
        <f>0.9*$J178</f>
        <v>558282.22896404879</v>
      </c>
      <c r="Y178" s="30">
        <f>1.5*J178</f>
        <v>930470.38160674798</v>
      </c>
      <c r="Z178" s="21" t="s">
        <v>44</v>
      </c>
      <c r="AA178" s="22">
        <f>0.9*K178</f>
        <v>0</v>
      </c>
      <c r="AB178" s="22">
        <f>1.3*K178</f>
        <v>0</v>
      </c>
      <c r="AC178" s="21" t="s">
        <v>44</v>
      </c>
      <c r="AD178" s="22" t="s">
        <v>45</v>
      </c>
      <c r="AE178" s="22" t="s">
        <v>46</v>
      </c>
      <c r="AF178" s="22" t="s">
        <v>47</v>
      </c>
      <c r="AG178" s="21" t="s">
        <v>48</v>
      </c>
    </row>
    <row r="179" spans="1:33" ht="26.25" customHeight="1">
      <c r="A179" s="15">
        <v>36</v>
      </c>
      <c r="B179" s="18">
        <f t="shared" si="52"/>
        <v>1</v>
      </c>
      <c r="C179" s="42" t="s">
        <v>394</v>
      </c>
      <c r="D179" s="19" t="str">
        <f t="shared" si="51"/>
        <v xml:space="preserve">      PM/CM Services</v>
      </c>
      <c r="E179" s="19" t="s">
        <v>35</v>
      </c>
      <c r="F179" s="19"/>
      <c r="G179" s="19"/>
      <c r="H179" s="19"/>
      <c r="I179" s="19"/>
      <c r="J179" s="25">
        <f>MARVEL_Cost!C68</f>
        <v>416958.93599999999</v>
      </c>
      <c r="K179" s="26"/>
      <c r="L179" s="4"/>
      <c r="M179" s="32"/>
      <c r="N179" s="4"/>
      <c r="O179" s="4"/>
      <c r="P179" s="4"/>
      <c r="Q179" s="29">
        <v>2024</v>
      </c>
      <c r="R179" s="4" t="s">
        <v>53</v>
      </c>
      <c r="S179" s="51"/>
      <c r="T179" s="4"/>
      <c r="U179" s="4"/>
      <c r="V179" s="4"/>
      <c r="W179" s="21" t="s">
        <v>77</v>
      </c>
      <c r="X179" s="30">
        <f>0.9*$J179</f>
        <v>375263.04239999998</v>
      </c>
      <c r="Y179" s="30">
        <f>1.5*J179</f>
        <v>625438.40399999998</v>
      </c>
      <c r="Z179" s="21" t="s">
        <v>44</v>
      </c>
      <c r="AA179" s="22">
        <f>0.9*K179</f>
        <v>0</v>
      </c>
      <c r="AB179" s="22">
        <f>1.3*K179</f>
        <v>0</v>
      </c>
      <c r="AC179" s="21" t="s">
        <v>44</v>
      </c>
      <c r="AD179" s="22" t="s">
        <v>45</v>
      </c>
      <c r="AE179" s="22" t="s">
        <v>46</v>
      </c>
      <c r="AF179" s="22" t="s">
        <v>47</v>
      </c>
      <c r="AG179" s="21" t="s">
        <v>48</v>
      </c>
    </row>
    <row r="180" spans="1:33" ht="26.25" customHeight="1">
      <c r="A180" s="15">
        <v>40</v>
      </c>
      <c r="B180" s="18">
        <f t="shared" si="52"/>
        <v>0</v>
      </c>
      <c r="C180" s="42" t="s">
        <v>395</v>
      </c>
      <c r="D180" s="19" t="str">
        <f t="shared" si="51"/>
        <v>Capitalized training costs</v>
      </c>
      <c r="E180" s="19"/>
      <c r="F180" s="19"/>
      <c r="G180" s="19"/>
      <c r="H180" s="19"/>
      <c r="I180" s="19"/>
      <c r="J180" s="25"/>
      <c r="K180" s="26"/>
      <c r="L180" s="4"/>
      <c r="M180" s="32"/>
      <c r="N180" s="4"/>
      <c r="O180" s="4"/>
      <c r="P180" s="4"/>
      <c r="Q180" s="29"/>
      <c r="R180" s="4"/>
      <c r="S180" s="2"/>
      <c r="T180" s="4"/>
      <c r="U180" s="4"/>
      <c r="V180" s="4"/>
      <c r="W180" s="21"/>
      <c r="X180" s="30"/>
      <c r="Y180" s="30"/>
      <c r="Z180" s="21"/>
      <c r="AA180" s="22"/>
      <c r="AB180" s="22"/>
      <c r="AC180" s="21"/>
      <c r="AD180" s="22"/>
      <c r="AE180" s="22"/>
      <c r="AF180" s="22"/>
      <c r="AG180" s="21"/>
    </row>
    <row r="181" spans="1:33" ht="26.25" customHeight="1">
      <c r="A181" s="15">
        <v>41</v>
      </c>
      <c r="B181" s="18">
        <f t="shared" si="52"/>
        <v>1</v>
      </c>
      <c r="C181" s="42" t="s">
        <v>396</v>
      </c>
      <c r="D181" s="19" t="str">
        <f t="shared" si="51"/>
        <v xml:space="preserve">      staff recruitment and training</v>
      </c>
      <c r="E181" s="19" t="s">
        <v>35</v>
      </c>
      <c r="F181" s="19"/>
      <c r="G181" s="19"/>
      <c r="H181" s="19"/>
      <c r="I181" s="19"/>
      <c r="J181" s="25">
        <v>300000</v>
      </c>
      <c r="K181" s="26"/>
      <c r="L181" s="4"/>
      <c r="M181" s="32"/>
      <c r="N181" s="4"/>
      <c r="O181" s="4"/>
      <c r="P181" s="4"/>
      <c r="Q181" s="29">
        <v>2024</v>
      </c>
      <c r="R181" s="4" t="s">
        <v>53</v>
      </c>
      <c r="S181" s="24"/>
      <c r="T181" s="4" t="s">
        <v>397</v>
      </c>
      <c r="U181" s="4" t="s">
        <v>398</v>
      </c>
      <c r="V181" s="4"/>
      <c r="W181" s="21" t="s">
        <v>43</v>
      </c>
      <c r="X181" s="30">
        <f>0.9*$J181</f>
        <v>270000</v>
      </c>
      <c r="Y181" s="30">
        <f>1.5*J181</f>
        <v>450000</v>
      </c>
      <c r="Z181" s="21" t="s">
        <v>44</v>
      </c>
      <c r="AA181" s="22">
        <f>0.9*K181</f>
        <v>0</v>
      </c>
      <c r="AB181" s="22">
        <f>1.3*K181</f>
        <v>0</v>
      </c>
      <c r="AC181" s="21" t="s">
        <v>44</v>
      </c>
      <c r="AD181" s="22" t="s">
        <v>45</v>
      </c>
      <c r="AE181" s="22" t="s">
        <v>46</v>
      </c>
      <c r="AF181" s="22" t="s">
        <v>47</v>
      </c>
      <c r="AG181" s="21" t="s">
        <v>48</v>
      </c>
    </row>
    <row r="182" spans="1:33" ht="26.25" customHeight="1">
      <c r="A182" s="2">
        <v>60</v>
      </c>
      <c r="B182" s="18">
        <f t="shared" si="52"/>
        <v>0</v>
      </c>
      <c r="C182" s="42" t="s">
        <v>399</v>
      </c>
      <c r="D182" s="19" t="str">
        <f t="shared" si="51"/>
        <v xml:space="preserve">Capitalized Financial Costs </v>
      </c>
      <c r="E182" s="19"/>
      <c r="F182" s="19"/>
      <c r="G182" s="19"/>
      <c r="H182" s="19"/>
      <c r="I182" s="19"/>
      <c r="J182" s="34"/>
      <c r="K182" s="33"/>
      <c r="L182" s="2"/>
      <c r="M182" s="2"/>
      <c r="N182" s="2"/>
      <c r="O182" s="2"/>
      <c r="P182" s="2"/>
      <c r="Q182" s="34"/>
      <c r="R182" s="2"/>
      <c r="S182" s="2"/>
      <c r="T182" s="2"/>
      <c r="U182" s="2"/>
      <c r="V182" s="2"/>
      <c r="W182" s="21"/>
      <c r="X182" s="30"/>
      <c r="Y182" s="30"/>
      <c r="Z182" s="21"/>
      <c r="AA182" s="22"/>
      <c r="AB182" s="22"/>
      <c r="AC182" s="21"/>
      <c r="AD182" s="22"/>
      <c r="AE182" s="22"/>
      <c r="AF182" s="22"/>
      <c r="AG182" s="21"/>
    </row>
    <row r="183" spans="1:33" ht="26.25" customHeight="1">
      <c r="A183" s="15">
        <v>62</v>
      </c>
      <c r="B183" s="18">
        <f t="shared" si="52"/>
        <v>1</v>
      </c>
      <c r="C183" s="42" t="s">
        <v>400</v>
      </c>
      <c r="D183" s="19" t="str">
        <f t="shared" si="51"/>
        <v xml:space="preserve">      Interest</v>
      </c>
      <c r="E183" s="19"/>
      <c r="F183" s="19"/>
      <c r="G183" s="19"/>
      <c r="H183" s="19"/>
      <c r="I183" s="19"/>
      <c r="J183" s="25"/>
      <c r="K183" s="26"/>
      <c r="L183" s="4"/>
      <c r="M183" s="32"/>
      <c r="N183" s="4"/>
      <c r="O183" s="4"/>
      <c r="P183" s="4"/>
      <c r="Q183" s="29"/>
      <c r="R183" s="4"/>
      <c r="S183" s="32"/>
      <c r="T183" s="4"/>
      <c r="U183" s="4"/>
      <c r="V183" s="4"/>
      <c r="W183" s="21"/>
      <c r="X183" s="30"/>
      <c r="Y183" s="30"/>
      <c r="Z183" s="21"/>
      <c r="AA183" s="22"/>
      <c r="AB183" s="22"/>
      <c r="AC183" s="21"/>
      <c r="AD183" s="22"/>
      <c r="AE183" s="22"/>
      <c r="AF183" s="22"/>
      <c r="AG183" s="21"/>
    </row>
    <row r="184" spans="1:33" ht="26.25" customHeight="1">
      <c r="A184" s="15">
        <v>70</v>
      </c>
      <c r="B184" s="18">
        <f t="shared" si="52"/>
        <v>0</v>
      </c>
      <c r="C184" s="59" t="s">
        <v>401</v>
      </c>
      <c r="D184" s="19" t="str">
        <f t="shared" si="51"/>
        <v xml:space="preserve">Annualized O&amp;M Cost </v>
      </c>
      <c r="E184" s="19"/>
      <c r="F184" s="19"/>
      <c r="G184" s="19"/>
      <c r="H184" s="19"/>
      <c r="I184" s="19"/>
      <c r="J184" s="20"/>
      <c r="K184" s="20"/>
      <c r="L184" s="18"/>
      <c r="M184" s="14"/>
      <c r="N184" s="18"/>
      <c r="O184" s="18"/>
      <c r="P184" s="18"/>
      <c r="Q184" s="20"/>
      <c r="R184" s="18"/>
      <c r="S184" s="14"/>
      <c r="T184" s="18"/>
      <c r="U184" s="18"/>
      <c r="V184" s="18"/>
      <c r="W184" s="21"/>
      <c r="X184" s="30"/>
      <c r="Y184" s="30"/>
      <c r="Z184" s="21"/>
      <c r="AA184" s="22"/>
      <c r="AB184" s="22"/>
      <c r="AC184" s="21"/>
      <c r="AD184" s="22"/>
      <c r="AE184" s="22"/>
      <c r="AF184" s="22"/>
      <c r="AG184" s="21"/>
    </row>
    <row r="185" spans="1:33" ht="26.25" customHeight="1">
      <c r="A185" s="15">
        <v>71</v>
      </c>
      <c r="B185" s="18">
        <f t="shared" si="52"/>
        <v>1</v>
      </c>
      <c r="C185" s="42" t="s">
        <v>402</v>
      </c>
      <c r="D185" s="19" t="str">
        <f t="shared" si="51"/>
        <v xml:space="preserve">      O&amp;M Staff</v>
      </c>
      <c r="E185" s="19"/>
      <c r="F185" s="19"/>
      <c r="G185" s="19"/>
      <c r="H185" s="19"/>
      <c r="I185" s="19"/>
      <c r="J185" s="25"/>
      <c r="K185" s="26"/>
      <c r="L185" s="4"/>
      <c r="M185" s="32"/>
      <c r="N185" s="4"/>
      <c r="O185" s="4"/>
      <c r="P185" s="4"/>
      <c r="Q185" s="29"/>
      <c r="R185" s="4"/>
      <c r="S185" s="32"/>
      <c r="T185" s="4"/>
      <c r="U185" s="4"/>
      <c r="V185" s="4"/>
      <c r="W185" s="21"/>
      <c r="X185" s="30"/>
      <c r="Y185" s="30"/>
      <c r="Z185" s="21"/>
      <c r="AA185" s="22"/>
      <c r="AB185" s="22"/>
      <c r="AC185" s="21"/>
      <c r="AD185" s="22"/>
      <c r="AE185" s="22"/>
      <c r="AF185" s="22"/>
      <c r="AG185" s="21"/>
    </row>
    <row r="186" spans="1:33" ht="126" customHeight="1">
      <c r="A186" s="36">
        <v>711</v>
      </c>
      <c r="B186" s="18">
        <f t="shared" si="52"/>
        <v>2</v>
      </c>
      <c r="C186" s="42" t="s">
        <v>403</v>
      </c>
      <c r="D186" s="19" t="str">
        <f t="shared" si="51"/>
        <v xml:space="preserve">            Operators </v>
      </c>
      <c r="E186" s="19" t="s">
        <v>290</v>
      </c>
      <c r="F186" s="19"/>
      <c r="G186" s="19"/>
      <c r="H186" s="19"/>
      <c r="I186" s="19"/>
      <c r="J186" s="25"/>
      <c r="K186" s="26">
        <v>178500</v>
      </c>
      <c r="L186" s="4" t="s">
        <v>404</v>
      </c>
      <c r="M186" s="32" t="s">
        <v>405</v>
      </c>
      <c r="N186" s="4"/>
      <c r="O186" s="4"/>
      <c r="P186" s="4">
        <v>1</v>
      </c>
      <c r="Q186" s="29">
        <v>2024</v>
      </c>
      <c r="R186" s="4" t="s">
        <v>53</v>
      </c>
      <c r="S186" s="32"/>
      <c r="T186" s="32" t="s">
        <v>406</v>
      </c>
      <c r="U186" s="4"/>
      <c r="V186" s="4"/>
      <c r="W186" s="21" t="s">
        <v>43</v>
      </c>
      <c r="X186" s="30">
        <f>0.9*$J186</f>
        <v>0</v>
      </c>
      <c r="Y186" s="30">
        <f>1.5*J186</f>
        <v>0</v>
      </c>
      <c r="Z186" s="21" t="s">
        <v>44</v>
      </c>
      <c r="AA186" s="22">
        <f>0.9*K186</f>
        <v>160650</v>
      </c>
      <c r="AB186" s="22">
        <f>1.3*K186</f>
        <v>232050</v>
      </c>
      <c r="AC186" s="21" t="s">
        <v>44</v>
      </c>
      <c r="AD186" s="22" t="s">
        <v>45</v>
      </c>
      <c r="AE186" s="22" t="s">
        <v>46</v>
      </c>
      <c r="AF186" s="22" t="s">
        <v>47</v>
      </c>
      <c r="AG186" s="21" t="s">
        <v>48</v>
      </c>
    </row>
    <row r="187" spans="1:33" ht="53.25" customHeight="1">
      <c r="A187" s="36">
        <v>712</v>
      </c>
      <c r="B187" s="18">
        <f t="shared" si="52"/>
        <v>2</v>
      </c>
      <c r="C187" s="42" t="s">
        <v>407</v>
      </c>
      <c r="D187" s="19" t="str">
        <f t="shared" si="51"/>
        <v xml:space="preserve">            Remote Monitoring Technicians </v>
      </c>
      <c r="E187" s="19" t="s">
        <v>290</v>
      </c>
      <c r="F187" s="19" t="s">
        <v>408</v>
      </c>
      <c r="G187" s="19" t="s">
        <v>409</v>
      </c>
      <c r="H187" s="19"/>
      <c r="I187" s="19"/>
      <c r="J187" s="25"/>
      <c r="K187" s="26">
        <v>178500</v>
      </c>
      <c r="L187" s="4" t="s">
        <v>404</v>
      </c>
      <c r="M187" s="32" t="s">
        <v>410</v>
      </c>
      <c r="N187" s="4"/>
      <c r="O187" s="4"/>
      <c r="P187" s="4">
        <v>1</v>
      </c>
      <c r="Q187" s="29">
        <v>2024</v>
      </c>
      <c r="R187" s="4" t="s">
        <v>53</v>
      </c>
      <c r="S187" s="32"/>
      <c r="T187" s="32" t="s">
        <v>406</v>
      </c>
      <c r="U187" s="4"/>
      <c r="V187" s="4"/>
      <c r="W187" s="21" t="s">
        <v>43</v>
      </c>
      <c r="X187" s="30">
        <f>0.9*$J187</f>
        <v>0</v>
      </c>
      <c r="Y187" s="30">
        <f>1.5*J187</f>
        <v>0</v>
      </c>
      <c r="Z187" s="21" t="s">
        <v>44</v>
      </c>
      <c r="AA187" s="22">
        <f>0.9*K187</f>
        <v>160650</v>
      </c>
      <c r="AB187" s="22">
        <f>1.3*K187</f>
        <v>232050</v>
      </c>
      <c r="AC187" s="21" t="s">
        <v>44</v>
      </c>
      <c r="AD187" s="22" t="s">
        <v>45</v>
      </c>
      <c r="AE187" s="22" t="s">
        <v>46</v>
      </c>
      <c r="AF187" s="22" t="s">
        <v>47</v>
      </c>
      <c r="AG187" s="21" t="s">
        <v>48</v>
      </c>
    </row>
    <row r="188" spans="1:33" ht="150.75" customHeight="1">
      <c r="A188" s="36">
        <v>713</v>
      </c>
      <c r="B188" s="18">
        <f t="shared" si="52"/>
        <v>2</v>
      </c>
      <c r="C188" s="42" t="s">
        <v>411</v>
      </c>
      <c r="D188" s="19" t="str">
        <f t="shared" si="51"/>
        <v xml:space="preserve">            Security Staff </v>
      </c>
      <c r="E188" s="19" t="s">
        <v>290</v>
      </c>
      <c r="F188" s="19"/>
      <c r="G188" s="19"/>
      <c r="H188" s="19"/>
      <c r="I188" s="19"/>
      <c r="J188" s="25"/>
      <c r="K188" s="26">
        <v>178500</v>
      </c>
      <c r="L188" s="4" t="s">
        <v>404</v>
      </c>
      <c r="M188" s="32" t="s">
        <v>412</v>
      </c>
      <c r="N188" s="4"/>
      <c r="O188" s="4"/>
      <c r="P188" s="4">
        <v>1</v>
      </c>
      <c r="Q188" s="29">
        <v>2024</v>
      </c>
      <c r="R188" s="4" t="s">
        <v>53</v>
      </c>
      <c r="S188" s="32"/>
      <c r="T188" s="32" t="s">
        <v>406</v>
      </c>
      <c r="U188" s="4"/>
      <c r="V188" s="4"/>
      <c r="W188" s="21" t="s">
        <v>43</v>
      </c>
      <c r="X188" s="30">
        <f>0.9*$J188</f>
        <v>0</v>
      </c>
      <c r="Y188" s="30">
        <f>1.5*J188</f>
        <v>0</v>
      </c>
      <c r="Z188" s="21" t="s">
        <v>44</v>
      </c>
      <c r="AA188" s="22">
        <f>0.9*K188</f>
        <v>160650</v>
      </c>
      <c r="AB188" s="22">
        <f>1.3*K188</f>
        <v>232050</v>
      </c>
      <c r="AC188" s="21" t="s">
        <v>44</v>
      </c>
      <c r="AD188" s="22" t="s">
        <v>45</v>
      </c>
      <c r="AE188" s="22" t="s">
        <v>46</v>
      </c>
      <c r="AF188" s="22" t="s">
        <v>47</v>
      </c>
      <c r="AG188" s="21" t="s">
        <v>48</v>
      </c>
    </row>
    <row r="189" spans="1:33" ht="26.25" customHeight="1">
      <c r="A189" s="15">
        <v>72</v>
      </c>
      <c r="B189" s="18">
        <f t="shared" si="52"/>
        <v>1</v>
      </c>
      <c r="C189" s="42" t="s">
        <v>413</v>
      </c>
      <c r="D189" s="19" t="str">
        <f t="shared" si="51"/>
        <v xml:space="preserve">      Variable Non-Fuel Costs</v>
      </c>
      <c r="E189" s="19"/>
      <c r="F189" s="19"/>
      <c r="G189" s="19"/>
      <c r="H189" s="19"/>
      <c r="I189" s="19"/>
      <c r="J189" s="25"/>
      <c r="K189" s="26"/>
      <c r="L189" s="4"/>
      <c r="M189" s="32"/>
      <c r="N189" s="4"/>
      <c r="O189" s="4"/>
      <c r="P189" s="4"/>
      <c r="Q189" s="29"/>
      <c r="R189" s="4"/>
      <c r="S189" s="32"/>
      <c r="T189" s="32"/>
      <c r="U189" s="4"/>
      <c r="V189" s="4"/>
      <c r="W189" s="21"/>
      <c r="X189" s="30"/>
      <c r="Y189" s="30"/>
      <c r="Z189" s="21"/>
      <c r="AA189" s="22"/>
      <c r="AB189" s="22"/>
      <c r="AC189" s="21"/>
      <c r="AD189" s="22"/>
      <c r="AE189" s="22"/>
      <c r="AF189" s="22"/>
      <c r="AG189" s="21"/>
    </row>
    <row r="190" spans="1:33" ht="101.25" customHeight="1">
      <c r="A190" s="15">
        <v>721</v>
      </c>
      <c r="B190" s="18">
        <f t="shared" si="52"/>
        <v>2</v>
      </c>
      <c r="C190" s="42" t="s">
        <v>324</v>
      </c>
      <c r="D190" s="19" t="str">
        <f t="shared" si="51"/>
        <v xml:space="preserve">            Coolant</v>
      </c>
      <c r="E190" s="19" t="s">
        <v>290</v>
      </c>
      <c r="F190" s="19" t="s">
        <v>324</v>
      </c>
      <c r="G190" s="19" t="s">
        <v>325</v>
      </c>
      <c r="H190" s="19"/>
      <c r="I190" s="19"/>
      <c r="J190" s="25"/>
      <c r="K190" s="26">
        <v>170</v>
      </c>
      <c r="L190" s="4" t="s">
        <v>196</v>
      </c>
      <c r="M190" s="32" t="s">
        <v>414</v>
      </c>
      <c r="N190" s="4"/>
      <c r="O190" s="4" t="s">
        <v>198</v>
      </c>
      <c r="P190" s="4"/>
      <c r="Q190" s="29">
        <v>2024</v>
      </c>
      <c r="R190" s="4" t="s">
        <v>229</v>
      </c>
      <c r="S190" s="32" t="s">
        <v>327</v>
      </c>
      <c r="T190" s="7" t="s">
        <v>327</v>
      </c>
      <c r="U190" s="56" t="s">
        <v>328</v>
      </c>
      <c r="V190" s="4" t="s">
        <v>329</v>
      </c>
      <c r="W190" s="21" t="s">
        <v>43</v>
      </c>
      <c r="X190" s="30">
        <f>0.9*$J190</f>
        <v>0</v>
      </c>
      <c r="Y190" s="30">
        <f>1.5*J190</f>
        <v>0</v>
      </c>
      <c r="Z190" s="21" t="s">
        <v>44</v>
      </c>
      <c r="AA190" s="22">
        <f>0.9*K190</f>
        <v>153</v>
      </c>
      <c r="AB190" s="22">
        <f>1.3*K190</f>
        <v>221</v>
      </c>
      <c r="AC190" s="21" t="s">
        <v>44</v>
      </c>
      <c r="AD190" s="22" t="s">
        <v>45</v>
      </c>
      <c r="AE190" s="22" t="s">
        <v>46</v>
      </c>
      <c r="AF190" s="22" t="s">
        <v>47</v>
      </c>
      <c r="AG190" s="21" t="s">
        <v>48</v>
      </c>
    </row>
    <row r="191" spans="1:33" ht="51.75" customHeight="1">
      <c r="A191" s="15">
        <v>721</v>
      </c>
      <c r="B191" s="18">
        <f>IF(ISNUMBER(A191),
    IF(AND(A191=INT(A191), MOD(A191, 10) = 0), 0,
        IF(AND(A191=INT(A191), LEN(A191)=2), 1,
            IF(AND(A191=INT(A191), LEN(A191)=3), 2,
                LEN(A191) - FIND(".", A191) + 2)
        )
    ),
"")</f>
        <v>2</v>
      </c>
      <c r="C191" s="42" t="s">
        <v>324</v>
      </c>
      <c r="D191" s="19" t="str">
        <f t="shared" si="51"/>
        <v xml:space="preserve">            Coolant</v>
      </c>
      <c r="E191" s="19" t="s">
        <v>290</v>
      </c>
      <c r="F191" s="19" t="s">
        <v>324</v>
      </c>
      <c r="G191" s="19" t="s">
        <v>330</v>
      </c>
      <c r="H191" s="19"/>
      <c r="I191" s="19"/>
      <c r="J191" s="25"/>
      <c r="K191" s="26">
        <v>118</v>
      </c>
      <c r="L191" s="4" t="s">
        <v>196</v>
      </c>
      <c r="M191" s="32" t="s">
        <v>414</v>
      </c>
      <c r="N191" s="4"/>
      <c r="O191" s="4" t="s">
        <v>198</v>
      </c>
      <c r="P191" s="4"/>
      <c r="Q191" s="29">
        <v>2023</v>
      </c>
      <c r="R191" s="4" t="s">
        <v>229</v>
      </c>
      <c r="S191" s="194" t="s">
        <v>415</v>
      </c>
      <c r="T191" s="195"/>
      <c r="U191" s="56"/>
      <c r="V191" s="196" t="s">
        <v>416</v>
      </c>
      <c r="W191" s="21" t="s">
        <v>43</v>
      </c>
      <c r="X191" s="30">
        <f>0.9*$J191</f>
        <v>0</v>
      </c>
      <c r="Y191" s="30">
        <f>1.5*J191</f>
        <v>0</v>
      </c>
      <c r="Z191" s="21" t="s">
        <v>44</v>
      </c>
      <c r="AA191" s="22">
        <f>0.9*K191</f>
        <v>106.2</v>
      </c>
      <c r="AB191" s="22">
        <f>1.3*K191</f>
        <v>153.4</v>
      </c>
      <c r="AC191" s="21" t="s">
        <v>44</v>
      </c>
      <c r="AD191" s="22" t="s">
        <v>45</v>
      </c>
      <c r="AE191" s="22" t="s">
        <v>46</v>
      </c>
      <c r="AF191" s="22" t="s">
        <v>47</v>
      </c>
      <c r="AG191" s="21" t="s">
        <v>48</v>
      </c>
    </row>
    <row r="192" spans="1:33" ht="275.25" customHeight="1">
      <c r="A192" s="15">
        <v>73</v>
      </c>
      <c r="B192" s="18">
        <f t="shared" ref="B192:B198" si="53">IF(ISNUMBER(A192),
IF(AND(A192=INT(A192), MOD(A192, 10) = 0), 0,
IF(AND(A192=INT(A192), LEN(A192)=2), 1,
IF(AND(A192=INT(A192), LEN(A192)=3), 2,
LEN(A192) - FIND(".", A192) + 2)
)
),
"")</f>
        <v>1</v>
      </c>
      <c r="C192" s="42" t="s">
        <v>417</v>
      </c>
      <c r="D192" s="19" t="str">
        <f t="shared" si="51"/>
        <v xml:space="preserve">      Regulatory Costs</v>
      </c>
      <c r="E192" s="19" t="s">
        <v>35</v>
      </c>
      <c r="F192" s="19"/>
      <c r="G192" s="19"/>
      <c r="H192" s="19"/>
      <c r="I192" s="19"/>
      <c r="J192" s="25">
        <f>(2/100)*5359000</f>
        <v>107180</v>
      </c>
      <c r="K192" s="26"/>
      <c r="L192" s="4"/>
      <c r="M192" s="32"/>
      <c r="N192" s="4"/>
      <c r="O192" s="4"/>
      <c r="P192" s="4"/>
      <c r="Q192" s="29">
        <v>2024</v>
      </c>
      <c r="R192" s="4" t="s">
        <v>53</v>
      </c>
      <c r="S192" s="194"/>
      <c r="T192" s="194"/>
      <c r="U192" s="56" t="s">
        <v>418</v>
      </c>
      <c r="V192" s="196"/>
      <c r="W192" s="11" t="s">
        <v>59</v>
      </c>
      <c r="X192" s="30">
        <f>0.9*$J192</f>
        <v>96462</v>
      </c>
      <c r="Y192" s="30">
        <f>1.5*J192</f>
        <v>160770</v>
      </c>
      <c r="Z192" s="21" t="s">
        <v>44</v>
      </c>
      <c r="AA192" s="22"/>
      <c r="AB192" s="22"/>
      <c r="AC192" s="21"/>
      <c r="AD192" s="22"/>
      <c r="AE192" s="22"/>
      <c r="AF192" s="22"/>
      <c r="AG192" s="21"/>
    </row>
    <row r="193" spans="1:33" ht="225.75" customHeight="1">
      <c r="A193" s="15">
        <v>75</v>
      </c>
      <c r="B193" s="18">
        <f t="shared" si="53"/>
        <v>1</v>
      </c>
      <c r="C193" s="42" t="s">
        <v>419</v>
      </c>
      <c r="D193" s="19" t="str">
        <f t="shared" si="51"/>
        <v xml:space="preserve">      Capital Plant Expenditures</v>
      </c>
      <c r="E193" s="19"/>
      <c r="F193" s="19"/>
      <c r="G193" s="19"/>
      <c r="H193" s="19"/>
      <c r="I193" s="19"/>
      <c r="J193" s="25"/>
      <c r="K193" s="26"/>
      <c r="L193" s="4"/>
      <c r="M193" s="32"/>
      <c r="N193" s="4"/>
      <c r="O193" s="4"/>
      <c r="P193" s="4"/>
      <c r="Q193" s="29"/>
      <c r="R193" s="4"/>
      <c r="S193" s="194"/>
      <c r="T193" s="194"/>
      <c r="U193" s="4"/>
      <c r="V193" s="196"/>
      <c r="W193" s="21"/>
      <c r="X193" s="30"/>
      <c r="Y193" s="30"/>
      <c r="Z193" s="21"/>
      <c r="AA193" s="22"/>
      <c r="AB193" s="22"/>
      <c r="AC193" s="21"/>
      <c r="AD193" s="22"/>
      <c r="AE193" s="22"/>
      <c r="AF193" s="22"/>
      <c r="AG193" s="21"/>
    </row>
    <row r="194" spans="1:33" ht="22.5" customHeight="1">
      <c r="A194" s="15">
        <v>751</v>
      </c>
      <c r="B194" s="18">
        <f t="shared" si="53"/>
        <v>2</v>
      </c>
      <c r="C194" s="42" t="s">
        <v>420</v>
      </c>
      <c r="D194" s="19" t="str">
        <f t="shared" si="51"/>
        <v xml:space="preserve">            Annualized Outer Vessel Structure Replacements</v>
      </c>
      <c r="E194" s="19"/>
      <c r="F194" s="19"/>
      <c r="G194" s="19"/>
      <c r="H194" s="19"/>
      <c r="I194" s="19"/>
      <c r="J194" s="25"/>
      <c r="K194" s="26"/>
      <c r="L194" s="4"/>
      <c r="M194" s="32"/>
      <c r="N194" s="4"/>
      <c r="O194" s="4"/>
      <c r="P194" s="4"/>
      <c r="Q194" s="29"/>
      <c r="R194" s="4"/>
      <c r="S194" s="194"/>
      <c r="T194" s="194"/>
      <c r="U194" s="4"/>
      <c r="V194" s="196"/>
      <c r="W194" s="21"/>
      <c r="X194" s="30"/>
      <c r="Y194" s="30"/>
      <c r="Z194" s="21"/>
      <c r="AA194" s="22"/>
      <c r="AB194" s="22"/>
      <c r="AC194" s="21"/>
      <c r="AD194" s="22"/>
      <c r="AE194" s="22"/>
      <c r="AF194" s="22"/>
      <c r="AG194" s="21"/>
    </row>
    <row r="195" spans="1:33" ht="26.25" customHeight="1">
      <c r="A195" s="15">
        <v>752</v>
      </c>
      <c r="B195" s="18">
        <f t="shared" si="53"/>
        <v>2</v>
      </c>
      <c r="C195" s="42" t="s">
        <v>421</v>
      </c>
      <c r="D195" s="19" t="str">
        <f t="shared" si="51"/>
        <v xml:space="preserve">            Annualized Inner Vessel Structure Replacements</v>
      </c>
      <c r="E195" s="19"/>
      <c r="F195" s="19"/>
      <c r="G195" s="19"/>
      <c r="H195" s="19"/>
      <c r="I195" s="19"/>
      <c r="J195" s="25"/>
      <c r="K195" s="26"/>
      <c r="L195" s="4"/>
      <c r="M195" s="32"/>
      <c r="N195" s="4"/>
      <c r="O195" s="4"/>
      <c r="P195" s="4"/>
      <c r="Q195" s="29"/>
      <c r="R195" s="4"/>
      <c r="S195" s="194"/>
      <c r="T195" s="194"/>
      <c r="U195" s="4"/>
      <c r="V195" s="196"/>
      <c r="W195" s="21"/>
      <c r="X195" s="30"/>
      <c r="Y195" s="30"/>
      <c r="Z195" s="21"/>
      <c r="AA195" s="22"/>
      <c r="AB195" s="22"/>
      <c r="AC195" s="21"/>
      <c r="AD195" s="22"/>
      <c r="AE195" s="22"/>
      <c r="AF195" s="22"/>
      <c r="AG195" s="21"/>
    </row>
    <row r="196" spans="1:33" ht="26.25" customHeight="1">
      <c r="A196" s="15">
        <v>753</v>
      </c>
      <c r="B196" s="18">
        <f t="shared" si="53"/>
        <v>2</v>
      </c>
      <c r="C196" s="42" t="s">
        <v>422</v>
      </c>
      <c r="D196" s="19" t="str">
        <f t="shared" si="51"/>
        <v xml:space="preserve">            Annualized Moderator Replacements</v>
      </c>
      <c r="E196" s="19"/>
      <c r="F196" s="19"/>
      <c r="G196" s="19"/>
      <c r="H196" s="19"/>
      <c r="I196" s="19"/>
      <c r="J196" s="25"/>
      <c r="K196" s="26"/>
      <c r="L196" s="4"/>
      <c r="M196" s="32"/>
      <c r="N196" s="4"/>
      <c r="O196" s="4"/>
      <c r="P196" s="4"/>
      <c r="Q196" s="29"/>
      <c r="R196" s="4"/>
      <c r="S196" s="194"/>
      <c r="T196" s="194"/>
      <c r="U196" s="4"/>
      <c r="V196" s="196"/>
      <c r="W196" s="21"/>
      <c r="X196" s="30"/>
      <c r="Y196" s="30"/>
      <c r="Z196" s="21"/>
      <c r="AA196" s="22"/>
      <c r="AB196" s="22"/>
      <c r="AC196" s="21"/>
      <c r="AD196" s="22"/>
      <c r="AE196" s="22"/>
      <c r="AF196" s="22"/>
      <c r="AG196" s="21"/>
    </row>
    <row r="197" spans="1:33" ht="26.25" customHeight="1">
      <c r="A197" s="15">
        <v>754</v>
      </c>
      <c r="B197" s="18">
        <f t="shared" si="53"/>
        <v>2</v>
      </c>
      <c r="C197" s="42" t="s">
        <v>423</v>
      </c>
      <c r="D197" s="19" t="str">
        <f t="shared" si="51"/>
        <v xml:space="preserve">            Annualized Reflector Replacements</v>
      </c>
      <c r="E197" s="19"/>
      <c r="F197" s="19"/>
      <c r="G197" s="19"/>
      <c r="H197" s="19"/>
      <c r="I197" s="19"/>
      <c r="J197" s="25"/>
      <c r="K197" s="26"/>
      <c r="L197" s="4"/>
      <c r="M197" s="32"/>
      <c r="N197" s="4"/>
      <c r="O197" s="4"/>
      <c r="P197" s="4"/>
      <c r="Q197" s="29"/>
      <c r="R197" s="4"/>
      <c r="S197" s="194"/>
      <c r="T197" s="194"/>
      <c r="U197" s="4"/>
      <c r="V197" s="196"/>
      <c r="W197" s="21"/>
      <c r="X197" s="30"/>
      <c r="Y197" s="30"/>
      <c r="Z197" s="21"/>
      <c r="AA197" s="22"/>
      <c r="AB197" s="22"/>
      <c r="AC197" s="21"/>
      <c r="AD197" s="22"/>
      <c r="AE197" s="22"/>
      <c r="AF197" s="22"/>
      <c r="AG197" s="21"/>
    </row>
    <row r="198" spans="1:33" ht="51.75" customHeight="1">
      <c r="A198" s="15">
        <v>755</v>
      </c>
      <c r="B198" s="18">
        <f t="shared" si="53"/>
        <v>2</v>
      </c>
      <c r="C198" s="42" t="s">
        <v>424</v>
      </c>
      <c r="D198" s="19" t="str">
        <f t="shared" si="51"/>
        <v xml:space="preserve">            Annualized Reactor Control Devices Replacements</v>
      </c>
      <c r="E198" s="19"/>
      <c r="F198" s="19"/>
      <c r="G198" s="19"/>
      <c r="H198" s="19"/>
      <c r="I198" s="19"/>
      <c r="J198" s="25"/>
      <c r="K198" s="26"/>
      <c r="L198" s="4"/>
      <c r="M198" s="32"/>
      <c r="N198" s="4"/>
      <c r="O198" s="4"/>
      <c r="P198" s="4"/>
      <c r="Q198" s="29"/>
      <c r="R198" s="4"/>
      <c r="S198" s="5"/>
      <c r="T198" s="5"/>
      <c r="U198" s="4"/>
      <c r="V198" s="5"/>
      <c r="W198" s="21"/>
      <c r="X198" s="30"/>
      <c r="Y198" s="30"/>
      <c r="Z198" s="21"/>
      <c r="AA198" s="22"/>
      <c r="AB198" s="22"/>
      <c r="AC198" s="21"/>
      <c r="AD198" s="22"/>
      <c r="AE198" s="22"/>
      <c r="AF198" s="22"/>
      <c r="AG198" s="21"/>
    </row>
    <row r="199" spans="1:33" ht="45" customHeight="1">
      <c r="A199" s="15">
        <v>756</v>
      </c>
      <c r="B199" s="18">
        <v>2</v>
      </c>
      <c r="C199" s="42" t="s">
        <v>425</v>
      </c>
      <c r="D199" s="19" t="s">
        <v>426</v>
      </c>
      <c r="E199" s="19"/>
      <c r="F199" s="19"/>
      <c r="G199" s="19"/>
      <c r="H199" s="19"/>
      <c r="I199" s="19"/>
      <c r="J199" s="25"/>
      <c r="K199" s="26"/>
      <c r="L199" s="4"/>
      <c r="M199" s="32"/>
      <c r="N199" s="4"/>
      <c r="O199" s="4"/>
      <c r="P199" s="4"/>
      <c r="Q199" s="29"/>
      <c r="R199" s="4"/>
      <c r="S199" s="5"/>
      <c r="T199" s="5"/>
      <c r="U199" s="4"/>
      <c r="V199" s="5"/>
      <c r="W199" s="21"/>
      <c r="X199" s="30"/>
      <c r="Y199" s="30"/>
      <c r="Z199" s="21"/>
      <c r="AA199" s="22"/>
      <c r="AB199" s="22"/>
      <c r="AC199" s="21"/>
      <c r="AD199" s="22"/>
      <c r="AE199" s="22"/>
      <c r="AF199" s="22"/>
      <c r="AG199" s="21"/>
    </row>
    <row r="200" spans="1:33" ht="45" customHeight="1">
      <c r="A200" s="15">
        <v>757</v>
      </c>
      <c r="B200" s="18">
        <f>IF(ISNUMBER(A200),
IF(AND(A200=INT(A200), MOD(A200, 10) = 0), 0,
IF(AND(A200=INT(A200), LEN(A200)=2), 1,
IF(AND(A200=INT(A200), LEN(A200)=3), 2,
LEN(A200) - FIND(".", A200) + 2)
)
),
"")</f>
        <v>2</v>
      </c>
      <c r="C200" s="42" t="s">
        <v>427</v>
      </c>
      <c r="D200" s="19" t="str">
        <f>REPT("   ", B200*2) &amp; C200</f>
        <v xml:space="preserve">            Annualized Moderator Booster Replacements</v>
      </c>
      <c r="E200" s="19"/>
      <c r="F200" s="19"/>
      <c r="G200" s="19"/>
      <c r="H200" s="19"/>
      <c r="I200" s="19"/>
      <c r="J200" s="25"/>
      <c r="K200" s="26"/>
      <c r="L200" s="4"/>
      <c r="M200" s="32"/>
      <c r="N200" s="4"/>
      <c r="O200" s="4"/>
      <c r="P200" s="4"/>
      <c r="Q200" s="29"/>
      <c r="R200" s="4"/>
      <c r="S200" s="5"/>
      <c r="T200" s="5"/>
      <c r="U200" s="4"/>
      <c r="V200" s="5"/>
      <c r="W200" s="21"/>
      <c r="X200" s="30"/>
      <c r="Y200" s="30"/>
      <c r="Z200" s="21"/>
      <c r="AA200" s="22"/>
      <c r="AB200" s="22"/>
      <c r="AC200" s="21"/>
      <c r="AD200" s="22"/>
      <c r="AE200" s="22"/>
      <c r="AF200" s="22"/>
      <c r="AG200" s="21"/>
    </row>
    <row r="201" spans="1:33" ht="45" customHeight="1">
      <c r="A201" s="15">
        <v>759</v>
      </c>
      <c r="B201" s="18">
        <f>IF(ISNUMBER(A201),
IF(AND(A201=INT(A201), MOD(A201, 10) = 0), 0,
IF(AND(A201=INT(A201), LEN(A201)=2), 1,
IF(AND(A201=INT(A201), LEN(A201)=3), 2,
LEN(A201) - FIND(".", A201) + 2)
)
),
"")</f>
        <v>2</v>
      </c>
      <c r="C201" s="42" t="s">
        <v>428</v>
      </c>
      <c r="D201" s="19" t="str">
        <f>REPT("   ", B201*2) &amp; C201</f>
        <v xml:space="preserve">            Annualized Plant Maintenance (Misc.)</v>
      </c>
      <c r="E201" s="19"/>
      <c r="F201" s="19"/>
      <c r="G201" s="19"/>
      <c r="H201" s="19"/>
      <c r="I201" s="19"/>
      <c r="J201" s="25"/>
      <c r="K201" s="26"/>
      <c r="L201" s="4"/>
      <c r="M201" s="32"/>
      <c r="N201" s="4"/>
      <c r="O201" s="4"/>
      <c r="P201" s="4"/>
      <c r="Q201" s="29"/>
      <c r="R201" s="4"/>
      <c r="S201" s="51"/>
      <c r="T201" s="51"/>
      <c r="U201" s="4"/>
      <c r="V201" s="51"/>
      <c r="W201" s="21"/>
      <c r="X201" s="30"/>
      <c r="Y201" s="30"/>
      <c r="Z201" s="21"/>
      <c r="AA201" s="22"/>
      <c r="AB201" s="22"/>
      <c r="AC201" s="21"/>
      <c r="AD201" s="22"/>
      <c r="AE201" s="22"/>
      <c r="AF201" s="22"/>
      <c r="AG201" s="21"/>
    </row>
    <row r="202" spans="1:33" ht="55.5" customHeight="1">
      <c r="A202" s="15">
        <v>759.1</v>
      </c>
      <c r="B202" s="18">
        <f t="shared" ref="B202:B209" si="54">IF(ISNUMBER(A202),IF(AND(A202=INT(A202),MOD(A202,10)=0),0,IF(AND(A202=INT(A202),LEN(A202)=2),1,IF(AND(A202=INT(A202),LEN(A202)=3),2,LEN(A202)-FIND(".",A202)+2))),"")</f>
        <v>3</v>
      </c>
      <c r="C202" s="42" t="s">
        <v>429</v>
      </c>
      <c r="D202" s="19" t="str">
        <f t="shared" ref="D202:D209" si="55">REPT("   ",B202*2)&amp;C202</f>
        <v xml:space="preserve">                  Annualized Building and Structural Maintenance (Accounts 212–215)</v>
      </c>
      <c r="E202" s="19"/>
      <c r="F202" s="19"/>
      <c r="G202" s="19"/>
      <c r="H202" s="19"/>
      <c r="I202" s="19"/>
      <c r="J202" s="25"/>
      <c r="K202" s="26"/>
      <c r="L202" s="4"/>
      <c r="M202" s="32"/>
      <c r="N202" s="4"/>
      <c r="O202" s="4"/>
      <c r="P202" s="4"/>
      <c r="Q202" s="29"/>
      <c r="R202" s="4"/>
      <c r="S202" s="51"/>
      <c r="T202" s="51"/>
      <c r="U202" s="4"/>
      <c r="V202" s="51"/>
      <c r="W202" s="21"/>
      <c r="X202" s="30"/>
      <c r="Y202" s="30"/>
      <c r="Z202" s="21"/>
      <c r="AA202" s="22"/>
      <c r="AB202" s="22"/>
      <c r="AC202" s="21"/>
      <c r="AD202" s="22"/>
      <c r="AE202" s="22"/>
      <c r="AF202" s="22"/>
      <c r="AG202" s="21"/>
    </row>
    <row r="203" spans="1:33" ht="55.5" customHeight="1">
      <c r="A203" s="15">
        <v>759.2</v>
      </c>
      <c r="B203" s="18">
        <f t="shared" si="54"/>
        <v>3</v>
      </c>
      <c r="C203" s="42" t="s">
        <v>430</v>
      </c>
      <c r="D203" s="19" t="str">
        <f t="shared" si="55"/>
        <v xml:space="preserve">                  Annualized Main Heat Transport System Maintenance (Accounts 222.1–222.3 and 222.6)</v>
      </c>
      <c r="E203" s="19"/>
      <c r="F203" s="19"/>
      <c r="G203" s="19"/>
      <c r="H203" s="19"/>
      <c r="I203" s="19"/>
      <c r="J203" s="25"/>
      <c r="K203" s="26"/>
      <c r="L203" s="4"/>
      <c r="M203" s="32"/>
      <c r="N203" s="4"/>
      <c r="O203" s="4"/>
      <c r="P203" s="4"/>
      <c r="Q203" s="29"/>
      <c r="R203" s="4"/>
      <c r="S203" s="51"/>
      <c r="T203" s="51"/>
      <c r="U203" s="4"/>
      <c r="V203" s="51"/>
      <c r="W203" s="21"/>
      <c r="X203" s="30"/>
      <c r="Y203" s="30"/>
      <c r="Z203" s="21"/>
      <c r="AA203" s="22"/>
      <c r="AB203" s="22"/>
      <c r="AC203" s="21"/>
      <c r="AD203" s="22"/>
      <c r="AE203" s="22"/>
      <c r="AF203" s="22"/>
      <c r="AG203" s="21"/>
    </row>
    <row r="204" spans="1:33" ht="55.5" customHeight="1">
      <c r="A204" s="15">
        <v>759.3</v>
      </c>
      <c r="B204" s="18">
        <f t="shared" si="54"/>
        <v>3</v>
      </c>
      <c r="C204" s="42" t="s">
        <v>431</v>
      </c>
      <c r="D204" s="19" t="str">
        <f t="shared" si="55"/>
        <v xml:space="preserve">                  Annualized Safety System Maintenance (Account 223)</v>
      </c>
      <c r="E204" s="19"/>
      <c r="F204" s="19"/>
      <c r="G204" s="19"/>
      <c r="H204" s="19"/>
      <c r="I204" s="19"/>
      <c r="J204" s="25"/>
      <c r="K204" s="26"/>
      <c r="L204" s="4"/>
      <c r="M204" s="32"/>
      <c r="N204" s="4"/>
      <c r="O204" s="4"/>
      <c r="P204" s="4"/>
      <c r="Q204" s="29"/>
      <c r="R204" s="4"/>
      <c r="S204" s="51"/>
      <c r="T204" s="51"/>
      <c r="U204" s="4"/>
      <c r="V204" s="51"/>
      <c r="W204" s="21"/>
      <c r="X204" s="30"/>
      <c r="Y204" s="30"/>
      <c r="Z204" s="21"/>
      <c r="AA204" s="22"/>
      <c r="AB204" s="22"/>
      <c r="AC204" s="21"/>
      <c r="AD204" s="22"/>
      <c r="AE204" s="22"/>
      <c r="AF204" s="22"/>
      <c r="AG204" s="21"/>
    </row>
    <row r="205" spans="1:33" ht="55.5" customHeight="1">
      <c r="A205" s="15">
        <v>759.4</v>
      </c>
      <c r="B205" s="18">
        <f t="shared" si="54"/>
        <v>3</v>
      </c>
      <c r="C205" s="42" t="s">
        <v>432</v>
      </c>
      <c r="D205" s="19" t="str">
        <f t="shared" si="55"/>
        <v xml:space="preserve">                  Annualized Reactor Plant Equipment Maintenance (Accounts 221.11, 226, and 228)</v>
      </c>
      <c r="E205" s="19"/>
      <c r="F205" s="19"/>
      <c r="G205" s="19"/>
      <c r="H205" s="19"/>
      <c r="I205" s="19"/>
      <c r="J205" s="25"/>
      <c r="K205" s="26"/>
      <c r="L205" s="4"/>
      <c r="M205" s="32"/>
      <c r="N205" s="4"/>
      <c r="O205" s="4"/>
      <c r="P205" s="4"/>
      <c r="Q205" s="29"/>
      <c r="R205" s="4"/>
      <c r="S205" s="51"/>
      <c r="T205" s="51"/>
      <c r="U205" s="4"/>
      <c r="V205" s="51"/>
      <c r="W205" s="21"/>
      <c r="X205" s="30"/>
      <c r="Y205" s="30"/>
      <c r="Z205" s="21"/>
      <c r="AA205" s="22"/>
      <c r="AB205" s="22"/>
      <c r="AC205" s="21"/>
      <c r="AD205" s="22"/>
      <c r="AE205" s="22"/>
      <c r="AF205" s="22"/>
      <c r="AG205" s="21"/>
    </row>
    <row r="206" spans="1:33" ht="55.5" customHeight="1">
      <c r="A206" s="15">
        <v>759.5</v>
      </c>
      <c r="B206" s="18">
        <f t="shared" si="54"/>
        <v>3</v>
      </c>
      <c r="C206" s="42" t="s">
        <v>433</v>
      </c>
      <c r="D206" s="19" t="str">
        <f t="shared" si="55"/>
        <v xml:space="preserve">                  Annualized Reactor I&amp;C Maintenance (Account 227)</v>
      </c>
      <c r="E206" s="19"/>
      <c r="F206" s="19"/>
      <c r="G206" s="19"/>
      <c r="H206" s="19"/>
      <c r="I206" s="19"/>
      <c r="J206" s="25"/>
      <c r="K206" s="26"/>
      <c r="L206" s="4"/>
      <c r="M206" s="32"/>
      <c r="N206" s="4"/>
      <c r="O206" s="4"/>
      <c r="P206" s="4"/>
      <c r="Q206" s="29"/>
      <c r="R206" s="4"/>
      <c r="S206" s="51"/>
      <c r="T206" s="51"/>
      <c r="U206" s="4"/>
      <c r="V206" s="51"/>
      <c r="W206" s="21"/>
      <c r="X206" s="30"/>
      <c r="Y206" s="30"/>
      <c r="Z206" s="21"/>
      <c r="AA206" s="22"/>
      <c r="AB206" s="22"/>
      <c r="AC206" s="21"/>
      <c r="AD206" s="22"/>
      <c r="AE206" s="22"/>
      <c r="AF206" s="22"/>
      <c r="AG206" s="21"/>
    </row>
    <row r="207" spans="1:33" ht="55.5" customHeight="1">
      <c r="A207" s="15">
        <v>759.6</v>
      </c>
      <c r="B207" s="18">
        <f t="shared" si="54"/>
        <v>3</v>
      </c>
      <c r="C207" s="42" t="s">
        <v>434</v>
      </c>
      <c r="D207" s="19" t="str">
        <f t="shared" si="55"/>
        <v xml:space="preserve">                  Annualized Energy Conversion System Maintenance (Account 23)</v>
      </c>
      <c r="E207" s="19"/>
      <c r="F207" s="19"/>
      <c r="G207" s="19"/>
      <c r="H207" s="19"/>
      <c r="I207" s="19"/>
      <c r="J207" s="25"/>
      <c r="K207" s="26"/>
      <c r="L207" s="4"/>
      <c r="M207" s="32"/>
      <c r="N207" s="4"/>
      <c r="O207" s="4"/>
      <c r="P207" s="4"/>
      <c r="Q207" s="29"/>
      <c r="R207" s="4"/>
      <c r="S207" s="51"/>
      <c r="T207" s="51"/>
      <c r="U207" s="4"/>
      <c r="V207" s="51"/>
      <c r="W207" s="21"/>
      <c r="X207" s="30"/>
      <c r="Y207" s="30"/>
      <c r="Z207" s="21"/>
      <c r="AA207" s="22"/>
      <c r="AB207" s="22"/>
      <c r="AC207" s="21"/>
      <c r="AD207" s="22"/>
      <c r="AE207" s="22"/>
      <c r="AF207" s="22"/>
      <c r="AG207" s="21"/>
    </row>
    <row r="208" spans="1:33" ht="55.5" customHeight="1">
      <c r="A208" s="15">
        <v>759.7</v>
      </c>
      <c r="B208" s="18">
        <f t="shared" si="54"/>
        <v>3</v>
      </c>
      <c r="C208" s="42" t="s">
        <v>435</v>
      </c>
      <c r="D208" s="19" t="str">
        <f t="shared" si="55"/>
        <v xml:space="preserve">                  Annualized Electrical Equipment Maintenance (Account 24)</v>
      </c>
      <c r="E208" s="19"/>
      <c r="F208" s="19"/>
      <c r="G208" s="19"/>
      <c r="H208" s="19"/>
      <c r="I208" s="19"/>
      <c r="J208" s="25"/>
      <c r="K208" s="26"/>
      <c r="L208" s="4"/>
      <c r="M208" s="32"/>
      <c r="N208" s="4"/>
      <c r="O208" s="4"/>
      <c r="P208" s="4"/>
      <c r="Q208" s="29"/>
      <c r="R208" s="4"/>
      <c r="S208" s="51"/>
      <c r="T208" s="51"/>
      <c r="U208" s="4"/>
      <c r="V208" s="51"/>
      <c r="W208" s="21"/>
      <c r="X208" s="30"/>
      <c r="Y208" s="30"/>
      <c r="Z208" s="21"/>
      <c r="AA208" s="22"/>
      <c r="AB208" s="22"/>
      <c r="AC208" s="21"/>
      <c r="AD208" s="22"/>
      <c r="AE208" s="22"/>
      <c r="AF208" s="22"/>
      <c r="AG208" s="21"/>
    </row>
    <row r="209" spans="1:33" ht="55.5" customHeight="1">
      <c r="A209" s="15">
        <v>759.8</v>
      </c>
      <c r="B209" s="18">
        <f t="shared" si="54"/>
        <v>3</v>
      </c>
      <c r="C209" s="42" t="s">
        <v>436</v>
      </c>
      <c r="D209" s="19" t="str">
        <f t="shared" si="55"/>
        <v xml:space="preserve">                  Annualized Miscellaneous Equipment Maintenance (Account 26)</v>
      </c>
      <c r="E209" s="19"/>
      <c r="F209" s="19"/>
      <c r="G209" s="19"/>
      <c r="H209" s="19"/>
      <c r="I209" s="19"/>
      <c r="J209" s="25"/>
      <c r="K209" s="26"/>
      <c r="L209" s="4"/>
      <c r="M209" s="32"/>
      <c r="N209" s="4"/>
      <c r="O209" s="4"/>
      <c r="P209" s="4"/>
      <c r="Q209" s="29"/>
      <c r="R209" s="4"/>
      <c r="S209" s="51"/>
      <c r="T209" s="51"/>
      <c r="U209" s="4"/>
      <c r="V209" s="51"/>
      <c r="W209" s="21"/>
      <c r="X209" s="30"/>
      <c r="Y209" s="30"/>
      <c r="Z209" s="21"/>
      <c r="AA209" s="22"/>
      <c r="AB209" s="22"/>
      <c r="AC209" s="21"/>
      <c r="AD209" s="22"/>
      <c r="AE209" s="22"/>
      <c r="AF209" s="22"/>
      <c r="AG209" s="21"/>
    </row>
    <row r="210" spans="1:33" ht="53.25" customHeight="1">
      <c r="A210" s="15">
        <v>78</v>
      </c>
      <c r="B210" s="18">
        <f>IF(ISNUMBER(A210),
    IF(AND(A210=INT(A210), MOD(A210, 10) = 0), 0,
        IF(AND(A210=INT(A210), LEN(A210)=2), 1,
            IF(AND(A210=INT(A210), LEN(A210)=3), 2,
                LEN(A210) - FIND(".", A210) + 2)
        )
    ),
"")</f>
        <v>1</v>
      </c>
      <c r="C210" s="42" t="s">
        <v>437</v>
      </c>
      <c r="D210" s="19" t="str">
        <f>REPT("   ", B210*2) &amp; C210</f>
        <v xml:space="preserve">      Annualized Decommissioning Cost</v>
      </c>
      <c r="E210" s="19"/>
      <c r="F210" s="19"/>
      <c r="G210" s="19"/>
      <c r="H210" s="19"/>
      <c r="I210" s="19"/>
      <c r="J210" s="25"/>
      <c r="K210" s="60"/>
      <c r="L210" s="4"/>
      <c r="M210" s="27"/>
      <c r="N210" s="4"/>
      <c r="O210" s="4"/>
      <c r="P210" s="4"/>
      <c r="Q210" s="29"/>
      <c r="R210" s="4"/>
      <c r="S210" s="32"/>
      <c r="T210" s="32"/>
      <c r="U210" s="4"/>
      <c r="V210" s="32" t="s">
        <v>438</v>
      </c>
      <c r="W210" s="21"/>
      <c r="X210" s="30"/>
      <c r="Y210" s="30"/>
      <c r="Z210" s="21"/>
      <c r="AA210" s="22"/>
      <c r="AB210" s="22"/>
      <c r="AC210" s="21"/>
      <c r="AD210" s="22"/>
      <c r="AE210" s="22"/>
      <c r="AF210" s="22"/>
      <c r="AG210" s="21"/>
    </row>
    <row r="211" spans="1:33" ht="26.25" customHeight="1">
      <c r="A211" s="15">
        <v>80</v>
      </c>
      <c r="B211" s="18">
        <f>IF(ISNUMBER(A211),
IF(AND(A211=INT(A211), MOD(A211, 10) = 0), 0,
IF(AND(A211=INT(A211), LEN(A211)=2), 1,
IF(AND(A211=INT(A211), LEN(A211)=3), 2,
LEN(A211) - FIND(".", A211) + 2)
)
),
"")</f>
        <v>0</v>
      </c>
      <c r="C211" s="59" t="s">
        <v>439</v>
      </c>
      <c r="D211" s="19" t="str">
        <f>REPT("   ", B211*2) &amp; C211</f>
        <v>Annualized Fuel Cost</v>
      </c>
      <c r="E211" s="19"/>
      <c r="F211" s="19"/>
      <c r="G211" s="19"/>
      <c r="H211" s="19"/>
      <c r="I211" s="19"/>
      <c r="J211" s="20"/>
      <c r="K211" s="20"/>
      <c r="L211" s="18"/>
      <c r="M211" s="14"/>
      <c r="N211" s="18"/>
      <c r="O211" s="18"/>
      <c r="P211" s="18"/>
      <c r="Q211" s="20"/>
      <c r="R211" s="18"/>
      <c r="S211" s="14"/>
      <c r="T211" s="18"/>
      <c r="U211" s="18"/>
      <c r="V211" s="18"/>
      <c r="W211" s="21"/>
      <c r="X211" s="30"/>
      <c r="Y211" s="30"/>
      <c r="Z211" s="21"/>
      <c r="AA211" s="22"/>
      <c r="AB211" s="22"/>
      <c r="AC211" s="21"/>
      <c r="AD211" s="22"/>
      <c r="AE211" s="22"/>
      <c r="AF211" s="22"/>
      <c r="AG211" s="21"/>
    </row>
    <row r="212" spans="1:33" ht="150.75" customHeight="1">
      <c r="A212" s="15">
        <v>81</v>
      </c>
      <c r="B212" s="18">
        <f>IF(ISNUMBER(A212),
IF(AND(A212=INT(A212), MOD(A212, 10) = 0), 0,
IF(AND(A212=INT(A212), LEN(A212)=2), 1,
IF(AND(A212=INT(A212), LEN(A212)=3), 2,
LEN(A212) - FIND(".", A212) + 2)
)
),
"")</f>
        <v>1</v>
      </c>
      <c r="C212" s="42" t="s">
        <v>440</v>
      </c>
      <c r="D212" s="19" t="str">
        <f>REPT("   ", B212*2) &amp; C212</f>
        <v xml:space="preserve">      Refueling Operations</v>
      </c>
      <c r="E212" s="19" t="s">
        <v>290</v>
      </c>
      <c r="F212" s="19"/>
      <c r="G212" s="19"/>
      <c r="H212" s="19"/>
      <c r="I212" s="19"/>
      <c r="J212" s="25"/>
      <c r="K212" s="26">
        <v>178500</v>
      </c>
      <c r="L212" s="4" t="s">
        <v>404</v>
      </c>
      <c r="M212" s="32" t="s">
        <v>405</v>
      </c>
      <c r="N212" s="4"/>
      <c r="O212" s="4"/>
      <c r="P212" s="4">
        <v>1</v>
      </c>
      <c r="Q212" s="29">
        <v>2024</v>
      </c>
      <c r="R212" s="4" t="s">
        <v>53</v>
      </c>
      <c r="S212" s="32"/>
      <c r="T212" s="32" t="s">
        <v>406</v>
      </c>
      <c r="U212" s="4"/>
      <c r="V212" s="4"/>
      <c r="W212" s="21" t="s">
        <v>43</v>
      </c>
      <c r="X212" s="30">
        <f>0.9*$J212</f>
        <v>0</v>
      </c>
      <c r="Y212" s="30">
        <f>1.5*J212</f>
        <v>0</v>
      </c>
      <c r="Z212" s="21" t="s">
        <v>44</v>
      </c>
      <c r="AA212" s="22">
        <f>0.9*K212</f>
        <v>160650</v>
      </c>
      <c r="AB212" s="22">
        <f>1.3*K212</f>
        <v>232050</v>
      </c>
      <c r="AC212" s="21" t="s">
        <v>44</v>
      </c>
      <c r="AD212" s="22" t="s">
        <v>45</v>
      </c>
      <c r="AE212" s="22" t="s">
        <v>46</v>
      </c>
      <c r="AF212" s="22" t="s">
        <v>47</v>
      </c>
      <c r="AG212" s="21" t="s">
        <v>48</v>
      </c>
    </row>
    <row r="213" spans="1:33" ht="26.25" customHeight="1">
      <c r="A213" s="15">
        <v>82</v>
      </c>
      <c r="B213" s="18">
        <f>IF(ISNUMBER(A213),
IF(AND(A213=INT(A213), MOD(A213, 10) = 0), 0,
IF(AND(A213=INT(A213), LEN(A213)=2), 1,
IF(AND(A213=INT(A213), LEN(A213)=3), 2,
LEN(A213) - FIND(".", A213) + 2)
)
),
"")</f>
        <v>1</v>
      </c>
      <c r="C213" s="42" t="s">
        <v>441</v>
      </c>
      <c r="D213" s="19" t="str">
        <f>REPT("   ", B213*2) &amp; C213</f>
        <v xml:space="preserve">      Additional Nuclear Fuel</v>
      </c>
      <c r="E213" s="19"/>
      <c r="F213" s="19"/>
      <c r="G213" s="19"/>
      <c r="H213" s="19"/>
      <c r="I213" s="19"/>
      <c r="J213" s="25"/>
      <c r="K213" s="26"/>
      <c r="L213" s="4"/>
      <c r="M213" s="32"/>
      <c r="N213" s="4"/>
      <c r="O213" s="4"/>
      <c r="P213" s="4"/>
      <c r="Q213" s="29"/>
      <c r="R213" s="4"/>
      <c r="S213" s="32"/>
      <c r="T213" s="4"/>
      <c r="U213" s="4"/>
      <c r="V213" s="4"/>
      <c r="W213" s="21"/>
      <c r="X213" s="30"/>
      <c r="Y213" s="30"/>
      <c r="Z213" s="21"/>
      <c r="AA213" s="22"/>
      <c r="AB213" s="22"/>
      <c r="AC213" s="21"/>
      <c r="AD213" s="22"/>
      <c r="AE213" s="22"/>
      <c r="AF213" s="22"/>
      <c r="AG213" s="21"/>
    </row>
    <row r="214" spans="1:33" ht="51.75" customHeight="1">
      <c r="A214" s="15">
        <v>83</v>
      </c>
      <c r="B214" s="18">
        <f>IF(ISNUMBER(A214),
IF(AND(A214=INT(A214), MOD(A214, 10) = 0), 0,
IF(AND(A214=INT(A214), LEN(A214)=2), 1,
IF(AND(A214=INT(A214), LEN(A214)=3), 2,
LEN(A214) - FIND(".", A214) + 2)
)
),
"")</f>
        <v>1</v>
      </c>
      <c r="C214" s="42" t="s">
        <v>442</v>
      </c>
      <c r="D214" s="19" t="str">
        <f>REPT("   ", B214*2) &amp; C214</f>
        <v xml:space="preserve">      Spent Fuel Management</v>
      </c>
      <c r="E214" s="19" t="s">
        <v>35</v>
      </c>
      <c r="F214" s="19"/>
      <c r="G214" s="19"/>
      <c r="H214" s="19"/>
      <c r="I214" s="19"/>
      <c r="J214" s="25"/>
      <c r="K214" s="26">
        <v>1</v>
      </c>
      <c r="L214" s="4" t="s">
        <v>443</v>
      </c>
      <c r="M214" s="32" t="s">
        <v>444</v>
      </c>
      <c r="N214" s="4"/>
      <c r="O214" s="4"/>
      <c r="P214" s="4">
        <v>1</v>
      </c>
      <c r="Q214" s="29">
        <v>2024</v>
      </c>
      <c r="R214" s="4" t="s">
        <v>96</v>
      </c>
      <c r="S214" s="32"/>
      <c r="T214" s="4"/>
      <c r="U214" s="4"/>
      <c r="V214" s="4"/>
      <c r="W214" s="21" t="s">
        <v>43</v>
      </c>
      <c r="X214" s="30">
        <f>0.9*$J214</f>
        <v>0</v>
      </c>
      <c r="Y214" s="30">
        <f>1.5*J214</f>
        <v>0</v>
      </c>
      <c r="Z214" s="21" t="s">
        <v>44</v>
      </c>
      <c r="AA214" s="22">
        <f>0.9*K214</f>
        <v>0.9</v>
      </c>
      <c r="AB214" s="22">
        <f>1.3*K214</f>
        <v>1.3</v>
      </c>
      <c r="AC214" s="21" t="s">
        <v>44</v>
      </c>
      <c r="AD214" s="22" t="s">
        <v>45</v>
      </c>
      <c r="AE214" s="22" t="s">
        <v>46</v>
      </c>
      <c r="AF214" s="22" t="s">
        <v>47</v>
      </c>
      <c r="AG214" s="21" t="s">
        <v>48</v>
      </c>
    </row>
  </sheetData>
  <mergeCells count="53">
    <mergeCell ref="T3:T4"/>
    <mergeCell ref="U3:U4"/>
    <mergeCell ref="U5:U6"/>
    <mergeCell ref="S11:S13"/>
    <mergeCell ref="T11:T13"/>
    <mergeCell ref="U11:U13"/>
    <mergeCell ref="S19:S21"/>
    <mergeCell ref="T19:T21"/>
    <mergeCell ref="U19:U21"/>
    <mergeCell ref="S26:S28"/>
    <mergeCell ref="T26:T28"/>
    <mergeCell ref="U26:U28"/>
    <mergeCell ref="S30:S32"/>
    <mergeCell ref="T30:T32"/>
    <mergeCell ref="U30:U32"/>
    <mergeCell ref="S34:S36"/>
    <mergeCell ref="T34:T36"/>
    <mergeCell ref="U34:U36"/>
    <mergeCell ref="S41:S43"/>
    <mergeCell ref="T41:T43"/>
    <mergeCell ref="U41:U43"/>
    <mergeCell ref="S45:S47"/>
    <mergeCell ref="T45:T47"/>
    <mergeCell ref="U45:U47"/>
    <mergeCell ref="S56:S58"/>
    <mergeCell ref="T56:T58"/>
    <mergeCell ref="U56:U58"/>
    <mergeCell ref="S64:S66"/>
    <mergeCell ref="T64:T66"/>
    <mergeCell ref="U64:U66"/>
    <mergeCell ref="V64:V66"/>
    <mergeCell ref="S71:S73"/>
    <mergeCell ref="T71:T73"/>
    <mergeCell ref="U71:U73"/>
    <mergeCell ref="S75:S77"/>
    <mergeCell ref="T75:T77"/>
    <mergeCell ref="U75:U77"/>
    <mergeCell ref="T85:T90"/>
    <mergeCell ref="T93:T97"/>
    <mergeCell ref="U93:U97"/>
    <mergeCell ref="U103:U113"/>
    <mergeCell ref="T123:T124"/>
    <mergeCell ref="U123:U124"/>
    <mergeCell ref="S173:S176"/>
    <mergeCell ref="S191:S197"/>
    <mergeCell ref="T191:T197"/>
    <mergeCell ref="V191:V197"/>
    <mergeCell ref="V123:V124"/>
    <mergeCell ref="V137:V138"/>
    <mergeCell ref="S152:S157"/>
    <mergeCell ref="T152:T157"/>
    <mergeCell ref="S159:S164"/>
    <mergeCell ref="T159:T164"/>
  </mergeCells>
  <phoneticPr fontId="36" type="noConversion"/>
  <conditionalFormatting sqref="A67:A68 C67:G68 J67:U68 W67:AG68">
    <cfRule type="expression" dxfId="160" priority="57">
      <formula>$B67&lt;2</formula>
    </cfRule>
  </conditionalFormatting>
  <conditionalFormatting sqref="A67:A68 C67:G68">
    <cfRule type="expression" dxfId="159" priority="49">
      <formula>$B67=0</formula>
    </cfRule>
  </conditionalFormatting>
  <conditionalFormatting sqref="A48:G53 J53:AG53 A78:A80 C78:G80 J78:AG80">
    <cfRule type="expression" dxfId="158" priority="65">
      <formula>$B48=2</formula>
    </cfRule>
    <cfRule type="expression" dxfId="157" priority="66">
      <formula>$B48&lt;2</formula>
    </cfRule>
  </conditionalFormatting>
  <conditionalFormatting sqref="A170:R171">
    <cfRule type="expression" dxfId="156" priority="23">
      <formula>$B170=2</formula>
    </cfRule>
    <cfRule type="expression" dxfId="155" priority="24">
      <formula>$B170=3</formula>
    </cfRule>
  </conditionalFormatting>
  <conditionalFormatting sqref="A170:S171">
    <cfRule type="expression" dxfId="154" priority="22">
      <formula>$B170&lt;2</formula>
    </cfRule>
  </conditionalFormatting>
  <conditionalFormatting sqref="A170:S172 U170:AG172">
    <cfRule type="expression" dxfId="153" priority="5">
      <formula>$B170=0</formula>
    </cfRule>
  </conditionalFormatting>
  <conditionalFormatting sqref="A172:S172 U170:AG172">
    <cfRule type="expression" dxfId="152" priority="11">
      <formula>$B170&lt;2</formula>
    </cfRule>
  </conditionalFormatting>
  <conditionalFormatting sqref="C67:G68 A67:A68 J67:U68 J48:AG50 J51:R52 T51:AG52">
    <cfRule type="expression" dxfId="151" priority="74">
      <formula>$B48=3</formula>
    </cfRule>
  </conditionalFormatting>
  <conditionalFormatting sqref="D48:D53">
    <cfRule type="colorScale" priority="77">
      <colorScale>
        <cfvo type="min"/>
        <cfvo type="max"/>
        <color rgb="FFFF7128"/>
        <color rgb="FFFFEF9C"/>
      </colorScale>
    </cfRule>
  </conditionalFormatting>
  <conditionalFormatting sqref="D67:D68">
    <cfRule type="colorScale" priority="59">
      <colorScale>
        <cfvo type="min"/>
        <cfvo type="max"/>
        <color rgb="FFFF7128"/>
        <color rgb="FFFFEF9C"/>
      </colorScale>
    </cfRule>
  </conditionalFormatting>
  <conditionalFormatting sqref="D78:D80">
    <cfRule type="colorScale" priority="39">
      <colorScale>
        <cfvo type="min"/>
        <cfvo type="max"/>
        <color rgb="FFFF7128"/>
        <color rgb="FFFFEF9C"/>
      </colorScale>
    </cfRule>
  </conditionalFormatting>
  <conditionalFormatting sqref="F67:G68">
    <cfRule type="expression" dxfId="150" priority="52">
      <formula>$B67&lt;2</formula>
    </cfRule>
    <cfRule type="expression" dxfId="149" priority="51">
      <formula>$B67=2</formula>
    </cfRule>
    <cfRule type="expression" dxfId="148" priority="50">
      <formula>$B67=3</formula>
    </cfRule>
  </conditionalFormatting>
  <conditionalFormatting sqref="J170:K172">
    <cfRule type="expression" dxfId="147" priority="10">
      <formula>AND(ISBLANK($J170),ISBLANK($K170),NOT(ISBLANK($E170)))</formula>
    </cfRule>
  </conditionalFormatting>
  <conditionalFormatting sqref="J170:L172 N170:Q172">
    <cfRule type="expression" dxfId="146" priority="6">
      <formula>_xlfn.ISFORMULA(J170)</formula>
    </cfRule>
  </conditionalFormatting>
  <conditionalFormatting sqref="J48:Q53">
    <cfRule type="expression" dxfId="145" priority="73">
      <formula>_xlfn.ISFORMULA(J48)</formula>
    </cfRule>
  </conditionalFormatting>
  <conditionalFormatting sqref="J67:Q68">
    <cfRule type="expression" dxfId="144" priority="54">
      <formula>_xlfn.ISFORMULA(J67)</formula>
    </cfRule>
  </conditionalFormatting>
  <conditionalFormatting sqref="J78:Q80">
    <cfRule type="expression" dxfId="143" priority="37">
      <formula>_xlfn.ISFORMULA(J78)</formula>
    </cfRule>
  </conditionalFormatting>
  <conditionalFormatting sqref="J67:U68 J78:AG79 J80:P80 J48:AG50 A48:G53 J51:R52 T51:AG52 J53:AG53 A78:A80 C78:G80">
    <cfRule type="expression" dxfId="142" priority="72">
      <formula>$B48=0</formula>
    </cfRule>
  </conditionalFormatting>
  <conditionalFormatting sqref="J48:AG50 J51:R52 T51:AG52">
    <cfRule type="expression" dxfId="141" priority="75">
      <formula>$B48=2</formula>
    </cfRule>
    <cfRule type="expression" dxfId="140" priority="76">
      <formula>$B48&lt;2</formula>
    </cfRule>
  </conditionalFormatting>
  <conditionalFormatting sqref="J53:AG53 C78:G80 A48:G53 A78:A80 J78:AG80">
    <cfRule type="expression" dxfId="139" priority="64">
      <formula>$B48=3</formula>
    </cfRule>
  </conditionalFormatting>
  <conditionalFormatting sqref="S52">
    <cfRule type="expression" dxfId="138" priority="70">
      <formula>$B52=2</formula>
    </cfRule>
    <cfRule type="expression" dxfId="137" priority="68">
      <formula>$B52=0</formula>
    </cfRule>
    <cfRule type="expression" dxfId="136" priority="69">
      <formula>$B52=3</formula>
    </cfRule>
    <cfRule type="expression" dxfId="135" priority="71">
      <formula>$B52&lt;2</formula>
    </cfRule>
  </conditionalFormatting>
  <conditionalFormatting sqref="S170:S171">
    <cfRule type="expression" dxfId="134" priority="16">
      <formula>$B170=3</formula>
    </cfRule>
    <cfRule type="expression" dxfId="133" priority="15">
      <formula>$B170=2</formula>
    </cfRule>
  </conditionalFormatting>
  <conditionalFormatting sqref="S79:T79">
    <cfRule type="expression" dxfId="132" priority="32">
      <formula>$B79=0</formula>
    </cfRule>
  </conditionalFormatting>
  <conditionalFormatting sqref="T51">
    <cfRule type="expression" dxfId="131" priority="62">
      <formula>$B51=3</formula>
    </cfRule>
    <cfRule type="expression" dxfId="130" priority="61">
      <formula>$B51=0</formula>
    </cfRule>
  </conditionalFormatting>
  <conditionalFormatting sqref="T53">
    <cfRule type="expression" dxfId="129" priority="48">
      <formula>$B53&lt;2</formula>
    </cfRule>
    <cfRule type="expression" dxfId="128" priority="47">
      <formula>$B53=2</formula>
    </cfRule>
    <cfRule type="expression" dxfId="127" priority="46">
      <formula>$B53=3</formula>
    </cfRule>
  </conditionalFormatting>
  <conditionalFormatting sqref="T61">
    <cfRule type="expression" dxfId="126" priority="30">
      <formula>$B61&lt;2</formula>
    </cfRule>
    <cfRule type="expression" dxfId="125" priority="31">
      <formula>$B61=0</formula>
    </cfRule>
    <cfRule type="expression" dxfId="124" priority="25">
      <formula>$B61=3</formula>
    </cfRule>
    <cfRule type="expression" dxfId="123" priority="26">
      <formula>$B61=2</formula>
    </cfRule>
    <cfRule type="expression" dxfId="122" priority="27">
      <formula>$B61&lt;2</formula>
    </cfRule>
    <cfRule type="expression" dxfId="121" priority="28">
      <formula>$B61=3</formula>
    </cfRule>
    <cfRule type="expression" dxfId="120" priority="29">
      <formula>$B61=2</formula>
    </cfRule>
  </conditionalFormatting>
  <conditionalFormatting sqref="T68">
    <cfRule type="expression" dxfId="119" priority="43">
      <formula>$B68=3</formula>
    </cfRule>
    <cfRule type="expression" dxfId="118" priority="44">
      <formula>$B68=2</formula>
    </cfRule>
    <cfRule type="expression" dxfId="117" priority="45">
      <formula>$B68&lt;2</formula>
    </cfRule>
    <cfRule type="expression" dxfId="116" priority="41">
      <formula>$B68=2</formula>
    </cfRule>
    <cfRule type="expression" dxfId="115" priority="40">
      <formula>$B68=3</formula>
    </cfRule>
    <cfRule type="expression" dxfId="114" priority="42">
      <formula>$B68&lt;2</formula>
    </cfRule>
  </conditionalFormatting>
  <conditionalFormatting sqref="T170:T172">
    <cfRule type="expression" dxfId="113" priority="4">
      <formula>$B170&lt;2</formula>
    </cfRule>
    <cfRule type="expression" dxfId="112" priority="3">
      <formula>$B170=2</formula>
    </cfRule>
    <cfRule type="expression" dxfId="111" priority="2">
      <formula>$B170=3</formula>
    </cfRule>
    <cfRule type="expression" dxfId="110" priority="1">
      <formula>$B170=0</formula>
    </cfRule>
  </conditionalFormatting>
  <conditionalFormatting sqref="U170:AG172 A172:S172">
    <cfRule type="expression" dxfId="109" priority="13">
      <formula>$B170=3</formula>
    </cfRule>
    <cfRule type="expression" dxfId="108" priority="12">
      <formula>$B170=2</formula>
    </cfRule>
  </conditionalFormatting>
  <conditionalFormatting sqref="W67:AG68 C67:G68 J67:U68 A67:A68">
    <cfRule type="expression" dxfId="107" priority="56">
      <formula>$B67=2</formula>
    </cfRule>
  </conditionalFormatting>
  <conditionalFormatting sqref="W67:AG68">
    <cfRule type="expression" dxfId="106" priority="58">
      <formula>$B67=0</formula>
    </cfRule>
    <cfRule type="expression" dxfId="105" priority="55">
      <formula>$B67=3</formula>
    </cfRule>
  </conditionalFormatting>
  <conditionalFormatting sqref="W79:AG79 Q80:AG80">
    <cfRule type="expression" dxfId="104" priority="33">
      <formula>$B79=0</formula>
    </cfRule>
  </conditionalFormatting>
  <conditionalFormatting sqref="X170:Z172">
    <cfRule type="expression" dxfId="103" priority="9">
      <formula>AND(ISBLANK($X170),ISBLANK($Y170),ISBLANK($Z170),NOT(ISBLANK($E170)))</formula>
    </cfRule>
  </conditionalFormatting>
  <conditionalFormatting sqref="AA170:AC172">
    <cfRule type="expression" dxfId="102" priority="8">
      <formula>AND(ISBLANK($AA170),ISBLANK($AB170),ISBLANK($AC170),NOT(ISBLANK($E170)))</formula>
    </cfRule>
  </conditionalFormatting>
  <conditionalFormatting sqref="AD170:AG172">
    <cfRule type="expression" dxfId="101" priority="7">
      <formula>AND(ISBLANK($AD170),ISBLANK($AE170),ISBLANK($AF170),NOT(ISBLANK($E170)))</formula>
    </cfRule>
  </conditionalFormatting>
  <dataValidations count="24">
    <dataValidation type="whole" allowBlank="1" showInputMessage="1" showErrorMessage="1" sqref="Q2:Q166 Q168:Q218" xr:uid="{00000000-0002-0000-0000-000000000000}">
      <formula1>1950</formula1>
      <formula2>2025</formula2>
    </dataValidation>
    <dataValidation type="decimal" operator="greaterThan" allowBlank="1" showInputMessage="1" showErrorMessage="1" sqref="K64:K66 J2:K9 K54:K59 J75:K77 K71:K73 J69:J74 J81:J144 K84:K96 N88:N100 K101 N102:N120 K111:K121 K123:K164 J147:J148 J151:J158 N81:N84 J184:K210 K11:K47 J10:J47 N1:N47 N54:N66 J54:J66 N69:N77 J162:J169 N122:N1214 K166:K183 J173:J183" xr:uid="{00000000-0002-0000-0000-000001000000}">
      <formula1>0</formula1>
      <formula2>0</formula2>
    </dataValidation>
    <dataValidation type="list" allowBlank="1" showInputMessage="1" showErrorMessage="1" sqref="M377:M387" xr:uid="{00000000-0002-0000-0000-000002000000}">
      <formula1>"Land Area,Power MWe,Excavation Volume,Reactor Building Slab Roof Volume,	Reactor Building  Basement Volume,Reactor Building  Exterior Walls Volume,		Turbine Building Slab Roof Volume,	Turbine Building  Basement Volume,	Turbine Building  Exterior Wall"</formula1>
      <formula2>0</formula2>
    </dataValidation>
    <dataValidation type="list" allowBlank="1" showInputMessage="1" showErrorMessage="1" sqref="L1 L219:L1214" xr:uid="{00000000-0002-0000-0000-000003000000}">
      <formula1>"$/acres,$/MWe,$/m^3,$/MWt"</formula1>
      <formula2>0</formula2>
    </dataValidation>
    <dataValidation type="whole" allowBlank="1" showInputMessage="1" showErrorMessage="1" sqref="P219:P356" xr:uid="{00000000-0002-0000-0000-000004000000}">
      <formula1>0</formula1>
      <formula2>2</formula2>
    </dataValidation>
    <dataValidation type="decimal" allowBlank="1" showInputMessage="1" showErrorMessage="1" sqref="P2:P97 P99:P151 P158:P169 P173:P218" xr:uid="{00000000-0002-0000-0000-000005000000}">
      <formula1>0</formula1>
      <formula2>2</formula2>
    </dataValidation>
    <dataValidation type="list" allowBlank="1" showInputMessage="1" showErrorMessage="1" sqref="O2:O13 O15 O81:O97 O99:O148 O151 O18:O47 O54:O66 O69:O77 O158:O169 O173:O218" xr:uid="{00000000-0002-0000-0000-000006000000}">
      <formula1>"acres,MWe,m^3,MWt,Kg,Drums,kW,$,m^2,kg/s"</formula1>
      <formula2>0</formula2>
    </dataValidation>
    <dataValidation type="list" allowBlank="1" showInputMessage="1" showErrorMessage="1" sqref="L2:L13 L15 L81:L97 L99:L127 L129:L151 L18:L47 L54:L66 L69:L77 L158:L169 L173:L218" xr:uid="{00000000-0002-0000-0000-000007000000}">
      <formula1>"$/m^2,$/MWeHour,$/FTE,$/acres,$/MWe,$/m^3,$/MWt,$/Kg,$/Drum,$/(kg.sec),$/SWU,unitless,$/kWe"</formula1>
      <formula2>0</formula2>
    </dataValidation>
    <dataValidation type="list" allowBlank="1" showInputMessage="1" showErrorMessage="1" sqref="O149:O150" xr:uid="{00000000-0002-0000-0000-000008000000}">
      <formula1>"acres,MWe,m^3,MWt,Kg,Drums,kW,$,m^2,kg/s,kWe"</formula1>
      <formula2>0</formula2>
    </dataValidation>
    <dataValidation type="list" allowBlank="1" showInputMessage="1" showErrorMessage="1" sqref="L98 L152:L157" xr:uid="{00000000-0002-0000-0000-000009000000}">
      <formula1>"$/MWeHour,$/FTE,$/acres,$/MWe,$/m^3,$/MWt,$/Kg,$/Drum,$/(kg.sec),$/SWU,unitless"</formula1>
      <formula2>0</formula2>
    </dataValidation>
    <dataValidation type="list" allowBlank="1" showInputMessage="1" showErrorMessage="1" sqref="O98 O152:O157" xr:uid="{00000000-0002-0000-0000-00000A000000}">
      <formula1>"acres,MWe,m^3,MWt,Kg,Drums,kW,$"</formula1>
      <formula2>0</formula2>
    </dataValidation>
    <dataValidation type="decimal" allowBlank="1" showInputMessage="1" showErrorMessage="1" sqref="P98 P152:P157" xr:uid="{00000000-0002-0000-0000-00000B000000}">
      <formula1>0</formula1>
      <formula2>1</formula2>
    </dataValidation>
    <dataValidation type="list" allowBlank="1" showInputMessage="1" showErrorMessage="1" sqref="E2:E47 E54:E66 E69:E77 E81:E218" xr:uid="{00000000-0002-0000-0000-00000C000000}">
      <formula1>"standard,nonstandard"</formula1>
      <formula2>0</formula2>
    </dataValidation>
    <dataValidation type="list" allowBlank="1" showInputMessage="1" showErrorMessage="1" sqref="R2:R47 R54:R66 R69:R77 R81:R218" xr:uid="{00000000-0002-0000-0000-00000D000000}">
      <formula1>"NA,General,Labor,Material,Equipment,Lab and Mat and Equip,'Lab and Equip"</formula1>
      <formula2>0</formula2>
    </dataValidation>
    <dataValidation type="list" allowBlank="1" showInputMessage="1" showErrorMessage="1" sqref="L128" xr:uid="{00000000-0002-0000-0000-00000E000000}">
      <formula1>"$/heatpipe,$/m^2,$/MWeHour,$/FTE,$/acres,$/MWe,$/m^3,$/MWt,$/Kg,$/Drum,$/(kg.sec),$/SWU,unitless,$/kWe"</formula1>
      <formula2>0</formula2>
    </dataValidation>
    <dataValidation type="list" allowBlank="1" showInputMessage="1" showErrorMessage="1" sqref="O14 O16:O17" xr:uid="{00000000-0002-0000-0000-00000F000000}">
      <formula1>"m,acres,MWe,m^3,MWt,Kg,Drums,kW,$,m^2,kg/s"</formula1>
      <formula2>0</formula2>
    </dataValidation>
    <dataValidation type="list" allowBlank="1" showInputMessage="1" showErrorMessage="1" sqref="L14 L16:L17" xr:uid="{00000000-0002-0000-0000-000010000000}">
      <formula1>"$/m,$/m^2,$/MWeHour,$/FTE,$/acres,$/MWe,$/m^3,$/MWt,$/Kg,$/Drum,$/(kg.sec),$/SWU,unitless,$/kWe"</formula1>
      <formula2>0</formula2>
    </dataValidation>
    <dataValidation type="list" allowBlank="1" showInputMessage="1" showErrorMessage="1" sqref="R48:R53 R67:R68 R78:R80" xr:uid="{84BD3C7C-2898-42EA-9BAE-C642DA6F573B}">
      <formula1>"NA, General, Labor, Material, Equipment,Lab and Mat and Equip, 'Lab and Equip"</formula1>
    </dataValidation>
    <dataValidation type="list" allowBlank="1" showInputMessage="1" showErrorMessage="1" sqref="E48:E53 E67:E68 E78:E80" xr:uid="{4C219967-E293-4C19-9935-E600499647CD}">
      <formula1>"standard, nonstandard"</formula1>
    </dataValidation>
    <dataValidation type="list" allowBlank="1" showInputMessage="1" showErrorMessage="1" sqref="L48:L53 L67:L68 L78:L80" xr:uid="{FDB11658-6489-44D5-A539-F827F14ECEB8}">
      <formula1>"$/m^2,$/MWeHour,$/FTE, $/acres, $/MWe, $/m^3, $/MWt, $/Kg, $/Drum, $/(kg.sec), $/SWU, unitless, $/kWe"</formula1>
    </dataValidation>
    <dataValidation type="list" allowBlank="1" showInputMessage="1" showErrorMessage="1" sqref="O48:O53 O67:O68 O78:O80" xr:uid="{7CC2CAEA-FB64-4818-A39B-DE4AE88344A2}">
      <formula1>"acres, MWe, m^3, MWt, Kg, Drums, kW, $, m^2, kg/s"</formula1>
    </dataValidation>
    <dataValidation type="decimal" operator="greaterThan" allowBlank="1" showInputMessage="1" showErrorMessage="1" sqref="N48:N53 J48:K53 J67:K68 N67:N68 J78:K80 N78:N80" xr:uid="{DE4883B1-43B4-4ACB-A070-657CFEBFEC93}">
      <formula1>0</formula1>
    </dataValidation>
    <dataValidation type="list" allowBlank="1" showInputMessage="1" showErrorMessage="1" sqref="L170:L172" xr:uid="{85B54F20-D732-466C-9D52-A19D113CA1AF}">
      <formula1>"$/m^2,$/MWeHour,$/FTE,$/acres,$/MWe,$/m^3,$/MWt,$/Kg,$/Drum,$/(kg.sec),$/SWU,unitless,$/kWe,$/m,$/ft,Rx/yr"</formula1>
      <formula2>0</formula2>
    </dataValidation>
    <dataValidation type="list" allowBlank="1" showInputMessage="1" showErrorMessage="1" sqref="O170:O172" xr:uid="{F28DCFDA-D639-42E9-A2D8-BE714EBD59A7}">
      <formula1>"acres,MWe,m^3,MWt,Kg,Drums,kW,$,m^2,kg/s,Rx/yr"</formula1>
      <formula2>0</formula2>
    </dataValidation>
  </dataValidations>
  <hyperlinks>
    <hyperlink ref="U3" r:id="rId1" xr:uid="{00000000-0004-0000-0000-000000000000}"/>
    <hyperlink ref="U5" r:id="rId2" xr:uid="{00000000-0004-0000-0000-000001000000}"/>
    <hyperlink ref="U22" r:id="rId3" xr:uid="{00000000-0004-0000-0000-000002000000}"/>
    <hyperlink ref="U23" r:id="rId4" xr:uid="{00000000-0004-0000-0000-000003000000}"/>
    <hyperlink ref="U37" r:id="rId5" xr:uid="{00000000-0004-0000-0000-000004000000}"/>
    <hyperlink ref="U60" r:id="rId6" xr:uid="{00000000-0004-0000-0000-000005000000}"/>
    <hyperlink ref="U126" r:id="rId7" xr:uid="{00000000-0004-0000-0000-000006000000}"/>
    <hyperlink ref="U137" r:id="rId8" xr:uid="{00000000-0004-0000-0000-000007000000}"/>
    <hyperlink ref="U147" r:id="rId9" xr:uid="{00000000-0004-0000-0000-000008000000}"/>
    <hyperlink ref="U148" r:id="rId10" xr:uid="{00000000-0004-0000-0000-000009000000}"/>
    <hyperlink ref="U152" r:id="rId11" xr:uid="{00000000-0004-0000-0000-00000A000000}"/>
    <hyperlink ref="U153" r:id="rId12" xr:uid="{00000000-0004-0000-0000-00000B000000}"/>
    <hyperlink ref="U190" r:id="rId13" xr:uid="{00000000-0004-0000-0000-00000C000000}"/>
  </hyperlinks>
  <pageMargins left="0.7" right="0.7" top="0.75" bottom="0.75" header="0.3" footer="0.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9"/>
  <sheetViews>
    <sheetView workbookViewId="0">
      <selection sqref="A1:A2"/>
    </sheetView>
    <sheetView workbookViewId="1">
      <selection sqref="A1:A2"/>
    </sheetView>
  </sheetViews>
  <sheetFormatPr defaultColWidth="11.54296875" defaultRowHeight="14.5"/>
  <cols>
    <col min="1" max="1" width="11.6328125" style="61" customWidth="1"/>
    <col min="2" max="2" width="35.6328125" style="62" customWidth="1"/>
    <col min="3" max="3" width="20.6328125" style="63" customWidth="1"/>
    <col min="5" max="5" width="12.6328125" customWidth="1"/>
  </cols>
  <sheetData>
    <row r="1" spans="1:5" ht="26.25" customHeight="1">
      <c r="A1" s="206" t="s">
        <v>445</v>
      </c>
      <c r="B1" s="207" t="s">
        <v>3</v>
      </c>
      <c r="C1" s="208" t="s">
        <v>446</v>
      </c>
    </row>
    <row r="2" spans="1:5" ht="15" customHeight="1">
      <c r="A2" s="206"/>
      <c r="B2" s="206"/>
      <c r="C2" s="206"/>
    </row>
    <row r="3" spans="1:5" ht="27.75" customHeight="1">
      <c r="A3" s="64">
        <v>10</v>
      </c>
      <c r="B3" s="65" t="s">
        <v>33</v>
      </c>
      <c r="C3" s="66">
        <f>C4</f>
        <v>5210451</v>
      </c>
    </row>
    <row r="4" spans="1:5" ht="27.75" customHeight="1">
      <c r="A4" s="67">
        <v>15</v>
      </c>
      <c r="B4" s="68" t="s">
        <v>64</v>
      </c>
      <c r="C4" s="69">
        <v>5210451</v>
      </c>
      <c r="E4" s="69"/>
    </row>
    <row r="5" spans="1:5" ht="27.75" customHeight="1">
      <c r="A5" s="64">
        <v>20</v>
      </c>
      <c r="B5" s="65" t="s">
        <v>69</v>
      </c>
      <c r="C5" s="66">
        <f>C6+C13+C45+C48+C52+C54</f>
        <v>30295715.422000002</v>
      </c>
    </row>
    <row r="6" spans="1:5" ht="27.75" customHeight="1">
      <c r="A6" s="67">
        <v>21</v>
      </c>
      <c r="B6" s="68" t="s">
        <v>70</v>
      </c>
      <c r="C6" s="69">
        <f>C7+C8+C9+C10</f>
        <v>2799006.7319999998</v>
      </c>
    </row>
    <row r="7" spans="1:5" ht="27.75" customHeight="1">
      <c r="A7" s="67">
        <v>211</v>
      </c>
      <c r="B7" s="68" t="s">
        <v>447</v>
      </c>
      <c r="C7" s="69"/>
    </row>
    <row r="8" spans="1:5" ht="27.75" customHeight="1">
      <c r="A8" s="67">
        <v>212</v>
      </c>
      <c r="B8" s="68" t="s">
        <v>93</v>
      </c>
      <c r="C8" s="69">
        <v>2573469.872</v>
      </c>
    </row>
    <row r="9" spans="1:5" ht="27.75" customHeight="1">
      <c r="A9" s="67">
        <v>213</v>
      </c>
      <c r="B9" s="68" t="s">
        <v>111</v>
      </c>
      <c r="C9" s="69"/>
    </row>
    <row r="10" spans="1:5" ht="27.75" customHeight="1">
      <c r="A10" s="67">
        <v>214</v>
      </c>
      <c r="B10" s="68" t="s">
        <v>138</v>
      </c>
      <c r="C10" s="69">
        <f>SUM(C11)</f>
        <v>225536.86</v>
      </c>
    </row>
    <row r="11" spans="1:5" ht="27.75" customHeight="1">
      <c r="A11" s="67">
        <v>214.7</v>
      </c>
      <c r="B11" s="68" t="s">
        <v>448</v>
      </c>
      <c r="C11" s="69">
        <v>225536.86</v>
      </c>
      <c r="E11" s="70"/>
    </row>
    <row r="12" spans="1:5" ht="27.75" customHeight="1">
      <c r="A12" s="67">
        <v>217</v>
      </c>
      <c r="B12" s="68" t="s">
        <v>449</v>
      </c>
      <c r="C12" s="69"/>
    </row>
    <row r="13" spans="1:5" ht="27.75" customHeight="1">
      <c r="A13" s="67">
        <v>22</v>
      </c>
      <c r="B13" s="68" t="s">
        <v>192</v>
      </c>
      <c r="C13" s="69">
        <f>C14+C32+C41+C42+C43+C44</f>
        <v>17586712.57</v>
      </c>
    </row>
    <row r="14" spans="1:5" ht="27.75" customHeight="1">
      <c r="A14" s="67">
        <v>221</v>
      </c>
      <c r="B14" s="68" t="s">
        <v>193</v>
      </c>
      <c r="C14" s="69">
        <f>C15+C19+C25</f>
        <v>8937296.5999999996</v>
      </c>
    </row>
    <row r="15" spans="1:5" ht="27.75" customHeight="1">
      <c r="A15" s="67">
        <v>221.1</v>
      </c>
      <c r="B15" s="68" t="s">
        <v>450</v>
      </c>
      <c r="C15" s="69">
        <f>C16+C17+C18</f>
        <v>2004852</v>
      </c>
    </row>
    <row r="16" spans="1:5" ht="27.75" customHeight="1">
      <c r="A16" s="67">
        <v>221.11</v>
      </c>
      <c r="B16" s="68" t="s">
        <v>451</v>
      </c>
      <c r="C16" s="69">
        <v>762382.4</v>
      </c>
    </row>
    <row r="17" spans="1:4" ht="27.75" customHeight="1">
      <c r="A17" s="67">
        <v>221.12</v>
      </c>
      <c r="B17" s="71" t="s">
        <v>452</v>
      </c>
      <c r="C17" s="69">
        <v>1201688.6000000001</v>
      </c>
    </row>
    <row r="18" spans="1:4" ht="27.75" customHeight="1">
      <c r="A18" s="67">
        <v>221.13</v>
      </c>
      <c r="B18" s="71" t="s">
        <v>453</v>
      </c>
      <c r="C18" s="69">
        <v>40781</v>
      </c>
    </row>
    <row r="19" spans="1:4" ht="27.75" customHeight="1">
      <c r="A19" s="67">
        <v>221.2</v>
      </c>
      <c r="B19" s="71" t="s">
        <v>454</v>
      </c>
      <c r="C19" s="69">
        <f>C20</f>
        <v>2114223</v>
      </c>
    </row>
    <row r="20" spans="1:4" ht="30" customHeight="1">
      <c r="A20" s="67">
        <v>221.21</v>
      </c>
      <c r="B20" s="71" t="s">
        <v>455</v>
      </c>
      <c r="C20" s="69">
        <f>SUM(C21:C23)</f>
        <v>2114223</v>
      </c>
    </row>
    <row r="21" spans="1:4" ht="27.75" customHeight="1">
      <c r="A21" s="72">
        <v>221.21100000000001</v>
      </c>
      <c r="B21" s="73" t="s">
        <v>216</v>
      </c>
      <c r="C21" s="69">
        <v>1391560</v>
      </c>
      <c r="D21" s="74"/>
    </row>
    <row r="22" spans="1:4" ht="27.75" customHeight="1">
      <c r="A22" s="72">
        <v>221.21199999999999</v>
      </c>
      <c r="B22" s="73" t="s">
        <v>224</v>
      </c>
      <c r="C22" s="69">
        <v>322663</v>
      </c>
    </row>
    <row r="23" spans="1:4" ht="27.75" customHeight="1">
      <c r="A23" s="72">
        <v>221.21299999999999</v>
      </c>
      <c r="B23" s="73" t="s">
        <v>225</v>
      </c>
      <c r="C23" s="69">
        <v>400000</v>
      </c>
    </row>
    <row r="24" spans="1:4" ht="27.75" customHeight="1">
      <c r="A24" s="72">
        <v>221.214</v>
      </c>
      <c r="B24" s="73" t="s">
        <v>232</v>
      </c>
    </row>
    <row r="25" spans="1:4" ht="27.75" customHeight="1">
      <c r="A25" s="67">
        <v>221.3</v>
      </c>
      <c r="B25" s="71" t="s">
        <v>456</v>
      </c>
      <c r="C25" s="69">
        <f>C26+C30+C31</f>
        <v>4818221.5999999996</v>
      </c>
    </row>
    <row r="26" spans="1:4" ht="27.75" customHeight="1">
      <c r="A26" s="67">
        <v>221.31</v>
      </c>
      <c r="B26" s="71" t="s">
        <v>258</v>
      </c>
      <c r="C26" s="69">
        <v>4170231</v>
      </c>
    </row>
    <row r="27" spans="1:4" ht="27.75" customHeight="1">
      <c r="A27" s="75">
        <v>221.31100000000001</v>
      </c>
      <c r="B27" s="71" t="s">
        <v>457</v>
      </c>
      <c r="C27" s="69">
        <v>3200000</v>
      </c>
    </row>
    <row r="28" spans="1:4" ht="27.75" customHeight="1">
      <c r="A28" s="75">
        <v>221.31200000000001</v>
      </c>
      <c r="B28" s="71" t="s">
        <v>458</v>
      </c>
      <c r="C28" s="69">
        <v>850000</v>
      </c>
    </row>
    <row r="29" spans="1:4" ht="27.75" customHeight="1">
      <c r="A29" s="75">
        <v>221.31299999999999</v>
      </c>
      <c r="B29" s="71" t="s">
        <v>459</v>
      </c>
      <c r="C29" s="69">
        <v>120231</v>
      </c>
    </row>
    <row r="30" spans="1:4" ht="27.75" customHeight="1">
      <c r="A30" s="67">
        <v>221.32</v>
      </c>
      <c r="B30" s="71" t="s">
        <v>265</v>
      </c>
      <c r="C30" s="69">
        <v>647990.6</v>
      </c>
    </row>
    <row r="31" spans="1:4" ht="27.75" customHeight="1">
      <c r="A31" s="67">
        <v>221.33</v>
      </c>
      <c r="B31" s="71" t="s">
        <v>273</v>
      </c>
      <c r="C31" s="69">
        <v>0</v>
      </c>
    </row>
    <row r="32" spans="1:4" ht="27.75" customHeight="1">
      <c r="A32" s="67" t="s">
        <v>460</v>
      </c>
      <c r="B32" s="68" t="s">
        <v>287</v>
      </c>
      <c r="C32" s="69">
        <f>C33+C34+C38+C39+C40</f>
        <v>5908950.5999999996</v>
      </c>
    </row>
    <row r="33" spans="1:3" ht="27.75" customHeight="1">
      <c r="A33" s="67">
        <v>222.1</v>
      </c>
      <c r="B33" s="68" t="s">
        <v>461</v>
      </c>
      <c r="C33" s="69">
        <v>0</v>
      </c>
    </row>
    <row r="34" spans="1:3" ht="27.75" customHeight="1">
      <c r="A34" s="67">
        <v>222.2</v>
      </c>
      <c r="B34" s="68" t="s">
        <v>462</v>
      </c>
      <c r="C34" s="69">
        <v>4890230.5999999996</v>
      </c>
    </row>
    <row r="35" spans="1:3" ht="27.75" customHeight="1">
      <c r="A35" s="67">
        <v>222.21</v>
      </c>
      <c r="B35" s="68" t="s">
        <v>463</v>
      </c>
      <c r="C35" s="69">
        <v>1520786</v>
      </c>
    </row>
    <row r="36" spans="1:3" ht="57" customHeight="1">
      <c r="A36" s="67">
        <v>222.22</v>
      </c>
      <c r="B36" s="68" t="s">
        <v>464</v>
      </c>
      <c r="C36" s="69">
        <v>3341486</v>
      </c>
    </row>
    <row r="37" spans="1:3" ht="57" customHeight="1">
      <c r="A37" s="67">
        <v>222.23</v>
      </c>
      <c r="B37" s="68" t="s">
        <v>465</v>
      </c>
      <c r="C37" s="69">
        <v>27958.6</v>
      </c>
    </row>
    <row r="38" spans="1:3" ht="27.75" customHeight="1">
      <c r="A38" s="67">
        <v>222.3</v>
      </c>
      <c r="B38" s="68" t="s">
        <v>312</v>
      </c>
      <c r="C38" s="69">
        <v>0</v>
      </c>
    </row>
    <row r="39" spans="1:3" ht="27.75" customHeight="1">
      <c r="A39" s="67">
        <v>222.4</v>
      </c>
      <c r="B39" s="68" t="s">
        <v>466</v>
      </c>
      <c r="C39" s="69">
        <v>0</v>
      </c>
    </row>
    <row r="40" spans="1:3" ht="27.75" customHeight="1">
      <c r="A40" s="67">
        <v>222.5</v>
      </c>
      <c r="B40" s="68" t="s">
        <v>467</v>
      </c>
      <c r="C40" s="69">
        <v>1018720</v>
      </c>
    </row>
    <row r="41" spans="1:3" ht="27.75" customHeight="1">
      <c r="A41" s="67" t="s">
        <v>468</v>
      </c>
      <c r="B41" s="68" t="s">
        <v>469</v>
      </c>
      <c r="C41" s="69"/>
    </row>
    <row r="42" spans="1:3" ht="27.75" customHeight="1">
      <c r="A42" s="67" t="s">
        <v>470</v>
      </c>
      <c r="B42" s="68" t="s">
        <v>341</v>
      </c>
      <c r="C42" s="69">
        <v>456297</v>
      </c>
    </row>
    <row r="43" spans="1:3" ht="27.75" customHeight="1">
      <c r="A43" s="67" t="s">
        <v>471</v>
      </c>
      <c r="B43" s="68" t="s">
        <v>349</v>
      </c>
      <c r="C43" s="69">
        <v>2253208.37</v>
      </c>
    </row>
    <row r="44" spans="1:3" ht="27.75" customHeight="1">
      <c r="A44" s="67" t="s">
        <v>472</v>
      </c>
      <c r="B44" s="68" t="s">
        <v>355</v>
      </c>
      <c r="C44" s="69">
        <v>30960</v>
      </c>
    </row>
    <row r="45" spans="1:3" ht="27.75" customHeight="1">
      <c r="A45" s="67">
        <v>23</v>
      </c>
      <c r="B45" s="68" t="s">
        <v>473</v>
      </c>
      <c r="C45" s="69">
        <f>C46</f>
        <v>0</v>
      </c>
    </row>
    <row r="46" spans="1:3" ht="27.75" customHeight="1">
      <c r="A46" s="67">
        <v>232</v>
      </c>
      <c r="B46" s="68" t="s">
        <v>357</v>
      </c>
      <c r="C46" s="69">
        <f>C47</f>
        <v>0</v>
      </c>
    </row>
    <row r="47" spans="1:3" ht="27.75" customHeight="1">
      <c r="A47" s="67">
        <v>232.1</v>
      </c>
      <c r="B47" s="68" t="s">
        <v>358</v>
      </c>
      <c r="C47" s="69">
        <v>0</v>
      </c>
    </row>
    <row r="48" spans="1:3" ht="27.75" customHeight="1">
      <c r="A48" s="67">
        <v>24</v>
      </c>
      <c r="B48" s="68" t="s">
        <v>364</v>
      </c>
      <c r="C48" s="69">
        <f>C49+C50+C51</f>
        <v>73415.62000000001</v>
      </c>
    </row>
    <row r="49" spans="1:3" ht="27.75" customHeight="1">
      <c r="A49" s="67" t="s">
        <v>474</v>
      </c>
      <c r="B49" s="68" t="s">
        <v>475</v>
      </c>
      <c r="C49" s="69">
        <v>1627.02</v>
      </c>
    </row>
    <row r="50" spans="1:3" ht="27.75" customHeight="1">
      <c r="A50" s="67" t="s">
        <v>476</v>
      </c>
      <c r="B50" s="68" t="s">
        <v>477</v>
      </c>
      <c r="C50" s="69">
        <v>0</v>
      </c>
    </row>
    <row r="51" spans="1:3" ht="27.75" customHeight="1">
      <c r="A51" s="67" t="s">
        <v>478</v>
      </c>
      <c r="B51" s="68" t="s">
        <v>479</v>
      </c>
      <c r="C51" s="69">
        <v>71788.600000000006</v>
      </c>
    </row>
    <row r="52" spans="1:3" ht="27.75" customHeight="1">
      <c r="A52" s="67">
        <v>25</v>
      </c>
      <c r="B52" s="68" t="s">
        <v>371</v>
      </c>
      <c r="C52" s="69">
        <f>C53</f>
        <v>9836580.5</v>
      </c>
    </row>
    <row r="53" spans="1:3" ht="27.75" customHeight="1">
      <c r="A53" s="67" t="s">
        <v>480</v>
      </c>
      <c r="B53" s="68" t="s">
        <v>378</v>
      </c>
      <c r="C53" s="69">
        <v>9836580.5</v>
      </c>
    </row>
    <row r="54" spans="1:3" ht="27.75" customHeight="1">
      <c r="A54" s="67">
        <v>26</v>
      </c>
      <c r="B54" s="68" t="s">
        <v>481</v>
      </c>
      <c r="C54" s="69"/>
    </row>
    <row r="55" spans="1:3" ht="27.75" customHeight="1">
      <c r="A55" s="64">
        <v>30</v>
      </c>
      <c r="B55" s="65" t="s">
        <v>388</v>
      </c>
      <c r="C55" s="66">
        <f>C56+C58+C62+C65+C68</f>
        <v>6442742.523737832</v>
      </c>
    </row>
    <row r="56" spans="1:3" ht="27.75" customHeight="1">
      <c r="A56" s="67">
        <v>31</v>
      </c>
      <c r="B56" s="68" t="s">
        <v>482</v>
      </c>
      <c r="C56" s="69">
        <f>C57</f>
        <v>1333020.8</v>
      </c>
    </row>
    <row r="57" spans="1:3" ht="27.75" customHeight="1">
      <c r="A57" s="67">
        <v>317</v>
      </c>
      <c r="B57" s="68" t="s">
        <v>483</v>
      </c>
      <c r="C57" s="69">
        <v>1333020.8</v>
      </c>
    </row>
    <row r="58" spans="1:3" ht="27.75" customHeight="1">
      <c r="A58" s="67">
        <v>33</v>
      </c>
      <c r="B58" s="68" t="s">
        <v>391</v>
      </c>
      <c r="C58" s="69">
        <f>C59</f>
        <v>2407166.4</v>
      </c>
    </row>
    <row r="59" spans="1:3" ht="27.75" customHeight="1">
      <c r="A59" s="67">
        <v>331</v>
      </c>
      <c r="B59" s="68" t="s">
        <v>484</v>
      </c>
      <c r="C59" s="69">
        <f>C60+C61</f>
        <v>2407166.4</v>
      </c>
    </row>
    <row r="60" spans="1:3" ht="27.75" customHeight="1">
      <c r="A60" s="67">
        <v>331.3</v>
      </c>
      <c r="B60" s="68" t="s">
        <v>485</v>
      </c>
      <c r="C60" s="69">
        <v>215000</v>
      </c>
    </row>
    <row r="61" spans="1:3" ht="27.75" customHeight="1">
      <c r="A61" s="67">
        <v>331.5</v>
      </c>
      <c r="B61" s="68" t="s">
        <v>486</v>
      </c>
      <c r="C61" s="69">
        <v>2192166.4</v>
      </c>
    </row>
    <row r="62" spans="1:3" ht="27.75" customHeight="1">
      <c r="A62" s="67">
        <v>34</v>
      </c>
      <c r="B62" s="68" t="s">
        <v>392</v>
      </c>
      <c r="C62" s="69">
        <f>C63+C64</f>
        <v>1665282.8</v>
      </c>
    </row>
    <row r="63" spans="1:3" ht="27.75" customHeight="1">
      <c r="A63" s="67">
        <v>341</v>
      </c>
      <c r="B63" s="68" t="s">
        <v>487</v>
      </c>
      <c r="C63" s="69">
        <v>1635355.8</v>
      </c>
    </row>
    <row r="64" spans="1:3" ht="27.75" customHeight="1">
      <c r="A64" s="67">
        <v>345</v>
      </c>
      <c r="B64" s="68" t="s">
        <v>488</v>
      </c>
      <c r="C64" s="69">
        <v>29927</v>
      </c>
    </row>
    <row r="65" spans="1:3" ht="27.75" customHeight="1">
      <c r="A65" s="67">
        <v>35</v>
      </c>
      <c r="B65" s="68" t="s">
        <v>393</v>
      </c>
      <c r="C65" s="69">
        <f>C66+C67</f>
        <v>620313.58773783199</v>
      </c>
    </row>
    <row r="66" spans="1:3" ht="27.75" customHeight="1">
      <c r="A66" s="67">
        <v>351</v>
      </c>
      <c r="B66" s="68" t="s">
        <v>489</v>
      </c>
      <c r="C66" s="69">
        <v>257261.4</v>
      </c>
    </row>
    <row r="67" spans="1:3" ht="27.75" customHeight="1">
      <c r="A67" s="67">
        <v>352</v>
      </c>
      <c r="B67" s="68" t="s">
        <v>490</v>
      </c>
      <c r="C67" s="69">
        <v>363052.18773783202</v>
      </c>
    </row>
    <row r="68" spans="1:3" ht="27.75" customHeight="1">
      <c r="A68" s="67">
        <v>36</v>
      </c>
      <c r="B68" s="68" t="s">
        <v>394</v>
      </c>
      <c r="C68" s="69">
        <f>C69+C70</f>
        <v>416958.93599999999</v>
      </c>
    </row>
    <row r="69" spans="1:3" ht="27.75" customHeight="1">
      <c r="A69" s="67">
        <v>361</v>
      </c>
      <c r="B69" s="68" t="s">
        <v>489</v>
      </c>
      <c r="C69" s="69"/>
    </row>
    <row r="70" spans="1:3" ht="27.75" customHeight="1">
      <c r="A70" s="67">
        <v>362</v>
      </c>
      <c r="B70" s="68" t="s">
        <v>490</v>
      </c>
      <c r="C70" s="69">
        <v>416958.93599999999</v>
      </c>
    </row>
    <row r="71" spans="1:3" ht="27.75" customHeight="1">
      <c r="A71" s="64">
        <v>40</v>
      </c>
      <c r="B71" s="65" t="s">
        <v>491</v>
      </c>
      <c r="C71" s="66">
        <f>C72</f>
        <v>4169765</v>
      </c>
    </row>
    <row r="72" spans="1:3" ht="27.75" customHeight="1">
      <c r="A72" s="67">
        <v>41</v>
      </c>
      <c r="B72" s="68" t="s">
        <v>492</v>
      </c>
      <c r="C72" s="69">
        <v>4169765</v>
      </c>
    </row>
    <row r="73" spans="1:3" ht="27.75" customHeight="1">
      <c r="A73" s="64">
        <v>50</v>
      </c>
      <c r="B73" s="65" t="s">
        <v>493</v>
      </c>
      <c r="C73" s="66">
        <f>C74</f>
        <v>16408781.6</v>
      </c>
    </row>
    <row r="74" spans="1:3" ht="27.75" customHeight="1">
      <c r="A74" s="67">
        <v>54</v>
      </c>
      <c r="B74" s="68" t="s">
        <v>494</v>
      </c>
      <c r="C74" s="69">
        <v>16408781.6</v>
      </c>
    </row>
    <row r="75" spans="1:3" ht="27.75" customHeight="1">
      <c r="A75" s="64">
        <v>60</v>
      </c>
      <c r="B75" s="65" t="s">
        <v>399</v>
      </c>
      <c r="C75" s="66">
        <f>C76</f>
        <v>6160606</v>
      </c>
    </row>
    <row r="76" spans="1:3" ht="27.75" customHeight="1">
      <c r="A76" s="67">
        <v>61</v>
      </c>
      <c r="B76" s="68" t="s">
        <v>495</v>
      </c>
      <c r="C76" s="69">
        <v>6160606</v>
      </c>
    </row>
    <row r="77" spans="1:3" ht="27.75" customHeight="1">
      <c r="A77" s="67">
        <v>70</v>
      </c>
      <c r="B77" s="68" t="s">
        <v>401</v>
      </c>
      <c r="C77" s="69">
        <f>C78</f>
        <v>2456659.2000000002</v>
      </c>
    </row>
    <row r="78" spans="1:3" ht="27.75" customHeight="1">
      <c r="A78" s="67">
        <v>71</v>
      </c>
      <c r="B78" s="68" t="s">
        <v>402</v>
      </c>
      <c r="C78" s="69">
        <v>2456659.2000000002</v>
      </c>
    </row>
    <row r="79" spans="1:3" ht="84.75" customHeight="1">
      <c r="A79" s="71" t="s">
        <v>496</v>
      </c>
      <c r="B79" s="68" t="s">
        <v>496</v>
      </c>
      <c r="C79" s="69">
        <v>33779050.138262197</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D52"/>
  <sheetViews>
    <sheetView workbookViewId="0"/>
    <sheetView workbookViewId="1"/>
  </sheetViews>
  <sheetFormatPr defaultColWidth="10.6328125" defaultRowHeight="13"/>
  <cols>
    <col min="1" max="1" width="19" style="76" customWidth="1"/>
    <col min="2" max="2" width="16.453125" style="76" customWidth="1"/>
    <col min="3" max="3" width="22.453125" style="76" customWidth="1"/>
    <col min="4" max="4" width="32.453125" style="76" customWidth="1"/>
    <col min="5" max="16384" width="10.6328125" style="76"/>
  </cols>
  <sheetData>
    <row r="1" spans="1:4" ht="30" customHeight="1">
      <c r="A1" s="77" t="s">
        <v>497</v>
      </c>
      <c r="B1" s="78" t="s">
        <v>498</v>
      </c>
      <c r="C1" s="78" t="s">
        <v>14</v>
      </c>
      <c r="D1" s="78" t="s">
        <v>499</v>
      </c>
    </row>
    <row r="2" spans="1:4" ht="24.75" customHeight="1">
      <c r="A2" s="209" t="s">
        <v>500</v>
      </c>
      <c r="B2" s="209"/>
      <c r="C2" s="209"/>
      <c r="D2" s="209"/>
    </row>
    <row r="3" spans="1:4" ht="24.75" customHeight="1">
      <c r="A3" s="79" t="s">
        <v>501</v>
      </c>
      <c r="B3" s="80">
        <v>83</v>
      </c>
      <c r="C3" s="81" t="s">
        <v>502</v>
      </c>
      <c r="D3" s="81" t="s">
        <v>503</v>
      </c>
    </row>
    <row r="4" spans="1:4" ht="24.75" customHeight="1">
      <c r="A4" s="79" t="s">
        <v>504</v>
      </c>
      <c r="B4" s="80">
        <v>20</v>
      </c>
      <c r="C4" s="81" t="s">
        <v>505</v>
      </c>
      <c r="D4" s="81"/>
    </row>
    <row r="5" spans="1:4" ht="24.75" customHeight="1">
      <c r="A5" s="79" t="s">
        <v>506</v>
      </c>
      <c r="B5" s="80">
        <v>5.5</v>
      </c>
      <c r="C5" s="81" t="s">
        <v>507</v>
      </c>
      <c r="D5" s="81" t="s">
        <v>503</v>
      </c>
    </row>
    <row r="6" spans="1:4" ht="24.75" customHeight="1">
      <c r="A6" s="79" t="s">
        <v>508</v>
      </c>
      <c r="B6" s="80">
        <v>16.5</v>
      </c>
      <c r="C6" s="81" t="s">
        <v>507</v>
      </c>
      <c r="D6" s="81" t="s">
        <v>503</v>
      </c>
    </row>
    <row r="7" spans="1:4" ht="24.75" customHeight="1">
      <c r="A7" s="209" t="s">
        <v>381</v>
      </c>
      <c r="B7" s="209"/>
      <c r="C7" s="209"/>
      <c r="D7" s="209"/>
    </row>
    <row r="8" spans="1:4" ht="24.75" customHeight="1">
      <c r="A8" s="79" t="s">
        <v>509</v>
      </c>
      <c r="B8" s="80">
        <v>145.30000000000001</v>
      </c>
      <c r="C8" s="81" t="s">
        <v>510</v>
      </c>
      <c r="D8" s="81" t="s">
        <v>511</v>
      </c>
    </row>
    <row r="9" spans="1:4" ht="24.75" customHeight="1">
      <c r="A9" s="79" t="s">
        <v>512</v>
      </c>
      <c r="B9" s="80">
        <v>30</v>
      </c>
      <c r="C9" s="81" t="s">
        <v>513</v>
      </c>
      <c r="D9" s="81" t="s">
        <v>514</v>
      </c>
    </row>
    <row r="10" spans="1:4" ht="24.75" customHeight="1">
      <c r="A10" s="79" t="s">
        <v>515</v>
      </c>
      <c r="B10" s="80">
        <v>19.75</v>
      </c>
      <c r="C10" s="81" t="s">
        <v>513</v>
      </c>
      <c r="D10" s="81" t="s">
        <v>516</v>
      </c>
    </row>
    <row r="11" spans="1:4" ht="24.75" customHeight="1">
      <c r="A11" s="79" t="s">
        <v>517</v>
      </c>
      <c r="B11" s="80">
        <v>36</v>
      </c>
      <c r="C11" s="81" t="s">
        <v>518</v>
      </c>
      <c r="D11" s="81" t="s">
        <v>503</v>
      </c>
    </row>
    <row r="12" spans="1:4" ht="24.75" customHeight="1">
      <c r="A12" s="209" t="s">
        <v>258</v>
      </c>
      <c r="B12" s="209"/>
      <c r="C12" s="209"/>
      <c r="D12" s="209"/>
    </row>
    <row r="13" spans="1:4" ht="24.75" customHeight="1">
      <c r="A13" s="79" t="s">
        <v>519</v>
      </c>
      <c r="B13" s="80" t="s">
        <v>234</v>
      </c>
      <c r="C13" s="81" t="s">
        <v>503</v>
      </c>
      <c r="D13" s="81" t="s">
        <v>520</v>
      </c>
    </row>
    <row r="14" spans="1:4" ht="24.75" customHeight="1">
      <c r="A14" s="79" t="s">
        <v>521</v>
      </c>
      <c r="B14" s="80">
        <v>124</v>
      </c>
      <c r="C14" s="81" t="s">
        <v>518</v>
      </c>
      <c r="D14" s="81" t="s">
        <v>522</v>
      </c>
    </row>
    <row r="15" spans="1:4" ht="24.75" customHeight="1">
      <c r="A15" s="79" t="s">
        <v>523</v>
      </c>
      <c r="B15" s="80">
        <v>1</v>
      </c>
      <c r="C15" s="81" t="s">
        <v>507</v>
      </c>
      <c r="D15" s="81" t="s">
        <v>503</v>
      </c>
    </row>
    <row r="16" spans="1:4" ht="27.75" customHeight="1">
      <c r="A16" s="79" t="s">
        <v>524</v>
      </c>
      <c r="B16" s="80">
        <v>818.4</v>
      </c>
      <c r="C16" s="81" t="s">
        <v>525</v>
      </c>
      <c r="D16" s="81" t="s">
        <v>503</v>
      </c>
    </row>
    <row r="17" spans="1:4" ht="24.75" customHeight="1">
      <c r="A17" s="79" t="s">
        <v>526</v>
      </c>
      <c r="B17" s="80">
        <v>318</v>
      </c>
      <c r="C17" s="81" t="s">
        <v>198</v>
      </c>
      <c r="D17" s="81"/>
    </row>
    <row r="18" spans="1:4" ht="27.75" customHeight="1">
      <c r="A18" s="79" t="s">
        <v>527</v>
      </c>
      <c r="B18" s="80">
        <v>570</v>
      </c>
      <c r="C18" s="81" t="s">
        <v>525</v>
      </c>
      <c r="D18" s="81" t="s">
        <v>503</v>
      </c>
    </row>
    <row r="19" spans="1:4" ht="24.75" customHeight="1">
      <c r="A19" s="79" t="s">
        <v>528</v>
      </c>
      <c r="B19" s="80">
        <v>1.9E-2</v>
      </c>
      <c r="C19" s="81" t="s">
        <v>529</v>
      </c>
      <c r="D19" s="81" t="s">
        <v>503</v>
      </c>
    </row>
    <row r="20" spans="1:4" ht="24.75" customHeight="1">
      <c r="A20" s="209" t="s">
        <v>530</v>
      </c>
      <c r="B20" s="209"/>
      <c r="C20" s="209"/>
      <c r="D20" s="209"/>
    </row>
    <row r="21" spans="1:4" ht="24.75" customHeight="1">
      <c r="A21" s="79" t="s">
        <v>531</v>
      </c>
      <c r="B21" s="80">
        <v>4</v>
      </c>
      <c r="C21" s="81" t="s">
        <v>518</v>
      </c>
      <c r="D21" s="81" t="s">
        <v>503</v>
      </c>
    </row>
    <row r="22" spans="1:4" ht="24.75" customHeight="1">
      <c r="A22" s="79" t="s">
        <v>532</v>
      </c>
      <c r="B22" s="80">
        <v>1</v>
      </c>
      <c r="C22" s="81" t="s">
        <v>518</v>
      </c>
      <c r="D22" s="81" t="s">
        <v>503</v>
      </c>
    </row>
    <row r="23" spans="1:4" ht="24.75" customHeight="1">
      <c r="A23" s="79" t="s">
        <v>533</v>
      </c>
      <c r="B23" s="80">
        <v>124</v>
      </c>
      <c r="C23" s="81" t="s">
        <v>518</v>
      </c>
      <c r="D23" s="81" t="s">
        <v>534</v>
      </c>
    </row>
    <row r="24" spans="1:4" ht="24.75" customHeight="1">
      <c r="A24" s="79" t="s">
        <v>535</v>
      </c>
      <c r="B24" s="80">
        <v>1</v>
      </c>
      <c r="C24" s="81" t="s">
        <v>507</v>
      </c>
      <c r="D24" s="81" t="s">
        <v>503</v>
      </c>
    </row>
    <row r="25" spans="1:4" ht="27.75" customHeight="1">
      <c r="A25" s="79" t="s">
        <v>536</v>
      </c>
      <c r="B25" s="80">
        <v>880.8</v>
      </c>
      <c r="C25" s="81" t="s">
        <v>525</v>
      </c>
      <c r="D25" s="81" t="s">
        <v>537</v>
      </c>
    </row>
    <row r="26" spans="1:4" ht="24.75" customHeight="1">
      <c r="A26" s="79" t="s">
        <v>538</v>
      </c>
      <c r="B26" s="80">
        <v>309</v>
      </c>
      <c r="C26" s="81" t="s">
        <v>198</v>
      </c>
      <c r="D26" s="81" t="s">
        <v>503</v>
      </c>
    </row>
    <row r="27" spans="1:4" ht="31.5" customHeight="1">
      <c r="A27" s="79" t="s">
        <v>539</v>
      </c>
      <c r="B27" s="80">
        <v>49.2</v>
      </c>
      <c r="C27" s="81" t="s">
        <v>525</v>
      </c>
      <c r="D27" s="81" t="s">
        <v>540</v>
      </c>
    </row>
    <row r="28" spans="1:4" ht="24.75" customHeight="1">
      <c r="A28" s="79" t="s">
        <v>541</v>
      </c>
      <c r="B28" s="80">
        <v>14</v>
      </c>
      <c r="C28" s="81" t="s">
        <v>198</v>
      </c>
      <c r="D28" s="81" t="s">
        <v>503</v>
      </c>
    </row>
    <row r="29" spans="1:4" ht="31.5" customHeight="1">
      <c r="A29" s="79" t="s">
        <v>542</v>
      </c>
      <c r="B29" s="80">
        <v>14</v>
      </c>
      <c r="C29" s="81" t="s">
        <v>198</v>
      </c>
      <c r="D29" s="81" t="s">
        <v>540</v>
      </c>
    </row>
    <row r="30" spans="1:4" ht="24.75" customHeight="1">
      <c r="A30" s="209" t="s">
        <v>543</v>
      </c>
      <c r="B30" s="209"/>
      <c r="C30" s="209"/>
      <c r="D30" s="209"/>
    </row>
    <row r="31" spans="1:4" ht="24.75" customHeight="1">
      <c r="A31" s="79" t="s">
        <v>544</v>
      </c>
      <c r="B31" s="80">
        <v>5</v>
      </c>
      <c r="C31" s="82"/>
      <c r="D31" s="81" t="s">
        <v>503</v>
      </c>
    </row>
    <row r="32" spans="1:4" ht="24.75" customHeight="1">
      <c r="A32" s="79" t="s">
        <v>545</v>
      </c>
      <c r="B32" s="80">
        <v>2</v>
      </c>
      <c r="C32" s="82"/>
      <c r="D32" s="81" t="s">
        <v>503</v>
      </c>
    </row>
    <row r="33" spans="1:4" ht="24.75" customHeight="1">
      <c r="A33" s="79" t="s">
        <v>546</v>
      </c>
      <c r="B33" s="80">
        <v>9</v>
      </c>
      <c r="C33" s="82"/>
      <c r="D33" s="81" t="s">
        <v>503</v>
      </c>
    </row>
    <row r="34" spans="1:4" ht="24.75" customHeight="1">
      <c r="A34" s="79" t="s">
        <v>547</v>
      </c>
      <c r="B34" s="80">
        <v>213</v>
      </c>
      <c r="C34" s="82"/>
      <c r="D34" s="81" t="s">
        <v>503</v>
      </c>
    </row>
    <row r="35" spans="1:4" s="87" customFormat="1" ht="51.75" customHeight="1">
      <c r="A35" s="83" t="s">
        <v>548</v>
      </c>
      <c r="B35" s="84">
        <v>48</v>
      </c>
      <c r="C35" s="85" t="s">
        <v>503</v>
      </c>
      <c r="D35" s="86" t="s">
        <v>549</v>
      </c>
    </row>
    <row r="36" spans="1:4" s="87" customFormat="1" ht="24.75" customHeight="1">
      <c r="A36" s="83" t="s">
        <v>550</v>
      </c>
      <c r="B36" s="84">
        <v>277</v>
      </c>
      <c r="C36" s="85"/>
      <c r="D36" s="86"/>
    </row>
    <row r="37" spans="1:4" ht="24.75" customHeight="1">
      <c r="A37" s="209" t="s">
        <v>551</v>
      </c>
      <c r="B37" s="209"/>
      <c r="C37" s="209"/>
      <c r="D37" s="209"/>
    </row>
    <row r="38" spans="1:4" ht="24.75" customHeight="1">
      <c r="A38" s="79" t="s">
        <v>552</v>
      </c>
      <c r="B38" s="80">
        <v>54.2</v>
      </c>
      <c r="C38" s="81" t="s">
        <v>198</v>
      </c>
      <c r="D38" s="81" t="s">
        <v>553</v>
      </c>
    </row>
    <row r="39" spans="1:4" ht="24.75" customHeight="1">
      <c r="A39" s="79" t="s">
        <v>554</v>
      </c>
      <c r="B39" s="80">
        <v>56.3</v>
      </c>
      <c r="C39" s="81" t="s">
        <v>198</v>
      </c>
      <c r="D39" s="81" t="s">
        <v>555</v>
      </c>
    </row>
    <row r="40" spans="1:4" ht="24.75" customHeight="1">
      <c r="A40" s="79" t="s">
        <v>556</v>
      </c>
      <c r="B40" s="80">
        <v>39.700000000000003</v>
      </c>
      <c r="C40" s="81" t="s">
        <v>198</v>
      </c>
      <c r="D40" s="81" t="s">
        <v>557</v>
      </c>
    </row>
    <row r="41" spans="1:4" ht="24.75" customHeight="1">
      <c r="A41" s="79" t="s">
        <v>558</v>
      </c>
      <c r="B41" s="80">
        <v>95.3</v>
      </c>
      <c r="C41" s="81" t="s">
        <v>198</v>
      </c>
      <c r="D41" s="81" t="s">
        <v>559</v>
      </c>
    </row>
    <row r="42" spans="1:4" ht="24.75" customHeight="1">
      <c r="A42" s="79" t="s">
        <v>560</v>
      </c>
      <c r="B42" s="80">
        <v>2571.9</v>
      </c>
      <c r="C42" s="81" t="s">
        <v>198</v>
      </c>
      <c r="D42" s="81" t="s">
        <v>561</v>
      </c>
    </row>
    <row r="43" spans="1:4" ht="24.75" customHeight="1">
      <c r="A43" s="79" t="s">
        <v>562</v>
      </c>
      <c r="B43" s="80">
        <v>925.3</v>
      </c>
      <c r="C43" s="81" t="s">
        <v>198</v>
      </c>
      <c r="D43" s="81" t="s">
        <v>563</v>
      </c>
    </row>
    <row r="44" spans="1:4" ht="24.75" customHeight="1">
      <c r="A44" s="209" t="s">
        <v>564</v>
      </c>
      <c r="B44" s="209"/>
      <c r="C44" s="209"/>
      <c r="D44" s="209"/>
    </row>
    <row r="45" spans="1:4" ht="24.75" customHeight="1">
      <c r="A45" s="79" t="s">
        <v>565</v>
      </c>
      <c r="B45" s="80">
        <v>8.3000000000000007</v>
      </c>
      <c r="C45" s="81" t="s">
        <v>529</v>
      </c>
      <c r="D45" s="81" t="s">
        <v>566</v>
      </c>
    </row>
    <row r="46" spans="1:4" ht="24.75" customHeight="1">
      <c r="A46" s="209" t="s">
        <v>567</v>
      </c>
      <c r="B46" s="209"/>
      <c r="C46" s="209"/>
      <c r="D46" s="209"/>
    </row>
    <row r="47" spans="1:4" ht="24.75" customHeight="1">
      <c r="A47" s="79" t="s">
        <v>568</v>
      </c>
      <c r="B47" s="80">
        <v>156</v>
      </c>
      <c r="C47" s="81" t="s">
        <v>198</v>
      </c>
      <c r="D47" s="81" t="s">
        <v>569</v>
      </c>
    </row>
    <row r="48" spans="1:4" ht="24.75" customHeight="1">
      <c r="A48" s="79" t="s">
        <v>570</v>
      </c>
      <c r="B48" s="80">
        <v>4</v>
      </c>
      <c r="C48" s="81" t="s">
        <v>518</v>
      </c>
      <c r="D48" s="81" t="s">
        <v>571</v>
      </c>
    </row>
    <row r="49" spans="1:4" ht="24.75" customHeight="1">
      <c r="A49" s="79" t="s">
        <v>572</v>
      </c>
      <c r="B49" s="80">
        <v>0.86</v>
      </c>
      <c r="C49" s="81" t="s">
        <v>529</v>
      </c>
      <c r="D49" s="81" t="s">
        <v>573</v>
      </c>
    </row>
    <row r="50" spans="1:4" ht="24.75" customHeight="1">
      <c r="A50" s="209" t="s">
        <v>574</v>
      </c>
      <c r="B50" s="209"/>
      <c r="C50" s="209"/>
      <c r="D50" s="209"/>
    </row>
    <row r="51" spans="1:4" ht="24.75" customHeight="1">
      <c r="A51" s="79" t="s">
        <v>575</v>
      </c>
      <c r="B51" s="80">
        <v>1.1100000000000001</v>
      </c>
      <c r="C51" s="81" t="s">
        <v>529</v>
      </c>
      <c r="D51" s="81" t="s">
        <v>569</v>
      </c>
    </row>
    <row r="52" spans="1:4" ht="24.75" customHeight="1">
      <c r="A52" s="79" t="s">
        <v>576</v>
      </c>
      <c r="B52" s="80">
        <v>1.587</v>
      </c>
      <c r="C52" s="81" t="s">
        <v>529</v>
      </c>
      <c r="D52" s="81" t="s">
        <v>569</v>
      </c>
    </row>
  </sheetData>
  <mergeCells count="9">
    <mergeCell ref="A37:D37"/>
    <mergeCell ref="A44:D44"/>
    <mergeCell ref="A46:D46"/>
    <mergeCell ref="A50:D50"/>
    <mergeCell ref="A2:D2"/>
    <mergeCell ref="A7:D7"/>
    <mergeCell ref="A12:D12"/>
    <mergeCell ref="A20:D20"/>
    <mergeCell ref="A30:D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3"/>
  <sheetViews>
    <sheetView workbookViewId="0"/>
    <sheetView workbookViewId="1"/>
  </sheetViews>
  <sheetFormatPr defaultColWidth="11.54296875" defaultRowHeight="14.5"/>
  <cols>
    <col min="2" max="2" width="15" customWidth="1"/>
    <col min="5" max="5" width="10" customWidth="1"/>
    <col min="6" max="6" width="17.1796875" customWidth="1"/>
    <col min="7" max="7" width="12.453125" customWidth="1"/>
  </cols>
  <sheetData>
    <row r="1" spans="1:13" ht="15" customHeight="1">
      <c r="A1" s="88" t="s">
        <v>577</v>
      </c>
      <c r="B1" s="88" t="s">
        <v>39</v>
      </c>
      <c r="C1" s="88" t="s">
        <v>53</v>
      </c>
      <c r="D1" s="88" t="s">
        <v>229</v>
      </c>
      <c r="E1" s="88" t="s">
        <v>163</v>
      </c>
      <c r="F1" s="88" t="s">
        <v>96</v>
      </c>
      <c r="G1" s="88" t="s">
        <v>73</v>
      </c>
    </row>
    <row r="2" spans="1:13" ht="15" customHeight="1">
      <c r="A2">
        <v>1978</v>
      </c>
      <c r="B2" s="89">
        <v>3.1208999999999998</v>
      </c>
      <c r="C2" s="89">
        <v>4.2535999999999996</v>
      </c>
      <c r="D2" s="89">
        <v>3.8109999999999999</v>
      </c>
      <c r="E2" s="89">
        <v>5.3954000000000004</v>
      </c>
      <c r="F2" s="90">
        <f t="shared" ref="F2:F43" si="0">(C2+D2+E2)/3</f>
        <v>4.4866666666666664</v>
      </c>
      <c r="G2" s="90">
        <f t="shared" ref="G2:G43" si="1">AVERAGE(C2,E2)</f>
        <v>4.8245000000000005</v>
      </c>
      <c r="J2" s="89"/>
      <c r="K2" s="89"/>
      <c r="L2" s="89"/>
      <c r="M2" s="89"/>
    </row>
    <row r="3" spans="1:13" ht="15" customHeight="1">
      <c r="A3">
        <v>1985</v>
      </c>
      <c r="B3" s="89">
        <v>2.5380099859802701</v>
      </c>
      <c r="C3" s="89">
        <v>3.3122862823061601</v>
      </c>
      <c r="D3" s="89">
        <v>3.1461261021151299</v>
      </c>
      <c r="E3" s="89">
        <v>4.0603968543567204</v>
      </c>
      <c r="F3" s="90">
        <f t="shared" si="0"/>
        <v>3.5062697462593371</v>
      </c>
      <c r="G3" s="90">
        <f t="shared" si="1"/>
        <v>3.6863415683314402</v>
      </c>
      <c r="J3" s="89"/>
      <c r="K3" s="89"/>
      <c r="L3" s="89"/>
      <c r="M3" s="89"/>
    </row>
    <row r="4" spans="1:13" ht="15" customHeight="1">
      <c r="A4">
        <v>1986</v>
      </c>
      <c r="B4" s="89">
        <v>2.4877975582000902</v>
      </c>
      <c r="C4" s="89">
        <v>3.20862782859894</v>
      </c>
      <c r="D4" s="89">
        <v>3.15247648474497</v>
      </c>
      <c r="E4" s="89">
        <v>3.9570820355610099</v>
      </c>
      <c r="F4" s="90">
        <f t="shared" si="0"/>
        <v>3.4393954496349735</v>
      </c>
      <c r="G4" s="90">
        <f t="shared" si="1"/>
        <v>3.5828549320799752</v>
      </c>
      <c r="J4" s="89"/>
      <c r="K4" s="89"/>
      <c r="L4" s="89"/>
      <c r="M4" s="89"/>
    </row>
    <row r="5" spans="1:13" ht="15" customHeight="1">
      <c r="A5">
        <v>1987</v>
      </c>
      <c r="B5" s="89">
        <v>2.4278242538033301</v>
      </c>
      <c r="C5" s="89">
        <v>3.1112605042016801</v>
      </c>
      <c r="D5" s="89">
        <v>3.0891631494865002</v>
      </c>
      <c r="E5" s="89">
        <v>3.9210211421628198</v>
      </c>
      <c r="F5" s="90">
        <f t="shared" si="0"/>
        <v>3.3738149319503332</v>
      </c>
      <c r="G5" s="90">
        <f t="shared" si="1"/>
        <v>3.51614082318225</v>
      </c>
      <c r="J5" s="89"/>
      <c r="K5" s="89"/>
      <c r="L5" s="89"/>
      <c r="M5" s="89"/>
    </row>
    <row r="6" spans="1:13" ht="15" customHeight="1">
      <c r="A6">
        <v>1988</v>
      </c>
      <c r="B6" s="89">
        <v>2.3451469298145899</v>
      </c>
      <c r="C6" s="89">
        <v>2.9898250336473802</v>
      </c>
      <c r="D6" s="89">
        <v>2.9257907342027498</v>
      </c>
      <c r="E6" s="89">
        <v>3.7360351953690301</v>
      </c>
      <c r="F6" s="90">
        <f t="shared" si="0"/>
        <v>3.2172169877397199</v>
      </c>
      <c r="G6" s="90">
        <f t="shared" si="1"/>
        <v>3.3629301145082051</v>
      </c>
      <c r="J6" s="89"/>
      <c r="K6" s="89"/>
      <c r="L6" s="89"/>
      <c r="M6" s="89"/>
    </row>
    <row r="7" spans="1:13" ht="15" customHeight="1">
      <c r="A7">
        <v>1989</v>
      </c>
      <c r="B7" s="89">
        <v>2.2565182554538898</v>
      </c>
      <c r="C7" s="89">
        <v>2.8925000000000001</v>
      </c>
      <c r="D7" s="89">
        <v>2.8323254237288098</v>
      </c>
      <c r="E7" s="89">
        <v>3.51142589771491</v>
      </c>
      <c r="F7" s="90">
        <f t="shared" si="0"/>
        <v>3.0787504404812398</v>
      </c>
      <c r="G7" s="90">
        <f t="shared" si="1"/>
        <v>3.2019629488574548</v>
      </c>
      <c r="J7" s="89"/>
      <c r="K7" s="89"/>
      <c r="L7" s="89"/>
      <c r="M7" s="89"/>
    </row>
    <row r="8" spans="1:13" ht="15" customHeight="1">
      <c r="A8">
        <v>1990</v>
      </c>
      <c r="B8" s="89">
        <v>2.1749312244700101</v>
      </c>
      <c r="C8" s="89">
        <v>2.7652780082987598</v>
      </c>
      <c r="D8" s="89">
        <v>2.8289709906646201</v>
      </c>
      <c r="E8" s="89">
        <v>3.4175275615567902</v>
      </c>
      <c r="F8" s="90">
        <f t="shared" si="0"/>
        <v>3.0039255201733899</v>
      </c>
      <c r="G8" s="90">
        <f t="shared" si="1"/>
        <v>3.0914027849277748</v>
      </c>
      <c r="J8" s="89"/>
      <c r="K8" s="89"/>
      <c r="L8" s="89"/>
      <c r="M8" s="89"/>
    </row>
    <row r="9" spans="1:13" ht="15" customHeight="1">
      <c r="A9">
        <v>1991</v>
      </c>
      <c r="B9" s="89">
        <v>2.1039170078457601</v>
      </c>
      <c r="C9" s="89">
        <v>2.6561658031088098</v>
      </c>
      <c r="D9" s="89">
        <v>2.8109545618164198</v>
      </c>
      <c r="E9" s="89">
        <v>3.3052945650086398</v>
      </c>
      <c r="F9" s="90">
        <f t="shared" si="0"/>
        <v>2.9241383099779568</v>
      </c>
      <c r="G9" s="90">
        <f t="shared" si="1"/>
        <v>2.980730184058725</v>
      </c>
      <c r="J9" s="89"/>
      <c r="K9" s="89"/>
      <c r="L9" s="89"/>
      <c r="M9" s="89"/>
    </row>
    <row r="10" spans="1:13" ht="15" customHeight="1">
      <c r="A10">
        <v>1992</v>
      </c>
      <c r="B10" s="89">
        <v>2.0570924604282101</v>
      </c>
      <c r="C10" s="89">
        <v>2.5740903823870198</v>
      </c>
      <c r="D10" s="89">
        <v>2.76219642201211</v>
      </c>
      <c r="E10" s="89">
        <v>3.16935770670923</v>
      </c>
      <c r="F10" s="90">
        <f t="shared" si="0"/>
        <v>2.8352148370361197</v>
      </c>
      <c r="G10" s="90">
        <f t="shared" si="1"/>
        <v>2.8717240445481247</v>
      </c>
      <c r="J10" s="89"/>
      <c r="K10" s="89"/>
      <c r="L10" s="89"/>
      <c r="M10" s="89"/>
    </row>
    <row r="11" spans="1:13" ht="15" customHeight="1">
      <c r="A11">
        <v>1993</v>
      </c>
      <c r="B11" s="89">
        <v>2.0094226515033502</v>
      </c>
      <c r="C11" s="89">
        <v>2.4922662677636498</v>
      </c>
      <c r="D11" s="89">
        <v>2.63135365474339</v>
      </c>
      <c r="E11" s="89">
        <v>2.9935068645640102</v>
      </c>
      <c r="F11" s="90">
        <f t="shared" si="0"/>
        <v>2.7057089290236829</v>
      </c>
      <c r="G11" s="90">
        <f t="shared" si="1"/>
        <v>2.74288656616383</v>
      </c>
      <c r="J11" s="89"/>
      <c r="K11" s="89"/>
      <c r="L11" s="89"/>
      <c r="M11" s="89"/>
    </row>
    <row r="12" spans="1:13" ht="15" customHeight="1">
      <c r="A12">
        <v>1994</v>
      </c>
      <c r="B12" s="89">
        <v>1.9674319707138499</v>
      </c>
      <c r="C12" s="89">
        <v>2.40328885683375</v>
      </c>
      <c r="D12" s="89">
        <v>2.52814404183788</v>
      </c>
      <c r="E12" s="89">
        <v>2.9062257345491398</v>
      </c>
      <c r="F12" s="90">
        <f t="shared" si="0"/>
        <v>2.6125528777402569</v>
      </c>
      <c r="G12" s="90">
        <f t="shared" si="1"/>
        <v>2.6547572956914447</v>
      </c>
      <c r="J12" s="89"/>
      <c r="K12" s="89"/>
      <c r="L12" s="89"/>
      <c r="M12" s="89"/>
    </row>
    <row r="13" spans="1:13" ht="15" customHeight="1">
      <c r="A13">
        <v>1995</v>
      </c>
      <c r="B13" s="89">
        <v>1.9269731760698601</v>
      </c>
      <c r="C13" s="89">
        <v>2.3615591778880201</v>
      </c>
      <c r="D13" s="89">
        <v>2.43725164155813</v>
      </c>
      <c r="E13" s="89">
        <v>2.85654253941909</v>
      </c>
      <c r="F13" s="90">
        <f t="shared" si="0"/>
        <v>2.5517844529550797</v>
      </c>
      <c r="G13" s="90">
        <f t="shared" si="1"/>
        <v>2.6090508586535552</v>
      </c>
      <c r="J13" s="89"/>
      <c r="K13" s="89"/>
      <c r="L13" s="89"/>
      <c r="M13" s="89"/>
    </row>
    <row r="14" spans="1:13" ht="15" customHeight="1">
      <c r="A14">
        <v>1996</v>
      </c>
      <c r="B14" s="89">
        <v>1.8923762750283299</v>
      </c>
      <c r="C14" s="89">
        <v>2.3036017974420999</v>
      </c>
      <c r="D14" s="89">
        <v>2.4234333731200799</v>
      </c>
      <c r="E14" s="89">
        <v>2.7957551656920101</v>
      </c>
      <c r="F14" s="90">
        <f t="shared" si="0"/>
        <v>2.5075967787513966</v>
      </c>
      <c r="G14" s="90">
        <f t="shared" si="1"/>
        <v>2.5496784815670548</v>
      </c>
      <c r="J14" s="89"/>
      <c r="K14" s="89"/>
      <c r="L14" s="89"/>
      <c r="M14" s="89"/>
    </row>
    <row r="15" spans="1:13" ht="15" customHeight="1">
      <c r="A15">
        <v>1997</v>
      </c>
      <c r="B15" s="89">
        <v>1.86027330482502</v>
      </c>
      <c r="C15" s="89">
        <v>2.2446345570899302</v>
      </c>
      <c r="D15" s="89">
        <v>2.3817848319549499</v>
      </c>
      <c r="E15" s="89">
        <v>2.7305519276535</v>
      </c>
      <c r="F15" s="90">
        <f t="shared" si="0"/>
        <v>2.4523237722327935</v>
      </c>
      <c r="G15" s="90">
        <f t="shared" si="1"/>
        <v>2.4875932423717151</v>
      </c>
      <c r="J15" s="89"/>
      <c r="K15" s="89"/>
      <c r="L15" s="89"/>
      <c r="M15" s="89"/>
    </row>
    <row r="16" spans="1:13" ht="15" customHeight="1">
      <c r="A16">
        <v>1998</v>
      </c>
      <c r="B16" s="89">
        <v>1.8396117820303</v>
      </c>
      <c r="C16" s="89">
        <v>2.1771708591963401</v>
      </c>
      <c r="D16" s="89">
        <v>2.39343685017093</v>
      </c>
      <c r="E16" s="89">
        <v>2.6719109087145498</v>
      </c>
      <c r="F16" s="90">
        <f t="shared" si="0"/>
        <v>2.4141728726939395</v>
      </c>
      <c r="G16" s="90">
        <f t="shared" si="1"/>
        <v>2.4245408839554452</v>
      </c>
      <c r="J16" s="89"/>
      <c r="K16" s="89"/>
      <c r="L16" s="89"/>
      <c r="M16" s="89"/>
    </row>
    <row r="17" spans="1:13" ht="15" customHeight="1">
      <c r="A17">
        <v>1999</v>
      </c>
      <c r="B17" s="89">
        <v>1.81396693691857</v>
      </c>
      <c r="C17" s="89">
        <v>2.1049652558433398</v>
      </c>
      <c r="D17" s="89">
        <v>2.3703840756523298</v>
      </c>
      <c r="E17" s="89">
        <v>2.6550113847894301</v>
      </c>
      <c r="F17" s="90">
        <f t="shared" si="0"/>
        <v>2.3767869054283666</v>
      </c>
      <c r="G17" s="90">
        <f t="shared" si="1"/>
        <v>2.379988320316385</v>
      </c>
      <c r="J17" s="89"/>
      <c r="K17" s="89"/>
      <c r="L17" s="89"/>
      <c r="M17" s="89"/>
    </row>
    <row r="18" spans="1:13" ht="15" customHeight="1">
      <c r="A18">
        <v>2000</v>
      </c>
      <c r="B18" s="89">
        <v>1.7737677053824401</v>
      </c>
      <c r="C18" s="89">
        <v>2.00732530120482</v>
      </c>
      <c r="D18" s="89">
        <v>2.34763540498352</v>
      </c>
      <c r="E18" s="89">
        <v>2.6269145967947098</v>
      </c>
      <c r="F18" s="90">
        <f t="shared" si="0"/>
        <v>2.3272917676610168</v>
      </c>
      <c r="G18" s="90">
        <f t="shared" si="1"/>
        <v>2.3171199489997649</v>
      </c>
      <c r="J18" s="89"/>
      <c r="K18" s="89"/>
      <c r="L18" s="89"/>
      <c r="M18" s="89"/>
    </row>
    <row r="19" spans="1:13" ht="15" customHeight="1">
      <c r="A19">
        <v>2001</v>
      </c>
      <c r="B19" s="89">
        <v>1.73461144843631</v>
      </c>
      <c r="C19" s="89">
        <v>1.91723820483314</v>
      </c>
      <c r="D19" s="89">
        <v>2.3696924369747898</v>
      </c>
      <c r="E19" s="89">
        <v>2.5433233042707299</v>
      </c>
      <c r="F19" s="90">
        <f t="shared" si="0"/>
        <v>2.2767513153595531</v>
      </c>
      <c r="G19" s="90">
        <f t="shared" si="1"/>
        <v>2.2302807545519352</v>
      </c>
      <c r="J19" s="89"/>
      <c r="K19" s="89"/>
      <c r="L19" s="89"/>
      <c r="M19" s="89"/>
    </row>
    <row r="20" spans="1:13" ht="15" customHeight="1">
      <c r="A20">
        <v>2002</v>
      </c>
      <c r="B20" s="89">
        <v>1.70809739948023</v>
      </c>
      <c r="C20" s="89">
        <v>1.8542904841402299</v>
      </c>
      <c r="D20" s="89">
        <v>2.3498090156819602</v>
      </c>
      <c r="E20" s="89">
        <v>2.5197406861549001</v>
      </c>
      <c r="F20" s="90">
        <f t="shared" si="0"/>
        <v>2.2412800619923634</v>
      </c>
      <c r="G20" s="90">
        <f t="shared" si="1"/>
        <v>2.1870155851475648</v>
      </c>
      <c r="J20" s="89"/>
      <c r="K20" s="89"/>
      <c r="L20" s="89"/>
      <c r="M20" s="89"/>
    </row>
    <row r="21" spans="1:13" ht="15" customHeight="1">
      <c r="A21">
        <v>2003</v>
      </c>
      <c r="B21" s="89">
        <v>1.6751332309520499</v>
      </c>
      <c r="C21" s="89">
        <v>1.79052122514777</v>
      </c>
      <c r="D21" s="89">
        <v>2.3002917124568101</v>
      </c>
      <c r="E21" s="89">
        <v>2.4774246149416999</v>
      </c>
      <c r="F21" s="90">
        <f t="shared" si="0"/>
        <v>2.1894125175154269</v>
      </c>
      <c r="G21" s="90">
        <f t="shared" si="1"/>
        <v>2.133972920044735</v>
      </c>
      <c r="J21" s="89"/>
      <c r="K21" s="89"/>
      <c r="L21" s="89"/>
      <c r="M21" s="89"/>
    </row>
    <row r="22" spans="1:13" ht="15" customHeight="1">
      <c r="A22">
        <v>2004</v>
      </c>
      <c r="B22" s="89">
        <v>1.63127406095864</v>
      </c>
      <c r="C22" s="89">
        <v>1.73912317327766</v>
      </c>
      <c r="D22" s="89">
        <v>2.09563139804923</v>
      </c>
      <c r="E22" s="89">
        <v>2.3858419851208401</v>
      </c>
      <c r="F22" s="90">
        <f t="shared" si="0"/>
        <v>2.0735321854825766</v>
      </c>
      <c r="G22" s="90">
        <f t="shared" si="1"/>
        <v>2.06248257919925</v>
      </c>
      <c r="J22" s="89"/>
      <c r="K22" s="89"/>
      <c r="L22" s="89"/>
      <c r="M22" s="89"/>
    </row>
    <row r="23" spans="1:13" ht="15" customHeight="1">
      <c r="A23">
        <v>2005</v>
      </c>
      <c r="B23" s="89">
        <v>1.58164148311645</v>
      </c>
      <c r="C23" s="89">
        <v>1.6833341752967901</v>
      </c>
      <c r="D23" s="89">
        <v>1.9957266230894</v>
      </c>
      <c r="E23" s="89">
        <v>2.2928196811581301</v>
      </c>
      <c r="F23" s="90">
        <f t="shared" si="0"/>
        <v>1.9906268265147731</v>
      </c>
      <c r="G23" s="90">
        <f t="shared" si="1"/>
        <v>1.9880769282274602</v>
      </c>
      <c r="J23" s="89"/>
      <c r="K23" s="89"/>
      <c r="L23" s="89"/>
      <c r="M23" s="89"/>
    </row>
    <row r="24" spans="1:13" ht="15" customHeight="1">
      <c r="A24">
        <v>2006</v>
      </c>
      <c r="B24" s="89">
        <v>1.5342735134234999</v>
      </c>
      <c r="C24" s="89">
        <v>1.6286217008797701</v>
      </c>
      <c r="D24" s="89">
        <v>1.8774353691802701</v>
      </c>
      <c r="E24" s="89">
        <v>2.1163260400869</v>
      </c>
      <c r="F24" s="90">
        <f t="shared" si="0"/>
        <v>1.8741277033823132</v>
      </c>
      <c r="G24" s="90">
        <f t="shared" si="1"/>
        <v>1.872473870483335</v>
      </c>
      <c r="J24" s="89"/>
      <c r="K24" s="89"/>
      <c r="L24" s="89"/>
      <c r="M24" s="89"/>
    </row>
    <row r="25" spans="1:13" ht="15" customHeight="1">
      <c r="A25">
        <v>2007</v>
      </c>
      <c r="B25" s="89">
        <v>1.4938223763832501</v>
      </c>
      <c r="C25" s="89">
        <v>1.56733772342427</v>
      </c>
      <c r="D25" s="89">
        <v>1.8473704381056399</v>
      </c>
      <c r="E25" s="89">
        <v>1.94265958311385</v>
      </c>
      <c r="F25" s="90">
        <f t="shared" si="0"/>
        <v>1.7857892482145867</v>
      </c>
      <c r="G25" s="90">
        <f t="shared" si="1"/>
        <v>1.75499865326906</v>
      </c>
      <c r="J25" s="89"/>
      <c r="K25" s="89"/>
      <c r="L25" s="89"/>
      <c r="M25" s="89"/>
    </row>
    <row r="26" spans="1:13" ht="15" customHeight="1">
      <c r="A26">
        <v>2008</v>
      </c>
      <c r="B26" s="89">
        <v>1.46546620652436</v>
      </c>
      <c r="C26" s="89">
        <v>1.5132425068119899</v>
      </c>
      <c r="D26" s="89">
        <v>1.72260847579858</v>
      </c>
      <c r="E26" s="89">
        <v>1.8946134742404199</v>
      </c>
      <c r="F26" s="90">
        <f t="shared" si="0"/>
        <v>1.7101548189503299</v>
      </c>
      <c r="G26" s="90">
        <f t="shared" si="1"/>
        <v>1.7039279905262048</v>
      </c>
      <c r="J26" s="89"/>
      <c r="K26" s="89"/>
      <c r="L26" s="89"/>
      <c r="M26" s="89"/>
    </row>
    <row r="27" spans="1:13" ht="15" customHeight="1">
      <c r="A27">
        <v>2009</v>
      </c>
      <c r="B27" s="89">
        <v>1.4565465062771501</v>
      </c>
      <c r="C27" s="89">
        <v>1.49692722371968</v>
      </c>
      <c r="D27" s="89">
        <v>1.7887780097793</v>
      </c>
      <c r="E27" s="89">
        <v>1.8701827875978001</v>
      </c>
      <c r="F27" s="90">
        <f t="shared" si="0"/>
        <v>1.7186293403655934</v>
      </c>
      <c r="G27" s="90">
        <f t="shared" si="1"/>
        <v>1.6835550056587401</v>
      </c>
      <c r="J27" s="89"/>
      <c r="K27" s="89"/>
      <c r="L27" s="89"/>
      <c r="M27" s="89"/>
    </row>
    <row r="28" spans="1:13" ht="15" customHeight="1">
      <c r="A28">
        <v>2010</v>
      </c>
      <c r="B28" s="89">
        <v>1.4391051953340701</v>
      </c>
      <c r="C28" s="89">
        <v>1.4809600000000001</v>
      </c>
      <c r="D28" s="89">
        <v>1.73980503856041</v>
      </c>
      <c r="E28" s="89">
        <v>1.8817700415482199</v>
      </c>
      <c r="F28" s="90">
        <f t="shared" si="0"/>
        <v>1.7008450267028767</v>
      </c>
      <c r="G28" s="90">
        <f t="shared" si="1"/>
        <v>1.68136502077411</v>
      </c>
      <c r="J28" s="89"/>
      <c r="K28" s="89"/>
      <c r="L28" s="89"/>
      <c r="M28" s="89"/>
    </row>
    <row r="29" spans="1:13" ht="15" customHeight="1">
      <c r="A29">
        <v>2011</v>
      </c>
      <c r="B29" s="89">
        <v>1.4100055477668201</v>
      </c>
      <c r="C29" s="89">
        <v>1.46532981530343</v>
      </c>
      <c r="D29" s="89">
        <v>1.6824963579863299</v>
      </c>
      <c r="E29" s="89">
        <v>1.8041794115591601</v>
      </c>
      <c r="F29" s="90">
        <f t="shared" si="0"/>
        <v>1.6506685282829732</v>
      </c>
      <c r="G29" s="90">
        <f t="shared" si="1"/>
        <v>1.6347546134312951</v>
      </c>
      <c r="J29" s="89"/>
      <c r="K29" s="89"/>
      <c r="L29" s="89"/>
      <c r="M29" s="89"/>
    </row>
    <row r="30" spans="1:13" ht="15" customHeight="1">
      <c r="A30">
        <v>2012</v>
      </c>
      <c r="B30" s="89">
        <v>1.38420256805121</v>
      </c>
      <c r="C30" s="89">
        <v>1.44249350649351</v>
      </c>
      <c r="D30" s="89">
        <v>1.6440766670715401</v>
      </c>
      <c r="E30" s="89">
        <v>1.6867141354415101</v>
      </c>
      <c r="F30" s="90">
        <f t="shared" si="0"/>
        <v>1.5910947696688533</v>
      </c>
      <c r="G30" s="90">
        <f t="shared" si="1"/>
        <v>1.5646038209675099</v>
      </c>
      <c r="J30" s="89"/>
      <c r="K30" s="89"/>
      <c r="L30" s="89"/>
      <c r="M30" s="89"/>
    </row>
    <row r="31" spans="1:13" ht="15" customHeight="1">
      <c r="A31">
        <v>2013</v>
      </c>
      <c r="B31" s="89">
        <v>1.36106977885292</v>
      </c>
      <c r="C31" s="89">
        <v>1.41312977099237</v>
      </c>
      <c r="D31" s="89">
        <v>1.61697326484291</v>
      </c>
      <c r="E31" s="89">
        <v>1.6270248440158801</v>
      </c>
      <c r="F31" s="90">
        <f t="shared" si="0"/>
        <v>1.5523759599503866</v>
      </c>
      <c r="G31" s="90">
        <f t="shared" si="1"/>
        <v>1.520077307504125</v>
      </c>
      <c r="J31" s="89"/>
      <c r="K31" s="89"/>
      <c r="L31" s="89"/>
      <c r="M31" s="89"/>
    </row>
    <row r="32" spans="1:13" ht="15" customHeight="1">
      <c r="A32">
        <v>2014</v>
      </c>
      <c r="B32" s="89">
        <v>1.33778803420576</v>
      </c>
      <c r="C32" s="89">
        <v>1.39304347826087</v>
      </c>
      <c r="D32" s="89">
        <v>1.5779532758218699</v>
      </c>
      <c r="E32" s="89">
        <v>1.5664099993932401</v>
      </c>
      <c r="F32" s="90">
        <f t="shared" si="0"/>
        <v>1.5124689178253268</v>
      </c>
      <c r="G32" s="90">
        <f t="shared" si="1"/>
        <v>1.479726738827055</v>
      </c>
      <c r="J32" s="89"/>
      <c r="K32" s="89"/>
      <c r="L32" s="89"/>
      <c r="M32" s="89"/>
    </row>
    <row r="33" spans="1:13" ht="15" customHeight="1">
      <c r="A33">
        <v>2015</v>
      </c>
      <c r="B33" s="89">
        <v>1.3254431765050401</v>
      </c>
      <c r="C33" s="89">
        <v>1.3645208845208801</v>
      </c>
      <c r="D33" s="89">
        <v>1.5846653502439001</v>
      </c>
      <c r="E33" s="89">
        <v>1.5228434272231199</v>
      </c>
      <c r="F33" s="90">
        <f t="shared" si="0"/>
        <v>1.4906765539959668</v>
      </c>
      <c r="G33" s="90">
        <f t="shared" si="1"/>
        <v>1.4436821558720001</v>
      </c>
      <c r="J33" s="89"/>
      <c r="K33" s="89"/>
      <c r="L33" s="89"/>
      <c r="M33" s="89"/>
    </row>
    <row r="34" spans="1:13" ht="15" customHeight="1">
      <c r="A34">
        <v>2016</v>
      </c>
      <c r="B34" s="89">
        <v>1.3129865046786999</v>
      </c>
      <c r="C34" s="89">
        <v>1.3360705693664801</v>
      </c>
      <c r="D34" s="89">
        <v>1.5820722951649999</v>
      </c>
      <c r="E34" s="89">
        <v>1.5002326359832601</v>
      </c>
      <c r="F34" s="90">
        <f t="shared" si="0"/>
        <v>1.4727918335049133</v>
      </c>
      <c r="G34" s="90">
        <f t="shared" si="1"/>
        <v>1.4181516026748699</v>
      </c>
      <c r="J34" s="89"/>
      <c r="K34" s="89"/>
      <c r="L34" s="89"/>
      <c r="M34" s="89"/>
    </row>
    <row r="35" spans="1:13" ht="15" customHeight="1">
      <c r="A35">
        <v>2017</v>
      </c>
      <c r="B35" s="89">
        <v>1.2899128956447801</v>
      </c>
      <c r="C35" s="89">
        <v>1.3036619718309901</v>
      </c>
      <c r="D35" s="89">
        <v>1.5267530022183</v>
      </c>
      <c r="E35" s="89">
        <v>1.4653613282247799</v>
      </c>
      <c r="F35" s="90">
        <f t="shared" si="0"/>
        <v>1.431925434091357</v>
      </c>
      <c r="G35" s="90">
        <f t="shared" si="1"/>
        <v>1.3845116500278851</v>
      </c>
      <c r="J35" s="89"/>
      <c r="K35" s="89"/>
      <c r="L35" s="89"/>
      <c r="M35" s="89"/>
    </row>
    <row r="36" spans="1:13" ht="15" customHeight="1">
      <c r="A36">
        <v>2018</v>
      </c>
      <c r="B36" s="89">
        <v>1.26099987535164</v>
      </c>
      <c r="C36" s="89">
        <v>1.26891089108911</v>
      </c>
      <c r="D36" s="89">
        <v>1.4353852810180301</v>
      </c>
      <c r="E36" s="89">
        <v>1.41356859223567</v>
      </c>
      <c r="F36" s="90">
        <f t="shared" si="0"/>
        <v>1.37262158811427</v>
      </c>
      <c r="G36" s="90">
        <f t="shared" si="1"/>
        <v>1.34123974166239</v>
      </c>
      <c r="J36" s="89"/>
      <c r="K36" s="89"/>
      <c r="L36" s="89"/>
      <c r="M36" s="89"/>
    </row>
    <row r="37" spans="1:13" ht="15" customHeight="1">
      <c r="A37">
        <v>2019</v>
      </c>
      <c r="B37" s="89">
        <v>1.2401941276155899</v>
      </c>
      <c r="C37" s="89">
        <v>1.2304874446085701</v>
      </c>
      <c r="D37" s="89">
        <v>1.4355375119312801</v>
      </c>
      <c r="E37" s="89">
        <v>1.3779926445861901</v>
      </c>
      <c r="F37" s="90">
        <f t="shared" si="0"/>
        <v>1.3480058670420132</v>
      </c>
      <c r="G37" s="90">
        <f t="shared" si="1"/>
        <v>1.3042400445973801</v>
      </c>
      <c r="J37" s="89"/>
      <c r="K37" s="89"/>
      <c r="L37" s="89"/>
      <c r="M37" s="89"/>
    </row>
    <row r="38" spans="1:13" ht="15" customHeight="1">
      <c r="A38">
        <v>2020</v>
      </c>
      <c r="B38" s="89">
        <v>1.22415997570374</v>
      </c>
      <c r="C38" s="89">
        <v>1.1968965517241399</v>
      </c>
      <c r="D38" s="89">
        <v>1.4147811859800701</v>
      </c>
      <c r="E38" s="89">
        <v>1.35909466701764</v>
      </c>
      <c r="F38" s="90">
        <f t="shared" si="0"/>
        <v>1.3235908015739499</v>
      </c>
      <c r="G38" s="90">
        <f t="shared" si="1"/>
        <v>1.27799560937089</v>
      </c>
      <c r="J38" s="89"/>
      <c r="K38" s="89"/>
      <c r="L38" s="89"/>
      <c r="M38" s="89"/>
    </row>
    <row r="39" spans="1:13" ht="15" customHeight="1">
      <c r="A39">
        <v>2021</v>
      </c>
      <c r="B39" s="89">
        <v>1.1706180273675499</v>
      </c>
      <c r="C39" s="89">
        <v>1.1618410041841001</v>
      </c>
      <c r="D39" s="89">
        <v>1.1152862890567401</v>
      </c>
      <c r="E39" s="89">
        <v>1.2994960627781</v>
      </c>
      <c r="F39" s="90">
        <f t="shared" si="0"/>
        <v>1.1922077853396467</v>
      </c>
      <c r="G39" s="90">
        <f t="shared" si="1"/>
        <v>1.2306685334811001</v>
      </c>
      <c r="J39" s="89"/>
      <c r="K39" s="89"/>
      <c r="L39" s="89"/>
      <c r="M39" s="89"/>
    </row>
    <row r="40" spans="1:13" ht="15" customHeight="1">
      <c r="A40">
        <v>2022</v>
      </c>
      <c r="B40" s="89">
        <v>1.09341386552396</v>
      </c>
      <c r="C40" s="89">
        <v>1.1166756032171601</v>
      </c>
      <c r="D40" s="89">
        <v>0.99080274028956195</v>
      </c>
      <c r="E40" s="89">
        <v>1.1498296122510101</v>
      </c>
      <c r="F40" s="90">
        <f t="shared" si="0"/>
        <v>1.0857693185859107</v>
      </c>
      <c r="G40" s="90">
        <f t="shared" si="1"/>
        <v>1.133252607734085</v>
      </c>
      <c r="J40" s="89"/>
      <c r="K40" s="89"/>
      <c r="L40" s="89"/>
      <c r="M40" s="89"/>
    </row>
    <row r="41" spans="1:13" ht="15" customHeight="1">
      <c r="A41">
        <v>2023</v>
      </c>
      <c r="B41" s="89">
        <v>1.05496127264548</v>
      </c>
      <c r="C41" s="89">
        <v>1.07074550128535</v>
      </c>
      <c r="D41" s="89">
        <v>1.01991681334844</v>
      </c>
      <c r="E41" s="89">
        <v>1.06521174670608</v>
      </c>
      <c r="F41" s="90">
        <f t="shared" si="0"/>
        <v>1.0519580204466232</v>
      </c>
      <c r="G41" s="90">
        <f t="shared" si="1"/>
        <v>1.067978623995715</v>
      </c>
      <c r="J41" s="89"/>
      <c r="K41" s="89"/>
      <c r="L41" s="89"/>
      <c r="M41" s="89"/>
    </row>
    <row r="42" spans="1:13" ht="15" customHeight="1">
      <c r="A42">
        <v>2024</v>
      </c>
      <c r="B42" s="89">
        <v>1.03</v>
      </c>
      <c r="C42" s="89">
        <v>1.04</v>
      </c>
      <c r="D42" s="89">
        <v>1.03</v>
      </c>
      <c r="E42" s="89">
        <v>1.06</v>
      </c>
      <c r="F42" s="90">
        <f t="shared" si="0"/>
        <v>1.0433333333333334</v>
      </c>
      <c r="G42" s="90">
        <f t="shared" si="1"/>
        <v>1.05</v>
      </c>
      <c r="J42" s="89"/>
      <c r="K42" s="89"/>
      <c r="L42" s="89"/>
      <c r="M42" s="89"/>
    </row>
    <row r="43" spans="1:13" ht="15" customHeight="1">
      <c r="A43">
        <v>2025</v>
      </c>
      <c r="B43" s="89">
        <v>1</v>
      </c>
      <c r="C43" s="89">
        <v>1</v>
      </c>
      <c r="D43" s="89">
        <v>1</v>
      </c>
      <c r="E43" s="89">
        <v>1</v>
      </c>
      <c r="F43" s="90">
        <f t="shared" si="0"/>
        <v>1</v>
      </c>
      <c r="G43" s="90">
        <f t="shared" si="1"/>
        <v>1</v>
      </c>
      <c r="J43" s="89"/>
      <c r="K43" s="89"/>
      <c r="L43" s="89"/>
      <c r="M43" s="8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heetView workbookViewId="1"/>
  </sheetViews>
  <sheetFormatPr defaultColWidth="11.54296875" defaultRowHeight="14.5"/>
  <cols>
    <col min="1" max="1" width="47.81640625" customWidth="1"/>
    <col min="2" max="2" width="11.1796875" customWidth="1"/>
    <col min="3" max="3" width="48.1796875" customWidth="1"/>
    <col min="4" max="4" width="33.36328125" customWidth="1"/>
    <col min="5" max="5" width="47.81640625" customWidth="1"/>
  </cols>
  <sheetData>
    <row r="1" spans="1:5" s="91" customFormat="1" ht="15" customHeight="1">
      <c r="A1" s="91" t="s">
        <v>578</v>
      </c>
      <c r="B1" s="91" t="s">
        <v>498</v>
      </c>
      <c r="C1" s="91" t="s">
        <v>579</v>
      </c>
      <c r="D1" s="91" t="s">
        <v>580</v>
      </c>
      <c r="E1" s="91" t="s">
        <v>21</v>
      </c>
    </row>
    <row r="2" spans="1:5" ht="15" customHeight="1">
      <c r="A2" t="s">
        <v>581</v>
      </c>
      <c r="B2" s="90">
        <v>6.5389932052543301E-2</v>
      </c>
    </row>
    <row r="3" spans="1:5" ht="15" customHeight="1">
      <c r="A3" t="s">
        <v>582</v>
      </c>
      <c r="B3">
        <v>5</v>
      </c>
    </row>
    <row r="4" spans="1:5" ht="15" customHeight="1">
      <c r="A4" t="s">
        <v>583</v>
      </c>
      <c r="B4">
        <v>5</v>
      </c>
    </row>
    <row r="5" spans="1:5" ht="15" customHeight="1">
      <c r="A5" t="s">
        <v>584</v>
      </c>
      <c r="B5">
        <v>5</v>
      </c>
    </row>
    <row r="6" spans="1:5" ht="15" customHeight="1">
      <c r="A6" t="s">
        <v>585</v>
      </c>
      <c r="B6">
        <v>1800</v>
      </c>
    </row>
    <row r="7" spans="1:5" ht="15" customHeight="1">
      <c r="A7" t="s">
        <v>586</v>
      </c>
      <c r="B7">
        <v>10</v>
      </c>
    </row>
    <row r="8" spans="1:5" ht="15" customHeight="1">
      <c r="A8" t="s">
        <v>587</v>
      </c>
      <c r="B8">
        <v>0.03</v>
      </c>
    </row>
    <row r="9" spans="1:5" ht="19.5" customHeight="1">
      <c r="A9" t="s">
        <v>77</v>
      </c>
      <c r="B9">
        <v>0.08</v>
      </c>
      <c r="C9" s="92" t="s">
        <v>588</v>
      </c>
      <c r="D9" s="210" t="s">
        <v>589</v>
      </c>
      <c r="E9" s="211" t="s">
        <v>590</v>
      </c>
    </row>
    <row r="10" spans="1:5" ht="26.25" customHeight="1">
      <c r="A10" s="11" t="s">
        <v>43</v>
      </c>
      <c r="B10">
        <v>0</v>
      </c>
      <c r="D10" s="210"/>
      <c r="E10" s="210"/>
    </row>
    <row r="11" spans="1:5" ht="113.25" customHeight="1">
      <c r="A11" s="11" t="s">
        <v>59</v>
      </c>
      <c r="B11">
        <v>0.2</v>
      </c>
      <c r="C11" s="31" t="s">
        <v>591</v>
      </c>
      <c r="D11" s="210"/>
      <c r="E11" s="210"/>
    </row>
    <row r="12" spans="1:5" ht="15" customHeight="1">
      <c r="A12" s="11" t="s">
        <v>201</v>
      </c>
      <c r="B12">
        <v>0.18443169820109701</v>
      </c>
      <c r="C12" s="93" t="s">
        <v>588</v>
      </c>
      <c r="D12" s="210"/>
      <c r="E12" s="210"/>
    </row>
    <row r="13" spans="1:5" ht="15" customHeight="1">
      <c r="A13" s="11" t="s">
        <v>223</v>
      </c>
      <c r="B13">
        <v>0.24138000000000001</v>
      </c>
      <c r="C13" s="93" t="s">
        <v>588</v>
      </c>
      <c r="D13" s="210"/>
      <c r="E13" s="210"/>
    </row>
    <row r="14" spans="1:5" ht="15" customHeight="1">
      <c r="A14" s="11" t="s">
        <v>167</v>
      </c>
      <c r="B14" s="89">
        <v>0.22962848022115501</v>
      </c>
      <c r="C14" s="93" t="s">
        <v>588</v>
      </c>
      <c r="D14" s="210"/>
      <c r="E14" s="210"/>
    </row>
    <row r="15" spans="1:5" ht="15" customHeight="1">
      <c r="A15" s="11" t="s">
        <v>238</v>
      </c>
      <c r="B15">
        <v>0.41505377678599298</v>
      </c>
      <c r="C15" s="94" t="s">
        <v>588</v>
      </c>
      <c r="D15" s="210"/>
      <c r="E15" s="210"/>
    </row>
    <row r="16" spans="1:5" ht="15" customHeight="1">
      <c r="A16" s="11" t="s">
        <v>236</v>
      </c>
      <c r="B16">
        <v>0.39914905811401702</v>
      </c>
      <c r="C16" s="94" t="s">
        <v>588</v>
      </c>
      <c r="D16" s="210"/>
      <c r="E16" s="210"/>
    </row>
    <row r="17" spans="1:5" ht="15" customHeight="1">
      <c r="A17" s="11" t="s">
        <v>354</v>
      </c>
      <c r="B17">
        <v>0.05</v>
      </c>
      <c r="D17" t="s">
        <v>592</v>
      </c>
      <c r="E17" t="s">
        <v>593</v>
      </c>
    </row>
    <row r="18" spans="1:5" ht="26.25" customHeight="1">
      <c r="A18" t="s">
        <v>594</v>
      </c>
      <c r="B18" s="89">
        <v>0.5</v>
      </c>
      <c r="C18" s="95"/>
      <c r="D18" s="95"/>
      <c r="E18" s="95" t="s">
        <v>595</v>
      </c>
    </row>
    <row r="19" spans="1:5" ht="26.25" customHeight="1">
      <c r="A19" t="s">
        <v>596</v>
      </c>
      <c r="B19" s="89">
        <v>0.02</v>
      </c>
      <c r="C19" s="95"/>
      <c r="D19" s="95"/>
      <c r="E19" s="95" t="s">
        <v>597</v>
      </c>
    </row>
    <row r="20" spans="1:5" ht="26.25" customHeight="1">
      <c r="A20" t="s">
        <v>598</v>
      </c>
      <c r="B20" s="89">
        <v>7.4999999999999997E-2</v>
      </c>
      <c r="C20" s="95"/>
      <c r="D20" s="95"/>
      <c r="E20" s="95" t="s">
        <v>599</v>
      </c>
    </row>
    <row r="21" spans="1:5" ht="26.25" customHeight="1">
      <c r="A21" t="s">
        <v>600</v>
      </c>
      <c r="B21" s="89">
        <v>5.0000000000000001E-3</v>
      </c>
      <c r="C21" s="95"/>
      <c r="D21" s="95"/>
      <c r="E21" s="95" t="s">
        <v>601</v>
      </c>
    </row>
    <row r="22" spans="1:5" ht="26.25" customHeight="1">
      <c r="A22" t="s">
        <v>602</v>
      </c>
      <c r="B22" s="89">
        <v>0.05</v>
      </c>
      <c r="C22" s="95"/>
      <c r="D22" s="95"/>
      <c r="E22" s="95" t="s">
        <v>603</v>
      </c>
    </row>
    <row r="23" spans="1:5" ht="46.5" customHeight="1">
      <c r="A23" t="s">
        <v>604</v>
      </c>
      <c r="B23" s="89">
        <v>0.01</v>
      </c>
      <c r="C23" s="95"/>
      <c r="D23" s="95"/>
      <c r="E23" s="95" t="s">
        <v>605</v>
      </c>
    </row>
    <row r="24" spans="1:5" ht="26.25" customHeight="1">
      <c r="A24" t="s">
        <v>606</v>
      </c>
      <c r="B24" s="89">
        <v>0.05</v>
      </c>
      <c r="C24" s="95"/>
      <c r="D24" s="95"/>
      <c r="E24" s="95" t="s">
        <v>607</v>
      </c>
    </row>
    <row r="25" spans="1:5" ht="26.25" customHeight="1">
      <c r="A25" t="s">
        <v>608</v>
      </c>
      <c r="B25" s="89">
        <v>5.0000000000000001E-3</v>
      </c>
      <c r="C25" s="95"/>
      <c r="D25" s="95"/>
      <c r="E25" s="95" t="s">
        <v>609</v>
      </c>
    </row>
    <row r="26" spans="1:5" ht="15" customHeight="1">
      <c r="A26" t="s">
        <v>610</v>
      </c>
      <c r="B26">
        <v>0.1</v>
      </c>
      <c r="E26" t="s">
        <v>611</v>
      </c>
    </row>
    <row r="27" spans="1:5" ht="15" customHeight="1">
      <c r="A27" t="s">
        <v>612</v>
      </c>
      <c r="B27">
        <v>0.5</v>
      </c>
      <c r="E27" t="s">
        <v>613</v>
      </c>
    </row>
    <row r="28" spans="1:5" ht="15" customHeight="1">
      <c r="A28" t="s">
        <v>614</v>
      </c>
      <c r="B28">
        <v>0.02</v>
      </c>
      <c r="E28" t="s">
        <v>597</v>
      </c>
    </row>
    <row r="29" spans="1:5" ht="15" customHeight="1">
      <c r="A29" t="s">
        <v>615</v>
      </c>
      <c r="B29">
        <v>7.4999999999999997E-2</v>
      </c>
      <c r="E29" t="s">
        <v>599</v>
      </c>
    </row>
    <row r="30" spans="1:5" ht="15" customHeight="1">
      <c r="A30" t="s">
        <v>616</v>
      </c>
      <c r="B30">
        <v>5.0000000000000001E-3</v>
      </c>
      <c r="E30" t="s">
        <v>601</v>
      </c>
    </row>
    <row r="31" spans="1:5" ht="15" customHeight="1">
      <c r="A31" t="s">
        <v>617</v>
      </c>
      <c r="B31">
        <v>0.05</v>
      </c>
      <c r="E31" t="s">
        <v>603</v>
      </c>
    </row>
    <row r="32" spans="1:5" ht="15" customHeight="1">
      <c r="A32" t="s">
        <v>618</v>
      </c>
      <c r="B32">
        <v>0.01</v>
      </c>
      <c r="E32" t="s">
        <v>605</v>
      </c>
    </row>
    <row r="33" spans="1:5" ht="15" customHeight="1">
      <c r="A33" t="s">
        <v>619</v>
      </c>
      <c r="B33">
        <v>0.05</v>
      </c>
      <c r="E33" t="s">
        <v>607</v>
      </c>
    </row>
    <row r="34" spans="1:5" ht="15" customHeight="1">
      <c r="A34" t="s">
        <v>620</v>
      </c>
      <c r="B34">
        <v>5.0000000000000001E-3</v>
      </c>
      <c r="E34" t="s">
        <v>609</v>
      </c>
    </row>
  </sheetData>
  <mergeCells count="2">
    <mergeCell ref="D9:D16"/>
    <mergeCell ref="E9:E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9"/>
  <sheetViews>
    <sheetView workbookViewId="0"/>
    <sheetView workbookViewId="1"/>
  </sheetViews>
  <sheetFormatPr defaultColWidth="10.6328125" defaultRowHeight="13"/>
  <cols>
    <col min="1" max="1" width="8.6328125" style="11" customWidth="1"/>
    <col min="2" max="2" width="4.6328125" style="11" customWidth="1"/>
    <col min="3" max="3" width="32.6328125" style="11" customWidth="1"/>
    <col min="4" max="4" width="44.6328125" style="12" customWidth="1"/>
    <col min="5" max="5" width="13.36328125" style="12" customWidth="1"/>
    <col min="6" max="6" width="13.6328125" style="12" customWidth="1"/>
    <col min="7" max="7" width="13.6328125" style="96" customWidth="1"/>
    <col min="8" max="9" width="13.6328125" style="12" customWidth="1"/>
    <col min="10" max="11" width="13.6328125" style="13" customWidth="1"/>
    <col min="12" max="12" width="10" style="11" customWidth="1"/>
    <col min="13" max="13" width="16.36328125" style="11" customWidth="1"/>
    <col min="14" max="14" width="8.6328125" style="11" customWidth="1"/>
    <col min="15" max="15" width="7.36328125" style="11" customWidth="1"/>
    <col min="16" max="16" width="7.6328125" style="11" customWidth="1"/>
    <col min="17" max="17" width="8.1796875" style="11" customWidth="1"/>
    <col min="18" max="18" width="10.6328125" style="11"/>
    <col min="19" max="19" width="29" style="11" customWidth="1"/>
    <col min="20" max="20" width="37.1796875" style="11" customWidth="1"/>
    <col min="21" max="21" width="81.1796875" style="11" customWidth="1"/>
    <col min="22" max="22" width="18.6328125" style="11" customWidth="1"/>
    <col min="23" max="23" width="21.453125" style="11" customWidth="1"/>
    <col min="24" max="25" width="16.6328125" style="13" customWidth="1"/>
    <col min="26" max="26" width="12.453125" style="11" customWidth="1"/>
    <col min="27" max="28" width="16.6328125" style="13" customWidth="1"/>
    <col min="29" max="29" width="12.453125" style="11" customWidth="1"/>
    <col min="30" max="32" width="6.6328125" style="13" customWidth="1"/>
    <col min="33" max="33" width="16.1796875" style="11" customWidth="1"/>
    <col min="34" max="16384" width="10.6328125" style="11"/>
  </cols>
  <sheetData>
    <row r="1" spans="1:33" s="17" customFormat="1" ht="34.5" customHeight="1">
      <c r="A1" s="2" t="s">
        <v>0</v>
      </c>
      <c r="B1" s="14" t="s">
        <v>1</v>
      </c>
      <c r="C1" s="2" t="s">
        <v>2</v>
      </c>
      <c r="D1" s="14" t="s">
        <v>3</v>
      </c>
      <c r="E1" s="14" t="s">
        <v>4</v>
      </c>
      <c r="F1" s="14" t="s">
        <v>621</v>
      </c>
      <c r="G1" s="97" t="s">
        <v>622</v>
      </c>
      <c r="H1" s="14" t="s">
        <v>5</v>
      </c>
      <c r="I1" s="14" t="s">
        <v>6</v>
      </c>
      <c r="J1" s="2" t="s">
        <v>9</v>
      </c>
      <c r="K1" s="2" t="s">
        <v>10</v>
      </c>
      <c r="L1" s="2" t="s">
        <v>11</v>
      </c>
      <c r="M1" s="15" t="s">
        <v>12</v>
      </c>
      <c r="N1" s="2" t="s">
        <v>13</v>
      </c>
      <c r="O1" s="2" t="s">
        <v>14</v>
      </c>
      <c r="P1" s="2" t="s">
        <v>15</v>
      </c>
      <c r="Q1" s="2" t="s">
        <v>16</v>
      </c>
      <c r="R1" s="2" t="s">
        <v>17</v>
      </c>
      <c r="S1" s="2" t="s">
        <v>18</v>
      </c>
      <c r="T1" s="2" t="s">
        <v>19</v>
      </c>
      <c r="U1" s="2" t="s">
        <v>20</v>
      </c>
      <c r="V1" s="2" t="s">
        <v>21</v>
      </c>
      <c r="W1" s="16" t="s">
        <v>22</v>
      </c>
      <c r="X1" s="16" t="s">
        <v>23</v>
      </c>
      <c r="Y1" s="16" t="s">
        <v>24</v>
      </c>
      <c r="Z1" s="16" t="s">
        <v>25</v>
      </c>
      <c r="AA1" s="98" t="s">
        <v>26</v>
      </c>
      <c r="AB1" s="98" t="s">
        <v>27</v>
      </c>
      <c r="AC1" s="16" t="s">
        <v>28</v>
      </c>
      <c r="AD1" s="16" t="s">
        <v>29</v>
      </c>
      <c r="AE1" s="16" t="s">
        <v>30</v>
      </c>
      <c r="AF1" s="16" t="s">
        <v>31</v>
      </c>
      <c r="AG1" s="16" t="s">
        <v>32</v>
      </c>
    </row>
    <row r="2" spans="1:33" s="23" customFormat="1" ht="13.5" customHeight="1">
      <c r="A2" s="15">
        <v>10</v>
      </c>
      <c r="B2" s="18">
        <f t="shared" ref="B2:B18" si="0">IF(ISNUMBER(A2),
    IF(AND(A2=INT(A2), MOD(A2, 10) = 0), 0,
        IF(AND(A2=INT(A2), LEN(A2)=2), 1,
            IF(AND(A2=INT(A2), LEN(A2)=3), 2,
                LEN(A2) - FIND(".", A2) + 2)
        )
    ),
"")</f>
        <v>0</v>
      </c>
      <c r="C2" s="19" t="s">
        <v>33</v>
      </c>
      <c r="D2" s="19" t="str">
        <f t="shared" ref="D2:D33" si="1">REPT("   ", B2*2) &amp; C2</f>
        <v>Capitalized Pre-Construction Costs</v>
      </c>
      <c r="E2" s="19"/>
      <c r="F2" s="19"/>
      <c r="G2" s="99"/>
      <c r="H2" s="19"/>
      <c r="I2" s="19"/>
      <c r="J2" s="20"/>
      <c r="K2" s="20"/>
      <c r="L2" s="18"/>
      <c r="M2" s="18"/>
      <c r="N2" s="18"/>
      <c r="O2" s="18"/>
      <c r="P2" s="20"/>
      <c r="Q2" s="20"/>
      <c r="R2" s="18"/>
      <c r="S2" s="14"/>
      <c r="T2" s="18"/>
      <c r="U2" s="18"/>
      <c r="V2" s="18"/>
      <c r="W2" s="21"/>
      <c r="X2" s="22"/>
      <c r="Y2" s="22"/>
      <c r="Z2" s="21"/>
      <c r="AA2" s="22"/>
      <c r="AB2" s="22"/>
      <c r="AC2" s="21"/>
      <c r="AD2" s="22"/>
      <c r="AE2" s="22"/>
      <c r="AF2" s="22"/>
      <c r="AG2" s="21"/>
    </row>
    <row r="3" spans="1:33" ht="34.5" customHeight="1">
      <c r="A3" s="15">
        <v>11</v>
      </c>
      <c r="B3" s="18">
        <f t="shared" si="0"/>
        <v>1</v>
      </c>
      <c r="C3" s="24" t="s">
        <v>34</v>
      </c>
      <c r="D3" s="19" t="str">
        <f t="shared" si="1"/>
        <v xml:space="preserve">      Land Cost</v>
      </c>
      <c r="E3" s="19" t="s">
        <v>35</v>
      </c>
      <c r="F3" s="19" t="s">
        <v>623</v>
      </c>
      <c r="G3" s="99">
        <v>1</v>
      </c>
      <c r="H3" s="19"/>
      <c r="I3" s="19"/>
      <c r="J3" s="26"/>
      <c r="K3" s="26">
        <v>3800</v>
      </c>
      <c r="L3" s="27" t="s">
        <v>36</v>
      </c>
      <c r="M3" s="27" t="s">
        <v>624</v>
      </c>
      <c r="N3" s="28"/>
      <c r="O3" s="27" t="s">
        <v>38</v>
      </c>
      <c r="P3" s="29"/>
      <c r="Q3" s="29">
        <v>2022</v>
      </c>
      <c r="R3" s="27" t="s">
        <v>39</v>
      </c>
      <c r="S3" s="10" t="s">
        <v>40</v>
      </c>
      <c r="T3" s="203" t="s">
        <v>41</v>
      </c>
      <c r="U3" s="205" t="s">
        <v>42</v>
      </c>
      <c r="V3" s="4"/>
      <c r="W3" s="21" t="s">
        <v>43</v>
      </c>
      <c r="X3" s="30">
        <f>0.9*$J3</f>
        <v>0</v>
      </c>
      <c r="Y3" s="30">
        <f>1.5*J3</f>
        <v>0</v>
      </c>
      <c r="Z3" s="21" t="s">
        <v>44</v>
      </c>
      <c r="AA3" s="22">
        <f>0.9*K3</f>
        <v>3420</v>
      </c>
      <c r="AB3" s="22">
        <f>1.3*K3</f>
        <v>4940</v>
      </c>
      <c r="AC3" s="21" t="s">
        <v>44</v>
      </c>
      <c r="AD3" s="22" t="s">
        <v>45</v>
      </c>
      <c r="AE3" s="22" t="s">
        <v>46</v>
      </c>
      <c r="AF3" s="22" t="s">
        <v>47</v>
      </c>
      <c r="AG3" s="21" t="s">
        <v>48</v>
      </c>
    </row>
    <row r="4" spans="1:33" ht="13.5" customHeight="1">
      <c r="A4" s="15">
        <v>12</v>
      </c>
      <c r="B4" s="18">
        <f t="shared" si="0"/>
        <v>1</v>
      </c>
      <c r="C4" s="24" t="s">
        <v>49</v>
      </c>
      <c r="D4" s="19" t="str">
        <f t="shared" si="1"/>
        <v xml:space="preserve">      Site Permits</v>
      </c>
      <c r="E4" s="19" t="s">
        <v>35</v>
      </c>
      <c r="F4" s="19" t="s">
        <v>623</v>
      </c>
      <c r="G4" s="99">
        <v>1</v>
      </c>
      <c r="H4" s="19"/>
      <c r="I4" s="19"/>
      <c r="J4" s="26"/>
      <c r="K4" s="26">
        <f>10.03*1000</f>
        <v>10030</v>
      </c>
      <c r="L4" s="27" t="s">
        <v>50</v>
      </c>
      <c r="M4" s="27" t="s">
        <v>625</v>
      </c>
      <c r="N4" s="28"/>
      <c r="O4" s="27" t="s">
        <v>52</v>
      </c>
      <c r="P4" s="29"/>
      <c r="Q4" s="29">
        <v>2022</v>
      </c>
      <c r="R4" s="27" t="s">
        <v>53</v>
      </c>
      <c r="S4" s="10" t="s">
        <v>54</v>
      </c>
      <c r="T4" s="203"/>
      <c r="U4" s="203"/>
      <c r="V4" s="4"/>
      <c r="W4" s="21" t="s">
        <v>43</v>
      </c>
      <c r="X4" s="30">
        <f>0.9*$J4</f>
        <v>0</v>
      </c>
      <c r="Y4" s="30">
        <f>1.5*J4</f>
        <v>0</v>
      </c>
      <c r="Z4" s="21" t="s">
        <v>44</v>
      </c>
      <c r="AA4" s="22">
        <f>0.9*K4</f>
        <v>9027</v>
      </c>
      <c r="AB4" s="22">
        <f>1.3*K4</f>
        <v>13039</v>
      </c>
      <c r="AC4" s="21" t="s">
        <v>44</v>
      </c>
      <c r="AD4" s="22" t="s">
        <v>45</v>
      </c>
      <c r="AE4" s="22" t="s">
        <v>46</v>
      </c>
      <c r="AF4" s="22" t="s">
        <v>47</v>
      </c>
      <c r="AG4" s="21" t="s">
        <v>48</v>
      </c>
    </row>
    <row r="5" spans="1:33" ht="13.5" customHeight="1">
      <c r="A5" s="15">
        <v>13</v>
      </c>
      <c r="B5" s="18">
        <f t="shared" si="0"/>
        <v>1</v>
      </c>
      <c r="C5" s="24" t="s">
        <v>55</v>
      </c>
      <c r="D5" s="19" t="str">
        <f t="shared" si="1"/>
        <v xml:space="preserve">      Plant Licensing</v>
      </c>
      <c r="E5" s="19" t="s">
        <v>35</v>
      </c>
      <c r="F5" s="19" t="s">
        <v>623</v>
      </c>
      <c r="G5" s="99">
        <v>1</v>
      </c>
      <c r="H5" s="19"/>
      <c r="I5" s="19"/>
      <c r="J5" s="26">
        <f>1000000*45</f>
        <v>45000000</v>
      </c>
      <c r="K5" s="26"/>
      <c r="L5" s="28"/>
      <c r="M5" s="28"/>
      <c r="N5" s="28"/>
      <c r="O5" s="27"/>
      <c r="P5" s="29"/>
      <c r="Q5" s="29">
        <v>2009</v>
      </c>
      <c r="R5" s="27" t="s">
        <v>53</v>
      </c>
      <c r="S5" s="10" t="s">
        <v>62</v>
      </c>
      <c r="T5" s="203" t="s">
        <v>63</v>
      </c>
      <c r="U5" s="205" t="s">
        <v>58</v>
      </c>
      <c r="V5" s="4"/>
      <c r="W5" s="21" t="s">
        <v>43</v>
      </c>
      <c r="X5" s="30">
        <f>45*1000000</f>
        <v>45000000</v>
      </c>
      <c r="Y5" s="30">
        <f>70*1000000</f>
        <v>70000000</v>
      </c>
      <c r="Z5" s="21" t="s">
        <v>60</v>
      </c>
      <c r="AA5" s="22">
        <f>0.9*K5</f>
        <v>0</v>
      </c>
      <c r="AB5" s="22">
        <f>1.3*K5</f>
        <v>0</v>
      </c>
      <c r="AC5" s="21" t="s">
        <v>44</v>
      </c>
      <c r="AD5" s="22" t="s">
        <v>45</v>
      </c>
      <c r="AE5" s="22" t="s">
        <v>46</v>
      </c>
      <c r="AF5" s="22" t="s">
        <v>47</v>
      </c>
      <c r="AG5" s="21" t="s">
        <v>48</v>
      </c>
    </row>
    <row r="6" spans="1:33" ht="13.5" customHeight="1">
      <c r="A6" s="15">
        <v>14</v>
      </c>
      <c r="B6" s="18">
        <f t="shared" si="0"/>
        <v>1</v>
      </c>
      <c r="C6" s="24" t="s">
        <v>61</v>
      </c>
      <c r="D6" s="19" t="str">
        <f t="shared" si="1"/>
        <v xml:space="preserve">      Plant Permits</v>
      </c>
      <c r="E6" s="19" t="s">
        <v>35</v>
      </c>
      <c r="F6" s="19" t="s">
        <v>623</v>
      </c>
      <c r="G6" s="99">
        <v>1</v>
      </c>
      <c r="H6" s="19"/>
      <c r="I6" s="19"/>
      <c r="J6" s="26">
        <v>3000000</v>
      </c>
      <c r="K6" s="26"/>
      <c r="L6" s="28"/>
      <c r="M6" s="28"/>
      <c r="N6" s="28"/>
      <c r="O6" s="27"/>
      <c r="P6" s="29"/>
      <c r="Q6" s="29">
        <v>2009</v>
      </c>
      <c r="R6" s="27" t="s">
        <v>53</v>
      </c>
      <c r="S6" s="10" t="s">
        <v>62</v>
      </c>
      <c r="T6" s="203"/>
      <c r="U6" s="203"/>
      <c r="V6" s="4"/>
      <c r="W6" s="21" t="s">
        <v>43</v>
      </c>
      <c r="X6" s="30">
        <f>0.9*$J6</f>
        <v>2700000</v>
      </c>
      <c r="Y6" s="30">
        <f>1.5*J6</f>
        <v>4500000</v>
      </c>
      <c r="Z6" s="21" t="s">
        <v>44</v>
      </c>
      <c r="AA6" s="22">
        <f>0.9*K6</f>
        <v>0</v>
      </c>
      <c r="AB6" s="22">
        <f>1.3*K6</f>
        <v>0</v>
      </c>
      <c r="AC6" s="21" t="s">
        <v>44</v>
      </c>
      <c r="AD6" s="22" t="s">
        <v>45</v>
      </c>
      <c r="AE6" s="22" t="s">
        <v>46</v>
      </c>
      <c r="AF6" s="22" t="s">
        <v>47</v>
      </c>
      <c r="AG6" s="21" t="s">
        <v>48</v>
      </c>
    </row>
    <row r="7" spans="1:33" ht="90.75" customHeight="1">
      <c r="A7" s="15">
        <v>15</v>
      </c>
      <c r="B7" s="18">
        <f t="shared" si="0"/>
        <v>1</v>
      </c>
      <c r="C7" s="24" t="s">
        <v>64</v>
      </c>
      <c r="D7" s="19" t="str">
        <f t="shared" si="1"/>
        <v xml:space="preserve">      Plant Studies</v>
      </c>
      <c r="E7" s="19" t="s">
        <v>35</v>
      </c>
      <c r="F7" s="19" t="s">
        <v>623</v>
      </c>
      <c r="G7" s="99">
        <v>1</v>
      </c>
      <c r="H7" s="19"/>
      <c r="I7" s="19"/>
      <c r="J7" s="26">
        <f>10*MARVEL_Cost!C4</f>
        <v>52104510</v>
      </c>
      <c r="K7" s="26"/>
      <c r="L7" s="28"/>
      <c r="M7" s="28"/>
      <c r="N7" s="28"/>
      <c r="O7" s="27"/>
      <c r="P7" s="29"/>
      <c r="Q7" s="29">
        <v>2024</v>
      </c>
      <c r="R7" s="27" t="s">
        <v>53</v>
      </c>
      <c r="S7" s="10" t="s">
        <v>65</v>
      </c>
      <c r="T7" s="10" t="s">
        <v>66</v>
      </c>
      <c r="U7" s="4" t="s">
        <v>67</v>
      </c>
      <c r="V7" s="27" t="s">
        <v>68</v>
      </c>
      <c r="W7" s="21" t="s">
        <v>43</v>
      </c>
      <c r="X7" s="30">
        <f>0.9*$J7</f>
        <v>46894059</v>
      </c>
      <c r="Y7" s="30">
        <f>1.5*J7</f>
        <v>78156765</v>
      </c>
      <c r="Z7" s="21" t="s">
        <v>44</v>
      </c>
      <c r="AA7" s="22">
        <f>0.9*K7</f>
        <v>0</v>
      </c>
      <c r="AB7" s="22">
        <f>1.3*K7</f>
        <v>0</v>
      </c>
      <c r="AC7" s="21" t="s">
        <v>44</v>
      </c>
      <c r="AD7" s="22" t="s">
        <v>45</v>
      </c>
      <c r="AE7" s="22" t="s">
        <v>46</v>
      </c>
      <c r="AF7" s="22" t="s">
        <v>47</v>
      </c>
      <c r="AG7" s="21" t="s">
        <v>48</v>
      </c>
    </row>
    <row r="8" spans="1:33" ht="13.5" customHeight="1">
      <c r="A8" s="2">
        <v>20</v>
      </c>
      <c r="B8" s="18">
        <f t="shared" si="0"/>
        <v>0</v>
      </c>
      <c r="C8" s="24" t="s">
        <v>69</v>
      </c>
      <c r="D8" s="19" t="str">
        <f t="shared" si="1"/>
        <v>Capitalized Direct Costs</v>
      </c>
      <c r="E8" s="19"/>
      <c r="F8" s="19"/>
      <c r="G8" s="99"/>
      <c r="H8" s="19"/>
      <c r="I8" s="19"/>
      <c r="J8" s="26"/>
      <c r="K8" s="33"/>
      <c r="L8" s="2"/>
      <c r="M8" s="15"/>
      <c r="N8" s="2"/>
      <c r="O8" s="2"/>
      <c r="P8" s="34"/>
      <c r="Q8" s="34"/>
      <c r="R8" s="2"/>
      <c r="S8" s="2"/>
      <c r="T8" s="2"/>
      <c r="U8" s="2"/>
      <c r="V8" s="2"/>
      <c r="W8" s="21" t="s">
        <v>626</v>
      </c>
      <c r="X8" s="30"/>
      <c r="Y8" s="30"/>
      <c r="Z8" s="21"/>
      <c r="AA8" s="22"/>
      <c r="AB8" s="22"/>
      <c r="AC8" s="21"/>
      <c r="AD8" s="22"/>
      <c r="AE8" s="22"/>
      <c r="AF8" s="22"/>
      <c r="AG8" s="21"/>
    </row>
    <row r="9" spans="1:33" ht="13.5" customHeight="1">
      <c r="A9" s="15">
        <v>21</v>
      </c>
      <c r="B9" s="18">
        <f t="shared" si="0"/>
        <v>1</v>
      </c>
      <c r="C9" s="24" t="s">
        <v>70</v>
      </c>
      <c r="D9" s="19" t="str">
        <f t="shared" si="1"/>
        <v xml:space="preserve">      Structures and Improvements</v>
      </c>
      <c r="E9" s="19"/>
      <c r="F9" s="19"/>
      <c r="G9" s="99"/>
      <c r="H9" s="19"/>
      <c r="I9" s="19"/>
      <c r="J9" s="26"/>
      <c r="K9" s="26"/>
      <c r="L9" s="28"/>
      <c r="M9" s="28"/>
      <c r="N9" s="28"/>
      <c r="O9" s="28"/>
      <c r="P9" s="25"/>
      <c r="Q9" s="25"/>
      <c r="R9" s="28"/>
      <c r="S9" s="35"/>
      <c r="T9" s="28"/>
      <c r="U9" s="28"/>
      <c r="V9" s="4"/>
      <c r="W9" s="21"/>
      <c r="X9" s="30"/>
      <c r="Y9" s="30"/>
      <c r="Z9" s="21"/>
      <c r="AA9" s="22"/>
      <c r="AB9" s="22"/>
      <c r="AC9" s="21"/>
      <c r="AD9" s="22"/>
      <c r="AE9" s="22"/>
      <c r="AF9" s="22"/>
      <c r="AG9" s="21"/>
    </row>
    <row r="10" spans="1:33" ht="13.5" customHeight="1">
      <c r="A10" s="36">
        <v>211</v>
      </c>
      <c r="B10" s="18">
        <f t="shared" si="0"/>
        <v>2</v>
      </c>
      <c r="C10" s="24" t="s">
        <v>71</v>
      </c>
      <c r="D10" s="19" t="str">
        <f t="shared" si="1"/>
        <v xml:space="preserve">            Site Preparation/ Yard Work</v>
      </c>
      <c r="E10" s="19"/>
      <c r="F10" s="19"/>
      <c r="G10" s="99"/>
      <c r="H10" s="19"/>
      <c r="I10" s="19"/>
      <c r="J10" s="26"/>
      <c r="K10" s="26"/>
      <c r="L10" s="28"/>
      <c r="M10" s="28"/>
      <c r="N10" s="28"/>
      <c r="O10" s="28"/>
      <c r="P10" s="25"/>
      <c r="Q10" s="25"/>
      <c r="R10" s="28"/>
      <c r="S10" s="35"/>
      <c r="T10" s="28"/>
      <c r="U10" s="28"/>
      <c r="V10" s="4"/>
      <c r="W10" s="21"/>
      <c r="X10" s="30"/>
      <c r="Y10" s="30"/>
      <c r="Z10" s="21"/>
      <c r="AA10" s="22"/>
      <c r="AB10" s="22"/>
      <c r="AC10" s="21"/>
      <c r="AD10" s="22"/>
      <c r="AE10" s="22"/>
      <c r="AF10" s="22"/>
      <c r="AG10" s="21"/>
    </row>
    <row r="11" spans="1:33" ht="13.5" customHeight="1">
      <c r="A11" s="37">
        <v>211.1</v>
      </c>
      <c r="B11" s="18">
        <f t="shared" si="0"/>
        <v>3</v>
      </c>
      <c r="C11" s="24" t="s">
        <v>72</v>
      </c>
      <c r="D11" s="19" t="str">
        <f t="shared" si="1"/>
        <v xml:space="preserve">                  Cleaning and Grubbing</v>
      </c>
      <c r="E11" s="19" t="s">
        <v>35</v>
      </c>
      <c r="F11" s="19" t="s">
        <v>623</v>
      </c>
      <c r="G11" s="99">
        <v>1</v>
      </c>
      <c r="H11" s="19"/>
      <c r="I11" s="19"/>
      <c r="J11" s="26"/>
      <c r="K11" s="26">
        <f>4408.18*1.33</f>
        <v>5862.8794000000007</v>
      </c>
      <c r="L11" s="27" t="s">
        <v>36</v>
      </c>
      <c r="M11" s="27" t="s">
        <v>624</v>
      </c>
      <c r="N11" s="28"/>
      <c r="O11" s="27" t="s">
        <v>38</v>
      </c>
      <c r="P11" s="25"/>
      <c r="Q11" s="29">
        <v>2024</v>
      </c>
      <c r="R11" s="27" t="s">
        <v>73</v>
      </c>
      <c r="S11" s="203" t="s">
        <v>74</v>
      </c>
      <c r="T11" s="203" t="s">
        <v>75</v>
      </c>
      <c r="U11" s="204" t="s">
        <v>76</v>
      </c>
      <c r="V11" s="4"/>
      <c r="W11" s="21" t="s">
        <v>43</v>
      </c>
      <c r="X11" s="30">
        <f>0.9*$J11</f>
        <v>0</v>
      </c>
      <c r="Y11" s="30">
        <f>1.5*J11</f>
        <v>0</v>
      </c>
      <c r="Z11" s="21" t="s">
        <v>44</v>
      </c>
      <c r="AA11" s="22">
        <f>0.9*K11</f>
        <v>5276.5914600000006</v>
      </c>
      <c r="AB11" s="22">
        <f>1.3*K11</f>
        <v>7621.7432200000012</v>
      </c>
      <c r="AC11" s="21" t="s">
        <v>44</v>
      </c>
      <c r="AD11" s="22" t="s">
        <v>45</v>
      </c>
      <c r="AE11" s="22" t="s">
        <v>46</v>
      </c>
      <c r="AF11" s="22" t="s">
        <v>47</v>
      </c>
      <c r="AG11" s="21" t="s">
        <v>48</v>
      </c>
    </row>
    <row r="12" spans="1:33" ht="13.5" customHeight="1">
      <c r="A12" s="36">
        <v>211.2</v>
      </c>
      <c r="B12" s="18">
        <f t="shared" si="0"/>
        <v>3</v>
      </c>
      <c r="C12" s="24" t="s">
        <v>78</v>
      </c>
      <c r="D12" s="19" t="str">
        <f t="shared" si="1"/>
        <v xml:space="preserve">                  Stripping Topsoil</v>
      </c>
      <c r="E12" s="19" t="s">
        <v>35</v>
      </c>
      <c r="F12" s="19" t="s">
        <v>623</v>
      </c>
      <c r="G12" s="99">
        <v>1</v>
      </c>
      <c r="H12" s="19"/>
      <c r="I12" s="19"/>
      <c r="J12" s="26"/>
      <c r="K12" s="26">
        <f>2565.2*1.33</f>
        <v>3411.7159999999999</v>
      </c>
      <c r="L12" s="27" t="s">
        <v>36</v>
      </c>
      <c r="M12" s="27" t="s">
        <v>624</v>
      </c>
      <c r="N12" s="28"/>
      <c r="O12" s="27" t="s">
        <v>38</v>
      </c>
      <c r="P12" s="25"/>
      <c r="Q12" s="29">
        <v>2024</v>
      </c>
      <c r="R12" s="27" t="s">
        <v>73</v>
      </c>
      <c r="S12" s="203"/>
      <c r="T12" s="203"/>
      <c r="U12" s="203"/>
      <c r="V12" s="4"/>
      <c r="W12" s="21" t="s">
        <v>43</v>
      </c>
      <c r="X12" s="30">
        <f>0.9*$J12</f>
        <v>0</v>
      </c>
      <c r="Y12" s="30">
        <f>1.5*J12</f>
        <v>0</v>
      </c>
      <c r="Z12" s="21" t="s">
        <v>44</v>
      </c>
      <c r="AA12" s="22">
        <f>0.9*K12</f>
        <v>3070.5443999999998</v>
      </c>
      <c r="AB12" s="22">
        <f>1.3*K12</f>
        <v>4435.2308000000003</v>
      </c>
      <c r="AC12" s="21" t="s">
        <v>44</v>
      </c>
      <c r="AD12" s="22" t="s">
        <v>45</v>
      </c>
      <c r="AE12" s="22" t="s">
        <v>46</v>
      </c>
      <c r="AF12" s="22" t="s">
        <v>47</v>
      </c>
      <c r="AG12" s="21" t="s">
        <v>48</v>
      </c>
    </row>
    <row r="13" spans="1:33" ht="34.5" customHeight="1">
      <c r="A13" s="36">
        <v>211.4</v>
      </c>
      <c r="B13" s="18">
        <f t="shared" si="0"/>
        <v>3</v>
      </c>
      <c r="C13" s="24" t="s">
        <v>83</v>
      </c>
      <c r="D13" s="19" t="str">
        <f t="shared" si="1"/>
        <v xml:space="preserve">                  Roads</v>
      </c>
      <c r="E13" s="19" t="s">
        <v>35</v>
      </c>
      <c r="F13" s="19" t="s">
        <v>623</v>
      </c>
      <c r="G13" s="99">
        <v>1</v>
      </c>
      <c r="H13" s="19"/>
      <c r="I13" s="19"/>
      <c r="J13" s="26"/>
      <c r="K13" s="26">
        <f>0.7*7873200*1.609/1000</f>
        <v>8867.5851600000005</v>
      </c>
      <c r="L13" s="27" t="s">
        <v>84</v>
      </c>
      <c r="M13" s="100" t="s">
        <v>627</v>
      </c>
      <c r="N13" s="101">
        <v>1</v>
      </c>
      <c r="O13" s="102"/>
      <c r="P13" s="103">
        <v>1</v>
      </c>
      <c r="Q13" s="104">
        <v>2025</v>
      </c>
      <c r="R13" s="102" t="s">
        <v>39</v>
      </c>
      <c r="S13" s="38" t="s">
        <v>87</v>
      </c>
      <c r="T13" s="105"/>
      <c r="U13" s="9"/>
      <c r="V13" s="4"/>
      <c r="W13" s="21" t="s">
        <v>43</v>
      </c>
      <c r="X13" s="30">
        <f>0.9*$J13</f>
        <v>0</v>
      </c>
      <c r="Y13" s="30">
        <f>1.5*J13</f>
        <v>0</v>
      </c>
      <c r="Z13" s="21" t="s">
        <v>44</v>
      </c>
      <c r="AA13" s="22">
        <f>0.9*K13</f>
        <v>7980.8266440000007</v>
      </c>
      <c r="AB13" s="22">
        <f>1.3*K13</f>
        <v>11527.860708000002</v>
      </c>
      <c r="AC13" s="21" t="s">
        <v>44</v>
      </c>
      <c r="AD13" s="22" t="s">
        <v>45</v>
      </c>
      <c r="AE13" s="22" t="s">
        <v>46</v>
      </c>
      <c r="AF13" s="22" t="s">
        <v>47</v>
      </c>
      <c r="AG13" s="21" t="s">
        <v>48</v>
      </c>
    </row>
    <row r="14" spans="1:33" ht="13.5" customHeight="1">
      <c r="A14" s="36">
        <v>211.9</v>
      </c>
      <c r="B14" s="18">
        <f t="shared" si="0"/>
        <v>3</v>
      </c>
      <c r="C14" s="24" t="s">
        <v>88</v>
      </c>
      <c r="D14" s="19" t="str">
        <f t="shared" si="1"/>
        <v xml:space="preserve">                  Security Fencing</v>
      </c>
      <c r="E14" s="19"/>
      <c r="F14" s="19"/>
      <c r="G14" s="99"/>
      <c r="H14" s="19"/>
      <c r="I14" s="19"/>
      <c r="J14" s="26"/>
      <c r="K14" s="106"/>
      <c r="L14" s="107"/>
      <c r="M14" s="108"/>
      <c r="N14" s="109"/>
      <c r="O14" s="27"/>
      <c r="P14" s="110"/>
      <c r="Q14" s="111"/>
      <c r="R14" s="112"/>
      <c r="S14" s="113"/>
      <c r="T14" s="10"/>
      <c r="U14" s="9"/>
      <c r="V14" s="4"/>
      <c r="W14" s="21"/>
      <c r="X14" s="30"/>
      <c r="Y14" s="30"/>
      <c r="Z14" s="21"/>
      <c r="AA14" s="22"/>
      <c r="AB14" s="22"/>
      <c r="AC14" s="21"/>
      <c r="AD14" s="22"/>
      <c r="AE14" s="22"/>
      <c r="AF14" s="22"/>
      <c r="AG14" s="21"/>
    </row>
    <row r="15" spans="1:33" ht="34.5" customHeight="1">
      <c r="A15" s="36">
        <v>211.91</v>
      </c>
      <c r="B15" s="18">
        <f t="shared" si="0"/>
        <v>4</v>
      </c>
      <c r="C15" s="24" t="s">
        <v>89</v>
      </c>
      <c r="D15" s="19" t="str">
        <f t="shared" si="1"/>
        <v xml:space="preserve">                        Security Fencing Limited</v>
      </c>
      <c r="E15" s="19" t="s">
        <v>35</v>
      </c>
      <c r="F15" s="19" t="s">
        <v>623</v>
      </c>
      <c r="G15" s="99">
        <v>1</v>
      </c>
      <c r="H15" s="19"/>
      <c r="I15" s="19"/>
      <c r="J15" s="26"/>
      <c r="K15" s="26">
        <f>0.7*273</f>
        <v>191.1</v>
      </c>
      <c r="L15" s="27" t="s">
        <v>628</v>
      </c>
      <c r="M15" s="27" t="s">
        <v>629</v>
      </c>
      <c r="N15" s="28"/>
      <c r="O15" s="27"/>
      <c r="P15" s="25"/>
      <c r="Q15" s="29">
        <v>2025</v>
      </c>
      <c r="R15" s="27" t="s">
        <v>73</v>
      </c>
      <c r="S15" s="38" t="s">
        <v>87</v>
      </c>
      <c r="T15" s="10"/>
      <c r="U15" s="40"/>
      <c r="V15" s="4"/>
      <c r="W15" s="21" t="s">
        <v>43</v>
      </c>
      <c r="X15" s="30">
        <f>0.9*$J15</f>
        <v>0</v>
      </c>
      <c r="Y15" s="30">
        <f>1.5*J15</f>
        <v>0</v>
      </c>
      <c r="Z15" s="21" t="s">
        <v>44</v>
      </c>
      <c r="AA15" s="22">
        <f>0.9*K15</f>
        <v>171.99</v>
      </c>
      <c r="AB15" s="22">
        <f>1.3*K15</f>
        <v>248.43</v>
      </c>
      <c r="AC15" s="21" t="s">
        <v>44</v>
      </c>
      <c r="AD15" s="22" t="s">
        <v>45</v>
      </c>
      <c r="AE15" s="22" t="s">
        <v>46</v>
      </c>
      <c r="AF15" s="22" t="s">
        <v>47</v>
      </c>
      <c r="AG15" s="21" t="s">
        <v>48</v>
      </c>
    </row>
    <row r="16" spans="1:33" ht="34.5" customHeight="1">
      <c r="A16" s="36">
        <v>211.93</v>
      </c>
      <c r="B16" s="18">
        <f t="shared" si="0"/>
        <v>4</v>
      </c>
      <c r="C16" s="24" t="s">
        <v>91</v>
      </c>
      <c r="D16" s="19" t="str">
        <f t="shared" si="1"/>
        <v xml:space="preserve">                        Security Fencing Protected</v>
      </c>
      <c r="E16" s="19" t="s">
        <v>35</v>
      </c>
      <c r="F16" s="19" t="s">
        <v>623</v>
      </c>
      <c r="G16" s="99">
        <v>1</v>
      </c>
      <c r="H16" s="19"/>
      <c r="I16" s="19"/>
      <c r="J16" s="26"/>
      <c r="K16" s="26">
        <f>0.7*15746</f>
        <v>11022.199999999999</v>
      </c>
      <c r="L16" s="27" t="s">
        <v>628</v>
      </c>
      <c r="M16" s="27" t="s">
        <v>630</v>
      </c>
      <c r="N16" s="28"/>
      <c r="O16" s="27"/>
      <c r="P16" s="25"/>
      <c r="Q16" s="29">
        <v>2025</v>
      </c>
      <c r="R16" s="27" t="s">
        <v>73</v>
      </c>
      <c r="S16" s="38" t="s">
        <v>87</v>
      </c>
      <c r="T16" s="10"/>
      <c r="U16" s="40"/>
      <c r="V16" s="4"/>
      <c r="W16" s="21" t="s">
        <v>43</v>
      </c>
      <c r="X16" s="30">
        <f>0.9*$J16</f>
        <v>0</v>
      </c>
      <c r="Y16" s="30">
        <f>1.5*J16</f>
        <v>0</v>
      </c>
      <c r="Z16" s="21" t="s">
        <v>44</v>
      </c>
      <c r="AA16" s="22">
        <f>0.9*K16</f>
        <v>9919.98</v>
      </c>
      <c r="AB16" s="22">
        <f>1.3*K16</f>
        <v>14328.859999999999</v>
      </c>
      <c r="AC16" s="21" t="s">
        <v>44</v>
      </c>
      <c r="AD16" s="22">
        <v>0.1</v>
      </c>
      <c r="AE16" s="22" t="s">
        <v>46</v>
      </c>
      <c r="AF16" s="22" t="s">
        <v>47</v>
      </c>
      <c r="AG16" s="21" t="s">
        <v>48</v>
      </c>
    </row>
    <row r="17" spans="1:33" ht="13.5" customHeight="1">
      <c r="A17" s="36">
        <v>214</v>
      </c>
      <c r="B17" s="18">
        <f t="shared" si="0"/>
        <v>2</v>
      </c>
      <c r="C17" s="24" t="s">
        <v>631</v>
      </c>
      <c r="D17" s="19" t="str">
        <f t="shared" si="1"/>
        <v xml:space="preserve">            Servicing Facilities Structures</v>
      </c>
      <c r="E17" s="19"/>
      <c r="F17" s="19"/>
      <c r="G17" s="99"/>
      <c r="H17" s="19"/>
      <c r="I17" s="19"/>
      <c r="J17" s="26"/>
      <c r="K17" s="26"/>
      <c r="L17" s="28"/>
      <c r="M17" s="35"/>
      <c r="N17" s="28"/>
      <c r="O17" s="28"/>
      <c r="P17" s="25"/>
      <c r="Q17" s="25"/>
      <c r="R17" s="28"/>
      <c r="S17" s="35"/>
      <c r="T17" s="10"/>
      <c r="U17" s="9"/>
      <c r="V17" s="4"/>
      <c r="W17" s="21"/>
      <c r="X17" s="30"/>
      <c r="Y17" s="30"/>
      <c r="Z17" s="21"/>
      <c r="AA17" s="22"/>
      <c r="AB17" s="22"/>
      <c r="AC17" s="21"/>
      <c r="AD17" s="22"/>
      <c r="AE17" s="22"/>
      <c r="AF17" s="22"/>
      <c r="AG17" s="21"/>
    </row>
    <row r="18" spans="1:33" ht="13.5" customHeight="1">
      <c r="A18" s="36">
        <v>214.3</v>
      </c>
      <c r="B18" s="18">
        <f t="shared" si="0"/>
        <v>3</v>
      </c>
      <c r="C18" s="24" t="s">
        <v>632</v>
      </c>
      <c r="D18" s="19" t="str">
        <f t="shared" si="1"/>
        <v xml:space="preserve">                  Control Buidlings</v>
      </c>
      <c r="E18" s="19"/>
      <c r="F18" s="19"/>
      <c r="G18" s="99"/>
      <c r="H18" s="19"/>
      <c r="I18" s="19"/>
      <c r="J18" s="114"/>
      <c r="K18" s="26"/>
      <c r="L18" s="27"/>
      <c r="M18" s="24"/>
      <c r="N18" s="28"/>
      <c r="O18" s="27"/>
      <c r="P18" s="25"/>
      <c r="Q18" s="29"/>
      <c r="R18" s="27"/>
      <c r="S18" s="10"/>
      <c r="T18" s="10"/>
      <c r="U18" s="9"/>
      <c r="V18" s="4"/>
      <c r="W18" s="21"/>
      <c r="X18" s="30"/>
      <c r="Y18" s="30"/>
      <c r="Z18" s="21"/>
      <c r="AA18" s="22"/>
      <c r="AB18" s="22"/>
      <c r="AC18" s="21"/>
      <c r="AD18" s="22"/>
      <c r="AE18" s="22"/>
      <c r="AF18" s="22"/>
      <c r="AG18" s="21"/>
    </row>
    <row r="19" spans="1:33" ht="57" customHeight="1">
      <c r="A19" s="36">
        <v>214.31</v>
      </c>
      <c r="B19" s="18">
        <v>4</v>
      </c>
      <c r="C19" s="24" t="s">
        <v>633</v>
      </c>
      <c r="D19" s="19" t="str">
        <f t="shared" si="1"/>
        <v xml:space="preserve">                        Local Control Buidling Structure</v>
      </c>
      <c r="E19" s="19" t="s">
        <v>35</v>
      </c>
      <c r="F19" s="19" t="s">
        <v>623</v>
      </c>
      <c r="G19" s="99">
        <v>1</v>
      </c>
      <c r="H19" s="19"/>
      <c r="I19" s="19"/>
      <c r="J19" s="114"/>
      <c r="K19" s="26">
        <f>0.7*2653*(3.2808^2)</f>
        <v>19989.171889344001</v>
      </c>
      <c r="L19" s="27" t="s">
        <v>102</v>
      </c>
      <c r="M19" s="24" t="s">
        <v>634</v>
      </c>
      <c r="N19" s="115">
        <v>1</v>
      </c>
      <c r="O19" s="115" t="s">
        <v>104</v>
      </c>
      <c r="P19" s="116">
        <v>1</v>
      </c>
      <c r="Q19" s="29">
        <v>2025</v>
      </c>
      <c r="R19" s="28" t="s">
        <v>96</v>
      </c>
      <c r="S19" s="117" t="s">
        <v>635</v>
      </c>
      <c r="T19" s="10"/>
      <c r="U19" s="9"/>
      <c r="V19" s="4"/>
      <c r="W19" s="118" t="s">
        <v>43</v>
      </c>
      <c r="X19" s="119">
        <f>0.9*$I19</f>
        <v>0</v>
      </c>
      <c r="Y19" s="119">
        <f>1.5*J19</f>
        <v>0</v>
      </c>
      <c r="Z19" s="118" t="s">
        <v>44</v>
      </c>
      <c r="AA19" s="120">
        <f>0.9*K19</f>
        <v>17990.254700409601</v>
      </c>
      <c r="AB19" s="120">
        <f>1.3*K19</f>
        <v>25985.923456147204</v>
      </c>
      <c r="AC19" s="118" t="s">
        <v>44</v>
      </c>
      <c r="AD19" s="120" t="s">
        <v>45</v>
      </c>
      <c r="AE19" s="120" t="s">
        <v>46</v>
      </c>
      <c r="AF19" s="120" t="s">
        <v>47</v>
      </c>
      <c r="AG19" s="118" t="s">
        <v>48</v>
      </c>
    </row>
    <row r="20" spans="1:33" ht="13.5" customHeight="1">
      <c r="A20" s="15">
        <v>22</v>
      </c>
      <c r="B20" s="18">
        <f>IF(ISNUMBER(A20),
    IF(AND(A20=INT(A20), MOD(A20, 10) = 0), 0,
        IF(AND(A20=INT(A20), LEN(A20)=2), 1,
            IF(AND(A20=INT(A20), LEN(A20)=3), 2,
                LEN(A20) - FIND(".", A20) + 2)
        )
    ),
"")</f>
        <v>1</v>
      </c>
      <c r="C20" s="42" t="s">
        <v>636</v>
      </c>
      <c r="D20" s="19" t="str">
        <f t="shared" si="1"/>
        <v xml:space="preserve">      Main Facilities Estimated As Wholes</v>
      </c>
      <c r="E20" s="19"/>
      <c r="F20" s="19"/>
      <c r="G20" s="99"/>
      <c r="H20" s="19"/>
      <c r="I20" s="19"/>
      <c r="J20" s="26"/>
      <c r="K20" s="26"/>
      <c r="L20" s="28"/>
      <c r="M20" s="19"/>
      <c r="N20" s="4"/>
      <c r="O20" s="4"/>
      <c r="P20" s="29"/>
      <c r="Q20" s="29"/>
      <c r="R20" s="4"/>
      <c r="S20" s="32"/>
      <c r="T20" s="4"/>
      <c r="U20" s="4"/>
      <c r="V20" s="4"/>
      <c r="W20" s="21"/>
      <c r="X20" s="30"/>
      <c r="Y20" s="30"/>
      <c r="Z20" s="21"/>
      <c r="AA20" s="22"/>
      <c r="AB20" s="22"/>
      <c r="AC20" s="21"/>
      <c r="AD20" s="22"/>
      <c r="AE20" s="22"/>
      <c r="AF20" s="22"/>
      <c r="AG20" s="21"/>
    </row>
    <row r="21" spans="1:33" ht="13.5" customHeight="1">
      <c r="A21" s="121">
        <v>221</v>
      </c>
      <c r="B21" s="122">
        <f>IF(ISNUMBER(A21),
    IF(AND(A21=INT(A21), MOD(A21, 10) = 0), 0,
        IF(AND(A21=INT(A21), LEN(A21)=2), 1,
            IF(AND(A21=INT(A21), LEN(A21)=3), 2,
                LEN(A21) - FIND(".", A21) + 2)
        )
    ),
"")</f>
        <v>2</v>
      </c>
      <c r="C21" s="123" t="s">
        <v>637</v>
      </c>
      <c r="D21" s="124" t="str">
        <f t="shared" si="1"/>
        <v xml:space="preserve">            Manufacturing Building</v>
      </c>
      <c r="E21" s="124" t="s">
        <v>35</v>
      </c>
      <c r="F21" s="125"/>
      <c r="G21" s="126"/>
      <c r="H21" s="124"/>
      <c r="I21" s="124"/>
      <c r="J21" s="26"/>
      <c r="K21" s="127">
        <f>62733028.09/N21</f>
        <v>62733.028090000007</v>
      </c>
      <c r="L21" s="115"/>
      <c r="M21" s="128" t="s">
        <v>638</v>
      </c>
      <c r="N21" s="115">
        <v>1000</v>
      </c>
      <c r="O21" s="115" t="s">
        <v>639</v>
      </c>
      <c r="P21" s="129">
        <v>0.13827064818134199</v>
      </c>
      <c r="Q21" s="29">
        <v>2025</v>
      </c>
      <c r="R21" s="28" t="s">
        <v>96</v>
      </c>
      <c r="S21" s="117"/>
      <c r="T21" s="10"/>
      <c r="U21" s="9"/>
      <c r="V21" s="4"/>
      <c r="W21" s="118" t="s">
        <v>43</v>
      </c>
      <c r="X21" s="119">
        <f>0.9*$I21</f>
        <v>0</v>
      </c>
      <c r="Y21" s="119">
        <f>1.5*J21</f>
        <v>0</v>
      </c>
      <c r="Z21" s="118" t="s">
        <v>44</v>
      </c>
      <c r="AA21" s="120">
        <f>0.9*K21</f>
        <v>56459.725281000006</v>
      </c>
      <c r="AB21" s="120">
        <f>1.3*K21</f>
        <v>81552.936517000009</v>
      </c>
      <c r="AC21" s="118" t="s">
        <v>44</v>
      </c>
      <c r="AD21" s="120">
        <v>0.1</v>
      </c>
      <c r="AE21" s="120" t="s">
        <v>46</v>
      </c>
      <c r="AF21" s="120" t="s">
        <v>47</v>
      </c>
      <c r="AG21" s="118" t="s">
        <v>48</v>
      </c>
    </row>
    <row r="22" spans="1:33" ht="13.5" customHeight="1">
      <c r="A22" s="121">
        <v>222</v>
      </c>
      <c r="B22" s="122">
        <f>IF(ISNUMBER(A22),
    IF(AND(A22=INT(A22), MOD(A22, 10) = 0), 0,
        IF(AND(A22=INT(A22), LEN(A22)=2), 1,
            IF(AND(A22=INT(A22), LEN(A22)=3), 2,
                LEN(A22) - FIND(".", A22) + 2)
        )
    ),
"")</f>
        <v>2</v>
      </c>
      <c r="C22" s="123" t="s">
        <v>640</v>
      </c>
      <c r="D22" s="124" t="str">
        <f t="shared" si="1"/>
        <v xml:space="preserve">            Fueling Building</v>
      </c>
      <c r="E22" s="124" t="s">
        <v>35</v>
      </c>
      <c r="F22" s="125"/>
      <c r="G22" s="126"/>
      <c r="H22" s="124"/>
      <c r="I22" s="124"/>
      <c r="J22" s="26"/>
      <c r="K22" s="127">
        <f>35766971.91/N22</f>
        <v>35766.971909999993</v>
      </c>
      <c r="L22" s="115"/>
      <c r="M22" s="128" t="s">
        <v>638</v>
      </c>
      <c r="N22" s="115">
        <v>1000</v>
      </c>
      <c r="O22" s="115" t="s">
        <v>639</v>
      </c>
      <c r="P22" s="129">
        <v>0.13827064818134199</v>
      </c>
      <c r="Q22" s="29">
        <v>2025</v>
      </c>
      <c r="R22" s="28" t="s">
        <v>96</v>
      </c>
      <c r="S22" s="117"/>
      <c r="T22" s="10"/>
      <c r="U22" s="9"/>
      <c r="V22" s="4"/>
      <c r="W22" s="118" t="s">
        <v>43</v>
      </c>
      <c r="X22" s="119">
        <f>0.9*$I22</f>
        <v>0</v>
      </c>
      <c r="Y22" s="119">
        <f>1.5*J22</f>
        <v>0</v>
      </c>
      <c r="Z22" s="118" t="s">
        <v>44</v>
      </c>
      <c r="AA22" s="120">
        <f>0.9*K22</f>
        <v>32190.274718999994</v>
      </c>
      <c r="AB22" s="120">
        <f>1.3*K22</f>
        <v>46497.063482999991</v>
      </c>
      <c r="AC22" s="118" t="s">
        <v>44</v>
      </c>
      <c r="AD22" s="120">
        <v>0.1</v>
      </c>
      <c r="AE22" s="120" t="s">
        <v>46</v>
      </c>
      <c r="AF22" s="120" t="s">
        <v>47</v>
      </c>
      <c r="AG22" s="118" t="s">
        <v>48</v>
      </c>
    </row>
    <row r="23" spans="1:33" ht="13.5" customHeight="1">
      <c r="A23" s="130">
        <v>223</v>
      </c>
      <c r="B23" s="131">
        <v>2</v>
      </c>
      <c r="C23" s="132" t="s">
        <v>641</v>
      </c>
      <c r="D23" s="133" t="str">
        <f t="shared" si="1"/>
        <v xml:space="preserve">            Testing Building</v>
      </c>
      <c r="E23" s="124"/>
      <c r="F23" s="125"/>
      <c r="G23" s="126"/>
      <c r="H23" s="124"/>
      <c r="I23" s="124"/>
      <c r="J23" s="26"/>
      <c r="K23" s="127"/>
      <c r="L23" s="115"/>
      <c r="M23" s="134"/>
      <c r="N23" s="115"/>
      <c r="O23" s="115"/>
      <c r="P23" s="129"/>
      <c r="Q23" s="29"/>
      <c r="R23" s="28"/>
      <c r="S23" s="117"/>
      <c r="T23" s="10"/>
      <c r="U23" s="9"/>
      <c r="V23" s="4"/>
      <c r="W23" s="118" t="s">
        <v>43</v>
      </c>
      <c r="X23" s="119">
        <f>0.9*$I23</f>
        <v>0</v>
      </c>
      <c r="Y23" s="119">
        <f>1.5*J23</f>
        <v>0</v>
      </c>
      <c r="Z23" s="118" t="s">
        <v>44</v>
      </c>
      <c r="AA23" s="120">
        <f>0.9*K23</f>
        <v>0</v>
      </c>
      <c r="AB23" s="120">
        <f>1.3*K23</f>
        <v>0</v>
      </c>
      <c r="AC23" s="118" t="s">
        <v>44</v>
      </c>
      <c r="AD23" s="120">
        <v>0.1</v>
      </c>
      <c r="AE23" s="120" t="s">
        <v>46</v>
      </c>
      <c r="AF23" s="120" t="s">
        <v>47</v>
      </c>
      <c r="AG23" s="118" t="s">
        <v>48</v>
      </c>
    </row>
    <row r="24" spans="1:33" ht="23.25" customHeight="1">
      <c r="A24" s="121">
        <v>224</v>
      </c>
      <c r="B24" s="122">
        <f>IF(ISNUMBER(A24),
    IF(AND(A24=INT(A24), MOD(A24, 10) = 0), 0,
        IF(AND(A24=INT(A24), LEN(A24)=2), 1,
            IF(AND(A24=INT(A24), LEN(A24)=3), 2,
                LEN(A24) - FIND(".", A24) + 2)
        )
    ),
"")</f>
        <v>2</v>
      </c>
      <c r="C24" s="123" t="s">
        <v>642</v>
      </c>
      <c r="D24" s="124" t="str">
        <f t="shared" si="1"/>
        <v xml:space="preserve">            Warehouse</v>
      </c>
      <c r="E24" s="124" t="s">
        <v>35</v>
      </c>
      <c r="F24" s="124"/>
      <c r="G24" s="126"/>
      <c r="H24" s="124"/>
      <c r="I24" s="124"/>
      <c r="J24" s="135"/>
      <c r="K24" s="127">
        <v>3842.71</v>
      </c>
      <c r="L24" s="136" t="s">
        <v>102</v>
      </c>
      <c r="M24" s="128" t="s">
        <v>643</v>
      </c>
      <c r="N24" s="115">
        <v>1</v>
      </c>
      <c r="O24" s="115" t="s">
        <v>104</v>
      </c>
      <c r="P24" s="116">
        <v>1</v>
      </c>
      <c r="Q24" s="29">
        <v>2025</v>
      </c>
      <c r="R24" s="28" t="s">
        <v>96</v>
      </c>
      <c r="S24" s="117"/>
      <c r="T24" s="10"/>
      <c r="U24" s="9"/>
      <c r="V24" s="4"/>
      <c r="W24" s="118" t="s">
        <v>43</v>
      </c>
      <c r="X24" s="119">
        <f>0.9*$I24</f>
        <v>0</v>
      </c>
      <c r="Y24" s="119">
        <f>1.5*J24</f>
        <v>0</v>
      </c>
      <c r="Z24" s="118" t="s">
        <v>44</v>
      </c>
      <c r="AA24" s="120">
        <f>0.9*K24</f>
        <v>3458.4390000000003</v>
      </c>
      <c r="AB24" s="120">
        <f>1.3*K24</f>
        <v>4995.5230000000001</v>
      </c>
      <c r="AC24" s="118" t="s">
        <v>44</v>
      </c>
      <c r="AD24" s="120" t="s">
        <v>45</v>
      </c>
      <c r="AE24" s="120" t="s">
        <v>46</v>
      </c>
      <c r="AF24" s="120" t="s">
        <v>47</v>
      </c>
      <c r="AG24" s="118" t="s">
        <v>48</v>
      </c>
    </row>
    <row r="25" spans="1:33" ht="57" customHeight="1">
      <c r="A25" s="121">
        <v>225</v>
      </c>
      <c r="B25" s="122">
        <f>IF(ISNUMBER(A25),
    IF(AND(A25=INT(A25), MOD(A25, 10) = 0), 0,
        IF(AND(A25=INT(A25), LEN(A25)=2), 1,
            IF(AND(A25=INT(A25), LEN(A25)=3), 2,
                LEN(A25) - FIND(".", A25) + 2)
        )
    ),
"")</f>
        <v>2</v>
      </c>
      <c r="C25" s="123" t="s">
        <v>644</v>
      </c>
      <c r="D25" s="124" t="str">
        <f t="shared" si="1"/>
        <v xml:space="preserve">            Administrative Building</v>
      </c>
      <c r="E25" s="124" t="s">
        <v>35</v>
      </c>
      <c r="F25" s="124"/>
      <c r="G25" s="126"/>
      <c r="H25" s="124"/>
      <c r="I25" s="124"/>
      <c r="J25" s="26"/>
      <c r="K25" s="127">
        <f>0.7*1968*(3.2808^2)</f>
        <v>14828.002366464001</v>
      </c>
      <c r="L25" s="115" t="s">
        <v>102</v>
      </c>
      <c r="M25" s="128" t="s">
        <v>645</v>
      </c>
      <c r="N25" s="115">
        <v>1</v>
      </c>
      <c r="O25" s="115" t="s">
        <v>104</v>
      </c>
      <c r="P25" s="116">
        <v>1</v>
      </c>
      <c r="Q25" s="29">
        <v>2025</v>
      </c>
      <c r="R25" s="28" t="s">
        <v>96</v>
      </c>
      <c r="S25" s="117" t="s">
        <v>635</v>
      </c>
      <c r="T25" s="10"/>
      <c r="U25" s="9"/>
      <c r="V25" s="4"/>
      <c r="W25" s="118" t="s">
        <v>43</v>
      </c>
      <c r="X25" s="119">
        <f>0.9*$I25</f>
        <v>0</v>
      </c>
      <c r="Y25" s="119">
        <f>1.5*J25</f>
        <v>0</v>
      </c>
      <c r="Z25" s="118" t="s">
        <v>44</v>
      </c>
      <c r="AA25" s="120">
        <f>0.9*K25</f>
        <v>13345.202129817601</v>
      </c>
      <c r="AB25" s="120">
        <f>1.3*K25</f>
        <v>19276.403076403203</v>
      </c>
      <c r="AC25" s="118" t="s">
        <v>44</v>
      </c>
      <c r="AD25" s="120" t="s">
        <v>45</v>
      </c>
      <c r="AE25" s="120" t="s">
        <v>46</v>
      </c>
      <c r="AF25" s="120" t="s">
        <v>47</v>
      </c>
      <c r="AG25" s="118" t="s">
        <v>48</v>
      </c>
    </row>
    <row r="26" spans="1:33" ht="13.5" customHeight="1">
      <c r="A26" s="121">
        <v>23</v>
      </c>
      <c r="B26" s="122">
        <f>IF(ISNUMBER(A26),
    IF(AND(A26=INT(A26), MOD(A26, 10) = 0), 0,
        IF(AND(A26=INT(A26), LEN(A26)=2), 1,
            IF(AND(A26=INT(A26), LEN(A26)=3), 2,
                LEN(A26) - FIND(".", A26) + 2)
        )
    ),
"")</f>
        <v>1</v>
      </c>
      <c r="C26" s="137" t="s">
        <v>163</v>
      </c>
      <c r="D26" s="124" t="str">
        <f t="shared" si="1"/>
        <v xml:space="preserve">      Equipment</v>
      </c>
      <c r="E26" s="124"/>
      <c r="F26" s="124"/>
      <c r="G26" s="126"/>
      <c r="H26" s="124"/>
      <c r="I26" s="136"/>
      <c r="J26" s="127"/>
      <c r="K26" s="127"/>
      <c r="L26" s="118"/>
      <c r="M26" s="138"/>
      <c r="N26" s="118"/>
      <c r="O26" s="118"/>
      <c r="P26" s="120"/>
      <c r="Q26" s="120"/>
      <c r="R26" s="118"/>
      <c r="S26" s="138"/>
      <c r="T26" s="118"/>
      <c r="U26" s="118"/>
      <c r="V26" s="118"/>
      <c r="W26" s="118"/>
      <c r="X26" s="119"/>
      <c r="Y26" s="119"/>
      <c r="Z26" s="118"/>
      <c r="AA26" s="120"/>
      <c r="AB26" s="120"/>
      <c r="AC26" s="118"/>
      <c r="AD26" s="120"/>
      <c r="AE26" s="120"/>
      <c r="AF26" s="120"/>
      <c r="AG26" s="118"/>
    </row>
    <row r="27" spans="1:33" ht="34.5" customHeight="1">
      <c r="A27" s="36">
        <v>23.5</v>
      </c>
      <c r="B27" s="18">
        <v>2</v>
      </c>
      <c r="C27" s="24" t="s">
        <v>646</v>
      </c>
      <c r="D27" s="19" t="str">
        <f t="shared" si="1"/>
        <v xml:space="preserve">            Local Integrated Control Rooms</v>
      </c>
      <c r="E27" s="19" t="s">
        <v>35</v>
      </c>
      <c r="F27" s="19" t="s">
        <v>647</v>
      </c>
      <c r="G27" s="99">
        <v>1</v>
      </c>
      <c r="H27" s="19"/>
      <c r="I27" s="19"/>
      <c r="J27" s="26">
        <v>8500000</v>
      </c>
      <c r="K27" s="26"/>
      <c r="L27" s="4"/>
      <c r="M27" s="32"/>
      <c r="N27" s="4"/>
      <c r="O27" s="4"/>
      <c r="P27" s="4"/>
      <c r="Q27" s="29">
        <v>2023</v>
      </c>
      <c r="R27" s="4" t="s">
        <v>73</v>
      </c>
      <c r="S27" s="32" t="s">
        <v>350</v>
      </c>
      <c r="T27" s="32" t="s">
        <v>351</v>
      </c>
      <c r="U27" s="57" t="s">
        <v>352</v>
      </c>
      <c r="V27" s="4" t="s">
        <v>353</v>
      </c>
      <c r="W27" s="21" t="s">
        <v>167</v>
      </c>
      <c r="X27" s="30">
        <f>0.9*$H27</f>
        <v>0</v>
      </c>
      <c r="Y27" s="30">
        <f>1.5*J27</f>
        <v>12750000</v>
      </c>
      <c r="Z27" s="21" t="s">
        <v>44</v>
      </c>
      <c r="AA27" s="22">
        <f>0.9*K27</f>
        <v>0</v>
      </c>
      <c r="AB27" s="22">
        <f>1.3*K27</f>
        <v>0</v>
      </c>
      <c r="AC27" s="21" t="s">
        <v>44</v>
      </c>
      <c r="AD27" s="22" t="s">
        <v>45</v>
      </c>
      <c r="AE27" s="22" t="s">
        <v>46</v>
      </c>
      <c r="AF27" s="22" t="s">
        <v>47</v>
      </c>
      <c r="AG27" s="21" t="s">
        <v>48</v>
      </c>
    </row>
    <row r="28" spans="1:33" ht="13.5" customHeight="1">
      <c r="A28" s="15">
        <v>28</v>
      </c>
      <c r="B28" s="18">
        <f t="shared" ref="B28:B36" si="2">IF(ISNUMBER(A28),
    IF(AND(A28=INT(A28), MOD(A28, 10) = 0), 0,
        IF(AND(A28=INT(A28), LEN(A28)=2), 1,
            IF(AND(A28=INT(A28), LEN(A28)=3), 2,
                LEN(A28) - FIND(".", A28) + 2)
        )
    ),
"")</f>
        <v>1</v>
      </c>
      <c r="C28" s="32" t="s">
        <v>648</v>
      </c>
      <c r="D28" s="19" t="str">
        <f t="shared" si="1"/>
        <v xml:space="preserve">      Auxiliary Infrastructure Equipment</v>
      </c>
      <c r="E28" s="19"/>
      <c r="F28" s="19"/>
      <c r="G28" s="99"/>
      <c r="H28" s="19"/>
      <c r="I28" s="19"/>
      <c r="J28" s="33"/>
      <c r="K28" s="26"/>
      <c r="L28" s="4"/>
      <c r="M28" s="27"/>
      <c r="N28" s="4"/>
      <c r="O28" s="4"/>
      <c r="P28" s="29"/>
      <c r="Q28" s="29"/>
      <c r="R28" s="4"/>
      <c r="S28" s="32"/>
      <c r="T28" s="32"/>
      <c r="U28" s="4"/>
      <c r="V28" s="4"/>
      <c r="W28" s="21"/>
      <c r="X28" s="30"/>
      <c r="Y28" s="30"/>
      <c r="Z28" s="21"/>
      <c r="AA28" s="22"/>
      <c r="AB28" s="22"/>
      <c r="AC28" s="21"/>
      <c r="AD28" s="22"/>
      <c r="AE28" s="22"/>
      <c r="AF28" s="22"/>
      <c r="AG28" s="21"/>
    </row>
    <row r="29" spans="1:33" ht="57" customHeight="1">
      <c r="A29" s="121">
        <v>281</v>
      </c>
      <c r="B29" s="122">
        <f t="shared" si="2"/>
        <v>2</v>
      </c>
      <c r="C29" s="123" t="s">
        <v>649</v>
      </c>
      <c r="D29" s="124" t="str">
        <f t="shared" si="1"/>
        <v xml:space="preserve">            Emergency Power</v>
      </c>
      <c r="E29" s="124" t="s">
        <v>35</v>
      </c>
      <c r="F29" s="124"/>
      <c r="G29" s="126"/>
      <c r="H29" s="124"/>
      <c r="I29" s="124"/>
      <c r="J29" s="26"/>
      <c r="K29" s="127">
        <f>(1450000*5+1500000)/2.5</f>
        <v>3500000</v>
      </c>
      <c r="L29" s="115" t="s">
        <v>50</v>
      </c>
      <c r="M29" s="128" t="s">
        <v>650</v>
      </c>
      <c r="N29" s="115">
        <v>1</v>
      </c>
      <c r="O29" s="115" t="s">
        <v>52</v>
      </c>
      <c r="P29" s="116">
        <v>1</v>
      </c>
      <c r="Q29" s="29">
        <v>2025</v>
      </c>
      <c r="R29" s="28" t="s">
        <v>163</v>
      </c>
      <c r="S29" s="139" t="s">
        <v>651</v>
      </c>
      <c r="T29" s="139"/>
      <c r="U29" s="140"/>
      <c r="V29" s="118"/>
      <c r="W29" s="21"/>
      <c r="X29" s="30"/>
      <c r="Y29" s="30"/>
      <c r="Z29" s="21"/>
      <c r="AA29" s="22"/>
      <c r="AB29" s="22"/>
      <c r="AC29" s="21"/>
      <c r="AD29" s="22"/>
      <c r="AE29" s="22"/>
      <c r="AF29" s="22"/>
      <c r="AG29" s="21"/>
    </row>
    <row r="30" spans="1:33" ht="57" customHeight="1">
      <c r="A30" s="121">
        <v>283</v>
      </c>
      <c r="B30" s="122">
        <f t="shared" si="2"/>
        <v>2</v>
      </c>
      <c r="C30" s="123" t="s">
        <v>652</v>
      </c>
      <c r="D30" s="124" t="str">
        <f t="shared" si="1"/>
        <v xml:space="preserve">            Fire Station</v>
      </c>
      <c r="E30" s="124" t="s">
        <v>35</v>
      </c>
      <c r="F30" s="124" t="s">
        <v>653</v>
      </c>
      <c r="G30" s="126">
        <v>1</v>
      </c>
      <c r="H30" s="124"/>
      <c r="I30" s="124"/>
      <c r="J30" s="26">
        <f>0.7*20776500</f>
        <v>14543550</v>
      </c>
      <c r="K30" s="127"/>
      <c r="L30" s="115"/>
      <c r="M30" s="128"/>
      <c r="N30" s="115"/>
      <c r="O30" s="115"/>
      <c r="P30" s="116"/>
      <c r="Q30" s="29">
        <v>2025</v>
      </c>
      <c r="R30" s="28" t="s">
        <v>96</v>
      </c>
      <c r="S30" s="117" t="s">
        <v>635</v>
      </c>
      <c r="T30" s="10"/>
      <c r="U30" s="9"/>
      <c r="V30" s="4"/>
      <c r="W30" s="118" t="s">
        <v>43</v>
      </c>
      <c r="X30" s="119">
        <f>0.9*$I30</f>
        <v>0</v>
      </c>
      <c r="Y30" s="119">
        <f>1.5*J30</f>
        <v>21815325</v>
      </c>
      <c r="Z30" s="118" t="s">
        <v>44</v>
      </c>
      <c r="AA30" s="120">
        <f>0.9*K30</f>
        <v>0</v>
      </c>
      <c r="AB30" s="120">
        <f>1.3*K30</f>
        <v>0</v>
      </c>
      <c r="AC30" s="118" t="s">
        <v>44</v>
      </c>
      <c r="AD30" s="120" t="s">
        <v>45</v>
      </c>
      <c r="AE30" s="120" t="s">
        <v>46</v>
      </c>
      <c r="AF30" s="120" t="s">
        <v>47</v>
      </c>
      <c r="AG30" s="118" t="s">
        <v>48</v>
      </c>
    </row>
    <row r="31" spans="1:33" ht="57" customHeight="1">
      <c r="A31" s="121">
        <v>284</v>
      </c>
      <c r="B31" s="122">
        <f t="shared" si="2"/>
        <v>2</v>
      </c>
      <c r="C31" s="123" t="s">
        <v>654</v>
      </c>
      <c r="D31" s="124" t="str">
        <f t="shared" si="1"/>
        <v xml:space="preserve">            Security Building</v>
      </c>
      <c r="E31" s="124" t="s">
        <v>35</v>
      </c>
      <c r="F31" s="124"/>
      <c r="G31" s="126"/>
      <c r="H31" s="124"/>
      <c r="I31" s="124"/>
      <c r="J31" s="26"/>
      <c r="K31" s="127">
        <f>0.7*2548*(3.2808^2)</f>
        <v>19198.043714304</v>
      </c>
      <c r="L31" s="115" t="s">
        <v>102</v>
      </c>
      <c r="M31" s="128" t="s">
        <v>655</v>
      </c>
      <c r="N31" s="115">
        <v>1</v>
      </c>
      <c r="O31" s="115" t="s">
        <v>104</v>
      </c>
      <c r="P31" s="116">
        <v>1</v>
      </c>
      <c r="Q31" s="29">
        <v>2025</v>
      </c>
      <c r="R31" s="28" t="s">
        <v>96</v>
      </c>
      <c r="S31" s="117" t="s">
        <v>635</v>
      </c>
      <c r="T31" s="10"/>
      <c r="U31" s="9"/>
      <c r="V31" s="4"/>
      <c r="W31" s="118" t="s">
        <v>43</v>
      </c>
      <c r="X31" s="119">
        <f>0.9*$I31</f>
        <v>0</v>
      </c>
      <c r="Y31" s="119">
        <f>1.5*J31</f>
        <v>0</v>
      </c>
      <c r="Z31" s="118" t="s">
        <v>44</v>
      </c>
      <c r="AA31" s="120">
        <f>0.9*K31</f>
        <v>17278.2393428736</v>
      </c>
      <c r="AB31" s="120">
        <f>1.3*K31</f>
        <v>24957.456828595201</v>
      </c>
      <c r="AC31" s="118" t="s">
        <v>44</v>
      </c>
      <c r="AD31" s="120" t="s">
        <v>45</v>
      </c>
      <c r="AE31" s="120" t="s">
        <v>46</v>
      </c>
      <c r="AF31" s="120" t="s">
        <v>47</v>
      </c>
      <c r="AG31" s="118" t="s">
        <v>48</v>
      </c>
    </row>
    <row r="32" spans="1:33" ht="45.75" customHeight="1">
      <c r="A32" s="121">
        <v>285</v>
      </c>
      <c r="B32" s="122">
        <f t="shared" si="2"/>
        <v>2</v>
      </c>
      <c r="C32" s="123" t="s">
        <v>656</v>
      </c>
      <c r="D32" s="124" t="str">
        <f t="shared" si="1"/>
        <v xml:space="preserve">            Switchyard</v>
      </c>
      <c r="E32" s="124" t="s">
        <v>35</v>
      </c>
      <c r="F32" s="124"/>
      <c r="G32" s="126"/>
      <c r="H32" s="124"/>
      <c r="I32" s="124"/>
      <c r="J32" s="26"/>
      <c r="K32" s="127">
        <f>0.7*221450153/N32</f>
        <v>516717.02366666665</v>
      </c>
      <c r="L32" s="115" t="s">
        <v>50</v>
      </c>
      <c r="M32" s="128" t="s">
        <v>657</v>
      </c>
      <c r="N32" s="115">
        <v>300</v>
      </c>
      <c r="O32" s="115" t="s">
        <v>52</v>
      </c>
      <c r="P32" s="129">
        <v>0.99680000000000002</v>
      </c>
      <c r="Q32" s="29">
        <v>2025</v>
      </c>
      <c r="R32" s="28" t="s">
        <v>96</v>
      </c>
      <c r="S32" s="117" t="s">
        <v>658</v>
      </c>
      <c r="T32" s="10"/>
      <c r="U32" s="9"/>
      <c r="V32" s="4"/>
      <c r="W32" s="118" t="s">
        <v>43</v>
      </c>
      <c r="X32" s="119">
        <f>0.9*$I32</f>
        <v>0</v>
      </c>
      <c r="Y32" s="119">
        <f>1.5*J32</f>
        <v>0</v>
      </c>
      <c r="Z32" s="118" t="s">
        <v>44</v>
      </c>
      <c r="AA32" s="120">
        <f>0.9*K32</f>
        <v>465045.32130000001</v>
      </c>
      <c r="AB32" s="120">
        <f>1.3*K32</f>
        <v>671732.13076666661</v>
      </c>
      <c r="AC32" s="118" t="s">
        <v>44</v>
      </c>
      <c r="AD32" s="120" t="s">
        <v>45</v>
      </c>
      <c r="AE32" s="120" t="s">
        <v>46</v>
      </c>
      <c r="AF32" s="120" t="s">
        <v>47</v>
      </c>
      <c r="AG32" s="118" t="s">
        <v>48</v>
      </c>
    </row>
    <row r="33" spans="1:33" ht="13.5" customHeight="1">
      <c r="A33" s="15">
        <v>286</v>
      </c>
      <c r="B33" s="18">
        <f t="shared" si="2"/>
        <v>2</v>
      </c>
      <c r="C33" s="32" t="s">
        <v>659</v>
      </c>
      <c r="D33" s="19" t="str">
        <f t="shared" si="1"/>
        <v xml:space="preserve">            Onsite Transport Equipment</v>
      </c>
      <c r="E33" s="19"/>
      <c r="F33" s="19"/>
      <c r="G33" s="99"/>
      <c r="H33" s="19"/>
      <c r="I33" s="19"/>
      <c r="J33" s="33"/>
      <c r="K33" s="26"/>
      <c r="L33" s="4"/>
      <c r="M33" s="27"/>
      <c r="N33" s="4"/>
      <c r="O33" s="4"/>
      <c r="P33" s="29"/>
      <c r="Q33" s="29"/>
      <c r="R33" s="4"/>
      <c r="S33" s="32"/>
      <c r="T33" s="32"/>
      <c r="U33" s="4"/>
      <c r="V33" s="4"/>
      <c r="W33" s="21"/>
      <c r="X33" s="30"/>
      <c r="Y33" s="30"/>
      <c r="Z33" s="21"/>
      <c r="AA33" s="22"/>
      <c r="AB33" s="22"/>
      <c r="AC33" s="21"/>
      <c r="AD33" s="22"/>
      <c r="AE33" s="22"/>
      <c r="AF33" s="22"/>
      <c r="AG33" s="21"/>
    </row>
    <row r="34" spans="1:33" ht="34.5" customHeight="1">
      <c r="A34" s="15">
        <v>286.10000000000002</v>
      </c>
      <c r="B34" s="18">
        <f t="shared" si="2"/>
        <v>3</v>
      </c>
      <c r="C34" s="32" t="s">
        <v>660</v>
      </c>
      <c r="D34" s="19" t="str">
        <f t="shared" ref="D34:D65" si="3">REPT("   ", B34*2) &amp; C34</f>
        <v xml:space="preserve">                  Local Reactor Transport Vehicles</v>
      </c>
      <c r="E34" s="19" t="s">
        <v>35</v>
      </c>
      <c r="F34" s="19" t="s">
        <v>661</v>
      </c>
      <c r="G34" s="99">
        <v>1</v>
      </c>
      <c r="H34" s="19"/>
      <c r="I34" s="19"/>
      <c r="J34" s="33">
        <v>938000</v>
      </c>
      <c r="K34" s="26"/>
      <c r="L34" s="4"/>
      <c r="M34" s="27"/>
      <c r="N34" s="4"/>
      <c r="O34" s="4"/>
      <c r="P34" s="29"/>
      <c r="Q34" s="29">
        <v>2023</v>
      </c>
      <c r="R34" s="4" t="s">
        <v>163</v>
      </c>
      <c r="S34" s="32" t="s">
        <v>662</v>
      </c>
      <c r="T34" s="32" t="s">
        <v>663</v>
      </c>
      <c r="U34" s="4"/>
      <c r="V34" s="4"/>
      <c r="W34" s="21" t="s">
        <v>43</v>
      </c>
      <c r="X34" s="30">
        <f>0.9*$J34</f>
        <v>844200</v>
      </c>
      <c r="Y34" s="30">
        <f>1.5*J34</f>
        <v>1407000</v>
      </c>
      <c r="Z34" s="21" t="s">
        <v>44</v>
      </c>
      <c r="AA34" s="22">
        <f>0.9*K34</f>
        <v>0</v>
      </c>
      <c r="AB34" s="22">
        <f>1.3*K34</f>
        <v>0</v>
      </c>
      <c r="AC34" s="21" t="s">
        <v>44</v>
      </c>
      <c r="AD34" s="22" t="s">
        <v>45</v>
      </c>
      <c r="AE34" s="22" t="s">
        <v>46</v>
      </c>
      <c r="AF34" s="22" t="s">
        <v>47</v>
      </c>
      <c r="AG34" s="21" t="s">
        <v>48</v>
      </c>
    </row>
    <row r="35" spans="1:33" ht="23.25" customHeight="1">
      <c r="A35" s="15">
        <v>286.2</v>
      </c>
      <c r="B35" s="18">
        <f t="shared" si="2"/>
        <v>3</v>
      </c>
      <c r="C35" s="32" t="s">
        <v>664</v>
      </c>
      <c r="D35" s="19" t="str">
        <f t="shared" si="3"/>
        <v xml:space="preserve">                  Utility Vehicles</v>
      </c>
      <c r="E35" s="19" t="s">
        <v>35</v>
      </c>
      <c r="F35" s="19" t="s">
        <v>665</v>
      </c>
      <c r="G35" s="99">
        <v>1</v>
      </c>
      <c r="H35" s="19"/>
      <c r="I35" s="19"/>
      <c r="J35" s="33">
        <v>50000</v>
      </c>
      <c r="K35" s="26"/>
      <c r="L35" s="4"/>
      <c r="M35" s="27"/>
      <c r="N35" s="4"/>
      <c r="O35" s="4"/>
      <c r="P35" s="29"/>
      <c r="Q35" s="29">
        <v>2024</v>
      </c>
      <c r="R35" s="4" t="s">
        <v>163</v>
      </c>
      <c r="S35" s="32" t="s">
        <v>666</v>
      </c>
      <c r="T35" s="32"/>
      <c r="U35" s="4"/>
      <c r="V35" s="4"/>
      <c r="W35" s="21" t="s">
        <v>43</v>
      </c>
      <c r="X35" s="30">
        <f>0.9*$J35</f>
        <v>45000</v>
      </c>
      <c r="Y35" s="30">
        <f>1.5*J35</f>
        <v>75000</v>
      </c>
      <c r="Z35" s="21" t="s">
        <v>44</v>
      </c>
      <c r="AA35" s="22">
        <f>0.9*K35</f>
        <v>0</v>
      </c>
      <c r="AB35" s="22">
        <f>1.3*K35</f>
        <v>0</v>
      </c>
      <c r="AC35" s="21" t="s">
        <v>44</v>
      </c>
      <c r="AD35" s="22" t="s">
        <v>45</v>
      </c>
      <c r="AE35" s="22" t="s">
        <v>46</v>
      </c>
      <c r="AF35" s="22" t="s">
        <v>47</v>
      </c>
      <c r="AG35" s="21" t="s">
        <v>48</v>
      </c>
    </row>
    <row r="36" spans="1:33" ht="13.5" customHeight="1">
      <c r="A36" s="15">
        <v>288</v>
      </c>
      <c r="B36" s="18">
        <f t="shared" si="2"/>
        <v>2</v>
      </c>
      <c r="C36" s="32" t="s">
        <v>667</v>
      </c>
      <c r="D36" s="19" t="str">
        <f t="shared" si="3"/>
        <v xml:space="preserve">            Dispered Infrastructure</v>
      </c>
      <c r="E36" s="19"/>
      <c r="F36" s="19"/>
      <c r="G36" s="99"/>
      <c r="H36" s="19"/>
      <c r="I36" s="19"/>
      <c r="J36" s="141"/>
      <c r="K36" s="26"/>
      <c r="L36" s="142"/>
      <c r="M36" s="27"/>
      <c r="N36" s="4"/>
      <c r="O36" s="4"/>
      <c r="P36" s="29"/>
      <c r="Q36" s="29"/>
      <c r="R36" s="4"/>
      <c r="S36" s="143" t="s">
        <v>668</v>
      </c>
      <c r="T36" s="32"/>
      <c r="U36" s="144"/>
      <c r="V36" s="145"/>
      <c r="W36" s="21"/>
      <c r="X36" s="30"/>
      <c r="Y36" s="30"/>
      <c r="Z36" s="21"/>
      <c r="AA36" s="22"/>
      <c r="AB36" s="22"/>
      <c r="AC36" s="21"/>
      <c r="AD36" s="22"/>
      <c r="AE36" s="22"/>
      <c r="AF36" s="22"/>
      <c r="AG36" s="21"/>
    </row>
    <row r="37" spans="1:33" ht="45.75" customHeight="1">
      <c r="A37" s="15">
        <v>288.10000000000002</v>
      </c>
      <c r="B37" s="18">
        <v>3</v>
      </c>
      <c r="C37" s="32" t="s">
        <v>669</v>
      </c>
      <c r="D37" s="19" t="str">
        <f t="shared" si="3"/>
        <v xml:space="preserve">                  Communication</v>
      </c>
      <c r="E37" s="19" t="s">
        <v>35</v>
      </c>
      <c r="F37" s="19"/>
      <c r="G37" s="99"/>
      <c r="H37" s="19"/>
      <c r="I37" s="19"/>
      <c r="J37" s="33"/>
      <c r="K37" s="146">
        <f>12575250/N37</f>
        <v>11774.578651685393</v>
      </c>
      <c r="L37" s="4" t="s">
        <v>36</v>
      </c>
      <c r="M37" s="147" t="s">
        <v>670</v>
      </c>
      <c r="N37" s="4">
        <v>1068</v>
      </c>
      <c r="O37" s="4" t="s">
        <v>38</v>
      </c>
      <c r="P37" s="29"/>
      <c r="Q37" s="29">
        <v>2025</v>
      </c>
      <c r="R37" s="4" t="s">
        <v>163</v>
      </c>
      <c r="S37" s="38" t="s">
        <v>671</v>
      </c>
      <c r="T37" s="32"/>
      <c r="U37" s="144"/>
      <c r="V37" s="145"/>
      <c r="W37" s="21"/>
      <c r="X37" s="30"/>
      <c r="Y37" s="30"/>
      <c r="Z37" s="21"/>
      <c r="AA37" s="22"/>
      <c r="AB37" s="22"/>
      <c r="AC37" s="21"/>
      <c r="AD37" s="22"/>
      <c r="AE37" s="22"/>
      <c r="AF37" s="22"/>
      <c r="AG37" s="21"/>
    </row>
    <row r="38" spans="1:33" ht="34.5" customHeight="1">
      <c r="A38" s="15">
        <v>288.2</v>
      </c>
      <c r="B38" s="18">
        <v>3</v>
      </c>
      <c r="C38" s="32" t="s">
        <v>672</v>
      </c>
      <c r="D38" s="19" t="str">
        <f t="shared" si="3"/>
        <v xml:space="preserve">                  Security Cameras</v>
      </c>
      <c r="E38" s="19" t="s">
        <v>35</v>
      </c>
      <c r="F38" s="19" t="s">
        <v>673</v>
      </c>
      <c r="G38" s="99">
        <v>1</v>
      </c>
      <c r="H38" s="19"/>
      <c r="I38" s="19"/>
      <c r="J38" s="148">
        <v>28431</v>
      </c>
      <c r="K38" s="26"/>
      <c r="L38" s="4"/>
      <c r="M38" s="27"/>
      <c r="N38" s="4"/>
      <c r="O38" s="4"/>
      <c r="P38" s="29"/>
      <c r="Q38" s="29">
        <v>2025</v>
      </c>
      <c r="R38" s="4" t="s">
        <v>163</v>
      </c>
      <c r="S38" s="38" t="s">
        <v>674</v>
      </c>
      <c r="T38" s="32"/>
      <c r="U38" s="144"/>
      <c r="V38" s="145"/>
      <c r="W38" s="21"/>
      <c r="X38" s="30"/>
      <c r="Y38" s="30"/>
      <c r="Z38" s="21"/>
      <c r="AA38" s="22"/>
      <c r="AB38" s="22"/>
      <c r="AC38" s="21"/>
      <c r="AD38" s="22"/>
      <c r="AE38" s="22"/>
      <c r="AF38" s="22"/>
      <c r="AG38" s="21"/>
    </row>
    <row r="39" spans="1:33" ht="34.5" customHeight="1">
      <c r="A39" s="15">
        <v>288.3</v>
      </c>
      <c r="B39" s="18">
        <v>3</v>
      </c>
      <c r="C39" s="32" t="s">
        <v>675</v>
      </c>
      <c r="D39" s="19" t="str">
        <f t="shared" si="3"/>
        <v xml:space="preserve">                  Motion Detectors</v>
      </c>
      <c r="E39" s="19" t="s">
        <v>35</v>
      </c>
      <c r="F39" s="19" t="s">
        <v>676</v>
      </c>
      <c r="G39" s="99">
        <v>1</v>
      </c>
      <c r="H39" s="19"/>
      <c r="I39" s="19"/>
      <c r="J39" s="148">
        <v>24057</v>
      </c>
      <c r="K39" s="26"/>
      <c r="L39" s="4"/>
      <c r="M39" s="27"/>
      <c r="N39" s="4"/>
      <c r="O39" s="4"/>
      <c r="P39" s="29"/>
      <c r="Q39" s="29">
        <v>2025</v>
      </c>
      <c r="R39" s="4" t="s">
        <v>163</v>
      </c>
      <c r="S39" s="38" t="s">
        <v>674</v>
      </c>
      <c r="T39" s="32"/>
      <c r="U39" s="144"/>
      <c r="V39" s="145"/>
      <c r="W39" s="21"/>
      <c r="X39" s="30"/>
      <c r="Y39" s="30"/>
      <c r="Z39" s="21"/>
      <c r="AA39" s="22"/>
      <c r="AB39" s="22"/>
      <c r="AC39" s="21"/>
      <c r="AD39" s="22"/>
      <c r="AE39" s="22"/>
      <c r="AF39" s="22"/>
      <c r="AG39" s="21"/>
    </row>
    <row r="40" spans="1:33" ht="34.5" customHeight="1">
      <c r="A40" s="15">
        <v>288.39999999999998</v>
      </c>
      <c r="B40" s="18">
        <v>3</v>
      </c>
      <c r="C40" s="32" t="s">
        <v>677</v>
      </c>
      <c r="D40" s="19" t="str">
        <f t="shared" si="3"/>
        <v xml:space="preserve">                  Guard Station</v>
      </c>
      <c r="E40" s="19" t="s">
        <v>35</v>
      </c>
      <c r="F40" s="19" t="s">
        <v>678</v>
      </c>
      <c r="G40" s="99">
        <v>1</v>
      </c>
      <c r="H40" s="19"/>
      <c r="I40" s="19"/>
      <c r="J40" s="149">
        <v>6774250</v>
      </c>
      <c r="K40" s="26"/>
      <c r="L40" s="4"/>
      <c r="M40" s="27"/>
      <c r="N40" s="4"/>
      <c r="O40" s="4"/>
      <c r="P40" s="29"/>
      <c r="Q40" s="29">
        <v>2025</v>
      </c>
      <c r="R40" s="4" t="s">
        <v>163</v>
      </c>
      <c r="S40" s="38" t="s">
        <v>674</v>
      </c>
      <c r="T40" s="32"/>
      <c r="U40" s="144"/>
      <c r="V40" s="145"/>
      <c r="W40" s="21"/>
      <c r="X40" s="30"/>
      <c r="Y40" s="30"/>
      <c r="Z40" s="21"/>
      <c r="AA40" s="22"/>
      <c r="AB40" s="22"/>
      <c r="AC40" s="21"/>
      <c r="AD40" s="22"/>
      <c r="AE40" s="22"/>
      <c r="AF40" s="22"/>
      <c r="AG40" s="21"/>
    </row>
    <row r="41" spans="1:33" ht="13.5" customHeight="1">
      <c r="A41" s="2">
        <v>30</v>
      </c>
      <c r="B41" s="18">
        <f t="shared" ref="B41:B69" si="4">IF(ISNUMBER(A41),
    IF(AND(A41=INT(A41), MOD(A41, 10) = 0), 0,
        IF(AND(A41=INT(A41), LEN(A41)=2), 1,
            IF(AND(A41=INT(A41), LEN(A41)=3), 2,
                LEN(A41) - FIND(".", A41) + 2)
        )
    ),
"")</f>
        <v>0</v>
      </c>
      <c r="C41" s="42" t="s">
        <v>388</v>
      </c>
      <c r="D41" s="19" t="str">
        <f t="shared" si="3"/>
        <v>Capitalized Indirect Services Cost</v>
      </c>
      <c r="E41" s="19"/>
      <c r="F41" s="19"/>
      <c r="G41" s="99"/>
      <c r="H41" s="19"/>
      <c r="I41" s="19"/>
      <c r="J41" s="150"/>
      <c r="K41" s="33"/>
      <c r="L41" s="2"/>
      <c r="M41" s="2"/>
      <c r="N41" s="2"/>
      <c r="O41" s="2"/>
      <c r="P41" s="34"/>
      <c r="Q41" s="29"/>
      <c r="R41" s="4"/>
      <c r="S41" s="2"/>
      <c r="T41" s="2"/>
      <c r="U41" s="2"/>
      <c r="V41" s="2"/>
      <c r="W41" s="21"/>
      <c r="X41" s="30"/>
      <c r="Y41" s="30"/>
      <c r="Z41" s="21"/>
      <c r="AA41" s="22"/>
      <c r="AB41" s="22"/>
      <c r="AC41" s="21"/>
      <c r="AD41" s="22"/>
      <c r="AE41" s="22"/>
      <c r="AF41" s="22"/>
      <c r="AG41" s="21"/>
    </row>
    <row r="42" spans="1:33" ht="13.5" customHeight="1">
      <c r="A42" s="15">
        <v>40</v>
      </c>
      <c r="B42" s="18">
        <f t="shared" si="4"/>
        <v>0</v>
      </c>
      <c r="C42" s="42" t="s">
        <v>395</v>
      </c>
      <c r="D42" s="19" t="str">
        <f t="shared" si="3"/>
        <v>Capitalized training costs</v>
      </c>
      <c r="E42" s="19"/>
      <c r="F42" s="19"/>
      <c r="G42" s="99"/>
      <c r="H42" s="19"/>
      <c r="I42" s="19"/>
      <c r="J42" s="33"/>
      <c r="K42" s="33"/>
      <c r="L42" s="2"/>
      <c r="M42" s="2"/>
      <c r="N42" s="2"/>
      <c r="O42" s="2"/>
      <c r="P42" s="34"/>
      <c r="Q42" s="34"/>
      <c r="R42" s="2"/>
      <c r="S42" s="2"/>
      <c r="T42" s="2"/>
      <c r="U42" s="2"/>
      <c r="V42" s="2"/>
      <c r="W42" s="21"/>
      <c r="X42" s="30"/>
      <c r="Y42" s="30"/>
      <c r="Z42" s="21"/>
      <c r="AA42" s="22"/>
      <c r="AB42" s="22"/>
      <c r="AC42" s="21"/>
      <c r="AD42" s="22"/>
      <c r="AE42" s="22"/>
      <c r="AF42" s="22"/>
      <c r="AG42" s="21"/>
    </row>
    <row r="43" spans="1:33" ht="13.5" customHeight="1">
      <c r="A43" s="15">
        <v>41</v>
      </c>
      <c r="B43" s="18">
        <f t="shared" si="4"/>
        <v>1</v>
      </c>
      <c r="C43" s="42" t="s">
        <v>396</v>
      </c>
      <c r="D43" s="19" t="str">
        <f t="shared" si="3"/>
        <v xml:space="preserve">      staff recruitment and training</v>
      </c>
      <c r="E43" s="19" t="s">
        <v>35</v>
      </c>
      <c r="F43" s="19" t="s">
        <v>623</v>
      </c>
      <c r="G43" s="99">
        <v>1</v>
      </c>
      <c r="H43" s="19"/>
      <c r="I43" s="19"/>
      <c r="J43" s="26">
        <v>300000</v>
      </c>
      <c r="K43" s="26"/>
      <c r="L43" s="4"/>
      <c r="M43" s="32"/>
      <c r="N43" s="4"/>
      <c r="O43" s="4"/>
      <c r="P43" s="29"/>
      <c r="Q43" s="29">
        <v>2024</v>
      </c>
      <c r="R43" s="4" t="s">
        <v>53</v>
      </c>
      <c r="S43" s="32"/>
      <c r="T43" s="4"/>
      <c r="U43" s="4"/>
      <c r="V43" s="4"/>
      <c r="W43" s="21" t="s">
        <v>43</v>
      </c>
      <c r="X43" s="30">
        <f>0.9*$J43</f>
        <v>270000</v>
      </c>
      <c r="Y43" s="30">
        <f>1.5*J43</f>
        <v>450000</v>
      </c>
      <c r="Z43" s="21" t="s">
        <v>44</v>
      </c>
      <c r="AA43" s="22">
        <f>0.9*K43</f>
        <v>0</v>
      </c>
      <c r="AB43" s="22">
        <f>1.3*K43</f>
        <v>0</v>
      </c>
      <c r="AC43" s="21" t="s">
        <v>44</v>
      </c>
      <c r="AD43" s="22" t="s">
        <v>45</v>
      </c>
      <c r="AE43" s="22" t="s">
        <v>46</v>
      </c>
      <c r="AF43" s="22" t="s">
        <v>47</v>
      </c>
      <c r="AG43" s="21" t="s">
        <v>48</v>
      </c>
    </row>
    <row r="44" spans="1:33" ht="13.5" customHeight="1">
      <c r="A44" s="2">
        <v>60</v>
      </c>
      <c r="B44" s="18">
        <f t="shared" si="4"/>
        <v>0</v>
      </c>
      <c r="C44" s="42" t="s">
        <v>399</v>
      </c>
      <c r="D44" s="19" t="str">
        <f t="shared" si="3"/>
        <v xml:space="preserve">Capitalized Financial Costs </v>
      </c>
      <c r="E44" s="19"/>
      <c r="F44" s="19"/>
      <c r="G44" s="99"/>
      <c r="H44" s="19"/>
      <c r="I44" s="19"/>
      <c r="J44" s="20"/>
      <c r="K44" s="20"/>
      <c r="L44" s="18"/>
      <c r="M44" s="14"/>
      <c r="N44" s="18"/>
      <c r="O44" s="18"/>
      <c r="P44" s="20"/>
      <c r="Q44" s="20"/>
      <c r="R44" s="18"/>
      <c r="S44" s="14"/>
      <c r="T44" s="18"/>
      <c r="U44" s="18"/>
      <c r="V44" s="18"/>
      <c r="W44" s="21"/>
      <c r="X44" s="30"/>
      <c r="Y44" s="30"/>
      <c r="Z44" s="21"/>
      <c r="AA44" s="22"/>
      <c r="AB44" s="22"/>
      <c r="AC44" s="21"/>
      <c r="AD44" s="22"/>
      <c r="AE44" s="22"/>
      <c r="AF44" s="22"/>
      <c r="AG44" s="21"/>
    </row>
    <row r="45" spans="1:33" ht="13.5" customHeight="1">
      <c r="A45" s="15">
        <v>62</v>
      </c>
      <c r="B45" s="18">
        <f t="shared" si="4"/>
        <v>1</v>
      </c>
      <c r="C45" s="42" t="s">
        <v>400</v>
      </c>
      <c r="D45" s="19" t="str">
        <f t="shared" si="3"/>
        <v xml:space="preserve">      Interest</v>
      </c>
      <c r="E45" s="19"/>
      <c r="F45" s="19"/>
      <c r="G45" s="99"/>
      <c r="H45" s="19"/>
      <c r="I45" s="19"/>
      <c r="J45" s="26"/>
      <c r="K45" s="26"/>
      <c r="L45" s="4"/>
      <c r="M45" s="32"/>
      <c r="N45" s="4"/>
      <c r="O45" s="4"/>
      <c r="P45" s="29"/>
      <c r="Q45" s="29"/>
      <c r="R45" s="4"/>
      <c r="S45" s="32"/>
      <c r="T45" s="4"/>
      <c r="U45" s="4"/>
      <c r="V45" s="4"/>
      <c r="W45" s="21"/>
      <c r="X45" s="30"/>
      <c r="Y45" s="30"/>
      <c r="Z45" s="21"/>
      <c r="AA45" s="22"/>
      <c r="AB45" s="22"/>
      <c r="AC45" s="21"/>
      <c r="AD45" s="22"/>
      <c r="AE45" s="22"/>
      <c r="AF45" s="22"/>
      <c r="AG45" s="21"/>
    </row>
    <row r="46" spans="1:33" ht="13.5" customHeight="1">
      <c r="A46" s="15">
        <v>70</v>
      </c>
      <c r="B46" s="18">
        <f t="shared" si="4"/>
        <v>0</v>
      </c>
      <c r="C46" s="59" t="s">
        <v>401</v>
      </c>
      <c r="D46" s="19" t="str">
        <f t="shared" si="3"/>
        <v xml:space="preserve">Annualized O&amp;M Cost </v>
      </c>
      <c r="E46" s="19"/>
      <c r="F46" s="19"/>
      <c r="G46" s="99"/>
      <c r="H46" s="19"/>
      <c r="I46" s="19"/>
      <c r="J46" s="26"/>
      <c r="K46" s="26"/>
      <c r="L46" s="4"/>
      <c r="M46" s="32"/>
      <c r="N46" s="4"/>
      <c r="O46" s="4"/>
      <c r="P46" s="29"/>
      <c r="Q46" s="29"/>
      <c r="R46" s="4"/>
      <c r="S46" s="32"/>
      <c r="T46" s="32"/>
      <c r="U46" s="4"/>
      <c r="V46" s="4"/>
      <c r="W46" s="21"/>
      <c r="X46" s="30"/>
      <c r="Y46" s="30"/>
      <c r="Z46" s="21"/>
      <c r="AA46" s="22"/>
      <c r="AB46" s="22"/>
      <c r="AC46" s="21"/>
      <c r="AD46" s="22"/>
      <c r="AE46" s="22"/>
      <c r="AF46" s="22"/>
      <c r="AG46" s="21"/>
    </row>
    <row r="47" spans="1:33" ht="13.5" customHeight="1">
      <c r="A47" s="15">
        <v>71</v>
      </c>
      <c r="B47" s="18">
        <f t="shared" si="4"/>
        <v>1</v>
      </c>
      <c r="C47" s="42" t="s">
        <v>402</v>
      </c>
      <c r="D47" s="19" t="str">
        <f t="shared" si="3"/>
        <v xml:space="preserve">      O&amp;M Staff</v>
      </c>
      <c r="E47" s="19"/>
      <c r="F47" s="19"/>
      <c r="G47" s="99"/>
      <c r="H47" s="19"/>
      <c r="I47" s="19"/>
      <c r="J47" s="26"/>
      <c r="K47" s="26"/>
      <c r="L47" s="4"/>
      <c r="M47" s="32"/>
      <c r="N47" s="4"/>
      <c r="O47" s="4"/>
      <c r="P47" s="29"/>
      <c r="Q47" s="29"/>
      <c r="R47" s="4"/>
      <c r="S47" s="32"/>
      <c r="T47" s="32"/>
      <c r="U47" s="4"/>
      <c r="V47" s="4"/>
      <c r="W47" s="21"/>
      <c r="X47" s="30"/>
      <c r="Y47" s="30"/>
      <c r="Z47" s="21"/>
      <c r="AA47" s="22"/>
      <c r="AB47" s="22"/>
      <c r="AC47" s="21"/>
      <c r="AD47" s="22"/>
      <c r="AE47" s="22"/>
      <c r="AF47" s="22"/>
      <c r="AG47" s="21"/>
    </row>
    <row r="48" spans="1:33" ht="68.25" customHeight="1">
      <c r="A48" s="36">
        <v>711</v>
      </c>
      <c r="B48" s="18">
        <f t="shared" si="4"/>
        <v>2</v>
      </c>
      <c r="C48" s="42" t="s">
        <v>679</v>
      </c>
      <c r="D48" s="19" t="str">
        <f t="shared" si="3"/>
        <v xml:space="preserve">            Operators (Testing Only)</v>
      </c>
      <c r="E48" s="19" t="s">
        <v>290</v>
      </c>
      <c r="F48" s="19"/>
      <c r="G48" s="99"/>
      <c r="H48" s="19"/>
      <c r="I48" s="19"/>
      <c r="J48" s="26"/>
      <c r="K48" s="26">
        <v>178500</v>
      </c>
      <c r="L48" s="4" t="s">
        <v>404</v>
      </c>
      <c r="M48" s="32" t="s">
        <v>680</v>
      </c>
      <c r="N48" s="4"/>
      <c r="O48" s="4"/>
      <c r="P48" s="29">
        <v>1</v>
      </c>
      <c r="Q48" s="29">
        <v>2024</v>
      </c>
      <c r="R48" s="4" t="s">
        <v>53</v>
      </c>
      <c r="S48" s="32"/>
      <c r="T48" s="32" t="s">
        <v>406</v>
      </c>
      <c r="U48" s="4"/>
      <c r="V48" s="4"/>
      <c r="W48" s="21" t="s">
        <v>43</v>
      </c>
      <c r="X48" s="30">
        <f t="shared" ref="X48:X56" si="5">0.9*$J48</f>
        <v>0</v>
      </c>
      <c r="Y48" s="30">
        <f t="shared" ref="Y48:Y56" si="6">1.5*J48</f>
        <v>0</v>
      </c>
      <c r="Z48" s="21" t="s">
        <v>44</v>
      </c>
      <c r="AA48" s="22">
        <f t="shared" ref="AA48:AA56" si="7">0.9*K48</f>
        <v>160650</v>
      </c>
      <c r="AB48" s="22">
        <f t="shared" ref="AB48:AB56" si="8">1.3*K48</f>
        <v>232050</v>
      </c>
      <c r="AC48" s="21" t="s">
        <v>44</v>
      </c>
      <c r="AD48" s="22" t="s">
        <v>45</v>
      </c>
      <c r="AE48" s="22" t="s">
        <v>46</v>
      </c>
      <c r="AF48" s="22" t="s">
        <v>47</v>
      </c>
      <c r="AG48" s="21" t="s">
        <v>48</v>
      </c>
    </row>
    <row r="49" spans="1:33" ht="57" customHeight="1">
      <c r="A49" s="36">
        <v>712</v>
      </c>
      <c r="B49" s="18">
        <f t="shared" si="4"/>
        <v>2</v>
      </c>
      <c r="C49" s="42" t="s">
        <v>681</v>
      </c>
      <c r="D49" s="19" t="str">
        <f t="shared" si="3"/>
        <v xml:space="preserve">            Warehouse Staff</v>
      </c>
      <c r="E49" s="19" t="s">
        <v>290</v>
      </c>
      <c r="F49" s="19"/>
      <c r="G49" s="99"/>
      <c r="H49" s="19"/>
      <c r="I49" s="19"/>
      <c r="J49" s="26"/>
      <c r="K49" s="26">
        <v>113000</v>
      </c>
      <c r="L49" s="4" t="s">
        <v>404</v>
      </c>
      <c r="M49" s="32" t="s">
        <v>682</v>
      </c>
      <c r="N49" s="4"/>
      <c r="O49" s="4"/>
      <c r="P49" s="4">
        <v>1</v>
      </c>
      <c r="Q49" s="29">
        <v>2024</v>
      </c>
      <c r="R49" s="4" t="s">
        <v>53</v>
      </c>
      <c r="S49" s="32" t="s">
        <v>683</v>
      </c>
      <c r="T49" s="32" t="s">
        <v>684</v>
      </c>
      <c r="U49" s="4"/>
      <c r="V49" s="4"/>
      <c r="W49" s="21" t="s">
        <v>43</v>
      </c>
      <c r="X49" s="30">
        <f t="shared" si="5"/>
        <v>0</v>
      </c>
      <c r="Y49" s="30">
        <f t="shared" si="6"/>
        <v>0</v>
      </c>
      <c r="Z49" s="21" t="s">
        <v>44</v>
      </c>
      <c r="AA49" s="22">
        <f t="shared" si="7"/>
        <v>101700</v>
      </c>
      <c r="AB49" s="22">
        <f t="shared" si="8"/>
        <v>146900</v>
      </c>
      <c r="AC49" s="21" t="s">
        <v>44</v>
      </c>
      <c r="AD49" s="22" t="s">
        <v>45</v>
      </c>
      <c r="AE49" s="22" t="s">
        <v>46</v>
      </c>
      <c r="AF49" s="22" t="s">
        <v>47</v>
      </c>
      <c r="AG49" s="21" t="s">
        <v>48</v>
      </c>
    </row>
    <row r="50" spans="1:33" ht="68.25" customHeight="1">
      <c r="A50" s="36">
        <v>713</v>
      </c>
      <c r="B50" s="18">
        <f t="shared" si="4"/>
        <v>2</v>
      </c>
      <c r="C50" s="42" t="s">
        <v>411</v>
      </c>
      <c r="D50" s="19" t="str">
        <f t="shared" si="3"/>
        <v xml:space="preserve">            Security Staff </v>
      </c>
      <c r="E50" s="19" t="s">
        <v>290</v>
      </c>
      <c r="F50" s="19"/>
      <c r="G50" s="99"/>
      <c r="H50" s="19"/>
      <c r="I50" s="19"/>
      <c r="J50" s="26"/>
      <c r="K50" s="26">
        <v>178500</v>
      </c>
      <c r="L50" s="4" t="s">
        <v>404</v>
      </c>
      <c r="M50" s="32" t="s">
        <v>685</v>
      </c>
      <c r="N50" s="4"/>
      <c r="O50" s="4"/>
      <c r="P50" s="4">
        <v>1</v>
      </c>
      <c r="Q50" s="29">
        <v>2024</v>
      </c>
      <c r="R50" s="4" t="s">
        <v>53</v>
      </c>
      <c r="S50" s="32"/>
      <c r="T50" s="32" t="s">
        <v>406</v>
      </c>
      <c r="U50" s="56"/>
      <c r="V50" s="4"/>
      <c r="W50" s="21" t="s">
        <v>43</v>
      </c>
      <c r="X50" s="30">
        <f t="shared" si="5"/>
        <v>0</v>
      </c>
      <c r="Y50" s="30">
        <f t="shared" si="6"/>
        <v>0</v>
      </c>
      <c r="Z50" s="21" t="s">
        <v>44</v>
      </c>
      <c r="AA50" s="22">
        <f t="shared" si="7"/>
        <v>160650</v>
      </c>
      <c r="AB50" s="22">
        <f t="shared" si="8"/>
        <v>232050</v>
      </c>
      <c r="AC50" s="21" t="s">
        <v>44</v>
      </c>
      <c r="AD50" s="22" t="s">
        <v>45</v>
      </c>
      <c r="AE50" s="22" t="s">
        <v>46</v>
      </c>
      <c r="AF50" s="22" t="s">
        <v>47</v>
      </c>
      <c r="AG50" s="21" t="s">
        <v>48</v>
      </c>
    </row>
    <row r="51" spans="1:33" ht="68.25" customHeight="1">
      <c r="A51" s="36">
        <v>714</v>
      </c>
      <c r="B51" s="18">
        <f t="shared" si="4"/>
        <v>2</v>
      </c>
      <c r="C51" s="42" t="s">
        <v>686</v>
      </c>
      <c r="D51" s="19" t="str">
        <f t="shared" si="3"/>
        <v xml:space="preserve">            Maintenance Staff</v>
      </c>
      <c r="E51" s="19" t="s">
        <v>290</v>
      </c>
      <c r="F51" s="19"/>
      <c r="G51" s="99"/>
      <c r="H51" s="19"/>
      <c r="I51" s="19"/>
      <c r="J51" s="26"/>
      <c r="K51" s="26">
        <v>178500</v>
      </c>
      <c r="L51" s="4" t="s">
        <v>404</v>
      </c>
      <c r="M51" s="32" t="s">
        <v>687</v>
      </c>
      <c r="N51" s="4"/>
      <c r="O51" s="4"/>
      <c r="P51" s="4">
        <v>1</v>
      </c>
      <c r="Q51" s="29">
        <v>2024</v>
      </c>
      <c r="R51" s="4" t="s">
        <v>53</v>
      </c>
      <c r="S51" s="32"/>
      <c r="T51" s="32" t="s">
        <v>406</v>
      </c>
      <c r="U51" s="56"/>
      <c r="V51" s="4"/>
      <c r="W51" s="21" t="s">
        <v>43</v>
      </c>
      <c r="X51" s="30">
        <f t="shared" si="5"/>
        <v>0</v>
      </c>
      <c r="Y51" s="30">
        <f t="shared" si="6"/>
        <v>0</v>
      </c>
      <c r="Z51" s="21" t="s">
        <v>44</v>
      </c>
      <c r="AA51" s="22">
        <f t="shared" si="7"/>
        <v>160650</v>
      </c>
      <c r="AB51" s="22">
        <f t="shared" si="8"/>
        <v>232050</v>
      </c>
      <c r="AC51" s="21" t="s">
        <v>44</v>
      </c>
      <c r="AD51" s="22" t="s">
        <v>45</v>
      </c>
      <c r="AE51" s="22" t="s">
        <v>46</v>
      </c>
      <c r="AF51" s="22" t="s">
        <v>47</v>
      </c>
      <c r="AG51" s="21" t="s">
        <v>48</v>
      </c>
    </row>
    <row r="52" spans="1:33" ht="34.5" customHeight="1">
      <c r="A52" s="36">
        <v>715</v>
      </c>
      <c r="B52" s="18">
        <f t="shared" si="4"/>
        <v>2</v>
      </c>
      <c r="C52" s="42" t="s">
        <v>688</v>
      </c>
      <c r="D52" s="19" t="str">
        <f t="shared" si="3"/>
        <v xml:space="preserve">            Engineering Staff (Testing Only)</v>
      </c>
      <c r="E52" s="19" t="s">
        <v>290</v>
      </c>
      <c r="F52" s="19"/>
      <c r="G52" s="99"/>
      <c r="H52" s="19"/>
      <c r="I52" s="19"/>
      <c r="J52" s="26"/>
      <c r="K52" s="26">
        <v>200000</v>
      </c>
      <c r="L52" s="4" t="s">
        <v>404</v>
      </c>
      <c r="M52" s="151" t="s">
        <v>689</v>
      </c>
      <c r="N52" s="4"/>
      <c r="O52" s="4"/>
      <c r="P52" s="4"/>
      <c r="Q52" s="29">
        <v>2024</v>
      </c>
      <c r="R52" s="4" t="s">
        <v>53</v>
      </c>
      <c r="S52" s="32"/>
      <c r="T52" s="32"/>
      <c r="U52" s="56"/>
      <c r="V52" s="4"/>
      <c r="W52" s="21" t="s">
        <v>43</v>
      </c>
      <c r="X52" s="30">
        <f t="shared" si="5"/>
        <v>0</v>
      </c>
      <c r="Y52" s="30">
        <f t="shared" si="6"/>
        <v>0</v>
      </c>
      <c r="Z52" s="21" t="s">
        <v>44</v>
      </c>
      <c r="AA52" s="22">
        <f t="shared" si="7"/>
        <v>180000</v>
      </c>
      <c r="AB52" s="22">
        <f t="shared" si="8"/>
        <v>260000</v>
      </c>
      <c r="AC52" s="21" t="s">
        <v>44</v>
      </c>
      <c r="AD52" s="22" t="s">
        <v>45</v>
      </c>
      <c r="AE52" s="22" t="s">
        <v>46</v>
      </c>
      <c r="AF52" s="22" t="s">
        <v>47</v>
      </c>
      <c r="AG52" s="21" t="s">
        <v>48</v>
      </c>
    </row>
    <row r="53" spans="1:33" ht="13.5" customHeight="1">
      <c r="A53" s="36">
        <v>716</v>
      </c>
      <c r="B53" s="18">
        <f t="shared" si="4"/>
        <v>2</v>
      </c>
      <c r="C53" s="42" t="s">
        <v>690</v>
      </c>
      <c r="D53" s="19" t="str">
        <f t="shared" si="3"/>
        <v xml:space="preserve">            Continuing Education and Staff Retraining</v>
      </c>
      <c r="E53" s="19"/>
      <c r="F53" s="19"/>
      <c r="G53" s="99"/>
      <c r="H53" s="19"/>
      <c r="I53" s="19"/>
      <c r="J53" s="150"/>
      <c r="K53" s="26"/>
      <c r="L53" s="4"/>
      <c r="M53" s="32"/>
      <c r="N53" s="4"/>
      <c r="O53" s="4"/>
      <c r="P53" s="4"/>
      <c r="Q53" s="29"/>
      <c r="R53" s="4" t="s">
        <v>53</v>
      </c>
      <c r="S53" s="32"/>
      <c r="T53" s="32"/>
      <c r="U53" s="56"/>
      <c r="V53" s="4"/>
      <c r="W53" s="21" t="s">
        <v>43</v>
      </c>
      <c r="X53" s="30">
        <f t="shared" si="5"/>
        <v>0</v>
      </c>
      <c r="Y53" s="30">
        <f t="shared" si="6"/>
        <v>0</v>
      </c>
      <c r="Z53" s="21" t="s">
        <v>44</v>
      </c>
      <c r="AA53" s="22">
        <f t="shared" si="7"/>
        <v>0</v>
      </c>
      <c r="AB53" s="22">
        <f t="shared" si="8"/>
        <v>0</v>
      </c>
      <c r="AC53" s="21" t="s">
        <v>44</v>
      </c>
      <c r="AD53" s="22" t="s">
        <v>45</v>
      </c>
      <c r="AE53" s="22" t="s">
        <v>46</v>
      </c>
      <c r="AF53" s="22" t="s">
        <v>47</v>
      </c>
      <c r="AG53" s="21" t="s">
        <v>48</v>
      </c>
    </row>
    <row r="54" spans="1:33" ht="13.5" customHeight="1">
      <c r="A54" s="36">
        <v>717</v>
      </c>
      <c r="B54" s="18">
        <f t="shared" si="4"/>
        <v>2</v>
      </c>
      <c r="C54" s="42" t="s">
        <v>691</v>
      </c>
      <c r="D54" s="19" t="str">
        <f t="shared" si="3"/>
        <v xml:space="preserve">            Management Staff</v>
      </c>
      <c r="E54" s="19"/>
      <c r="F54" s="19"/>
      <c r="G54" s="99"/>
      <c r="H54" s="19"/>
      <c r="I54" s="19"/>
      <c r="J54" s="150"/>
      <c r="K54" s="152"/>
      <c r="L54" s="1"/>
      <c r="M54" s="3"/>
      <c r="N54" s="4"/>
      <c r="O54" s="4"/>
      <c r="P54" s="1"/>
      <c r="Q54" s="153"/>
      <c r="R54" s="1" t="s">
        <v>53</v>
      </c>
      <c r="S54" s="3"/>
      <c r="T54" s="3"/>
      <c r="U54" s="56"/>
      <c r="V54" s="4"/>
      <c r="W54" s="21" t="s">
        <v>43</v>
      </c>
      <c r="X54" s="30">
        <f t="shared" si="5"/>
        <v>0</v>
      </c>
      <c r="Y54" s="30">
        <f t="shared" si="6"/>
        <v>0</v>
      </c>
      <c r="Z54" s="21" t="s">
        <v>44</v>
      </c>
      <c r="AA54" s="22">
        <f t="shared" si="7"/>
        <v>0</v>
      </c>
      <c r="AB54" s="22">
        <f t="shared" si="8"/>
        <v>0</v>
      </c>
      <c r="AC54" s="21" t="s">
        <v>44</v>
      </c>
      <c r="AD54" s="22" t="s">
        <v>45</v>
      </c>
      <c r="AE54" s="22" t="s">
        <v>46</v>
      </c>
      <c r="AF54" s="22" t="s">
        <v>47</v>
      </c>
      <c r="AG54" s="21" t="s">
        <v>48</v>
      </c>
    </row>
    <row r="55" spans="1:33" ht="13.5" customHeight="1">
      <c r="A55" s="36">
        <v>718</v>
      </c>
      <c r="B55" s="18">
        <f t="shared" si="4"/>
        <v>2</v>
      </c>
      <c r="C55" s="42" t="s">
        <v>692</v>
      </c>
      <c r="D55" s="19" t="str">
        <f t="shared" si="3"/>
        <v xml:space="preserve">            Manfuacturing Building Staff</v>
      </c>
      <c r="E55" s="19" t="s">
        <v>35</v>
      </c>
      <c r="F55" s="19"/>
      <c r="G55" s="99"/>
      <c r="H55" s="19"/>
      <c r="I55" s="19"/>
      <c r="J55" s="150"/>
      <c r="K55" s="26">
        <v>2838754.3735329998</v>
      </c>
      <c r="L55" s="4" t="s">
        <v>301</v>
      </c>
      <c r="M55" s="32" t="s">
        <v>638</v>
      </c>
      <c r="N55" s="4">
        <v>1</v>
      </c>
      <c r="O55" s="4" t="s">
        <v>639</v>
      </c>
      <c r="P55" s="4">
        <v>0.14704100000000001</v>
      </c>
      <c r="Q55" s="29">
        <v>2025</v>
      </c>
      <c r="R55" s="4" t="s">
        <v>53</v>
      </c>
      <c r="S55" s="32"/>
      <c r="T55" s="32"/>
      <c r="U55" s="56"/>
      <c r="V55" s="4"/>
      <c r="W55" s="21" t="s">
        <v>43</v>
      </c>
      <c r="X55" s="30">
        <f t="shared" si="5"/>
        <v>0</v>
      </c>
      <c r="Y55" s="30">
        <f t="shared" si="6"/>
        <v>0</v>
      </c>
      <c r="Z55" s="21" t="s">
        <v>44</v>
      </c>
      <c r="AA55" s="22">
        <f t="shared" si="7"/>
        <v>2554878.9361796998</v>
      </c>
      <c r="AB55" s="22">
        <f t="shared" si="8"/>
        <v>3690380.6855929</v>
      </c>
      <c r="AC55" s="21" t="s">
        <v>44</v>
      </c>
      <c r="AD55" s="22" t="s">
        <v>45</v>
      </c>
      <c r="AE55" s="22" t="s">
        <v>46</v>
      </c>
      <c r="AF55" s="22" t="s">
        <v>47</v>
      </c>
      <c r="AG55" s="21" t="s">
        <v>48</v>
      </c>
    </row>
    <row r="56" spans="1:33" ht="13.5" customHeight="1">
      <c r="A56" s="36">
        <v>719</v>
      </c>
      <c r="B56" s="18">
        <f t="shared" si="4"/>
        <v>2</v>
      </c>
      <c r="C56" s="42" t="s">
        <v>693</v>
      </c>
      <c r="D56" s="19" t="str">
        <f t="shared" si="3"/>
        <v xml:space="preserve">            Fueling Building Staff</v>
      </c>
      <c r="E56" s="19" t="s">
        <v>35</v>
      </c>
      <c r="F56" s="19"/>
      <c r="G56" s="99"/>
      <c r="H56" s="19"/>
      <c r="I56" s="19"/>
      <c r="J56" s="150"/>
      <c r="K56" s="26">
        <v>699358.85747699998</v>
      </c>
      <c r="L56" s="4" t="s">
        <v>301</v>
      </c>
      <c r="M56" s="32" t="s">
        <v>638</v>
      </c>
      <c r="N56" s="4">
        <v>1</v>
      </c>
      <c r="O56" s="4" t="s">
        <v>639</v>
      </c>
      <c r="P56" s="4">
        <v>0.29938999999999999</v>
      </c>
      <c r="Q56" s="29">
        <v>2025</v>
      </c>
      <c r="R56" s="4" t="s">
        <v>53</v>
      </c>
      <c r="S56" s="32"/>
      <c r="T56" s="32"/>
      <c r="U56" s="56"/>
      <c r="V56" s="4"/>
      <c r="W56" s="21" t="s">
        <v>43</v>
      </c>
      <c r="X56" s="30">
        <f t="shared" si="5"/>
        <v>0</v>
      </c>
      <c r="Y56" s="30">
        <f t="shared" si="6"/>
        <v>0</v>
      </c>
      <c r="Z56" s="21" t="s">
        <v>44</v>
      </c>
      <c r="AA56" s="22">
        <f t="shared" si="7"/>
        <v>629422.97172929998</v>
      </c>
      <c r="AB56" s="22">
        <f t="shared" si="8"/>
        <v>909166.51472009998</v>
      </c>
      <c r="AC56" s="21" t="s">
        <v>44</v>
      </c>
      <c r="AD56" s="22" t="s">
        <v>45</v>
      </c>
      <c r="AE56" s="22" t="s">
        <v>46</v>
      </c>
      <c r="AF56" s="22" t="s">
        <v>47</v>
      </c>
      <c r="AG56" s="21" t="s">
        <v>48</v>
      </c>
    </row>
    <row r="57" spans="1:33" ht="13.5" customHeight="1">
      <c r="A57" s="15">
        <v>74</v>
      </c>
      <c r="B57" s="18">
        <f t="shared" si="4"/>
        <v>1</v>
      </c>
      <c r="C57" s="42" t="s">
        <v>694</v>
      </c>
      <c r="D57" s="19" t="str">
        <f t="shared" si="3"/>
        <v xml:space="preserve">      Fixed O&amp;M Utilities and Materials </v>
      </c>
      <c r="E57" s="19"/>
      <c r="F57" s="19"/>
      <c r="G57" s="99"/>
      <c r="H57" s="19"/>
      <c r="I57" s="19"/>
      <c r="J57" s="26"/>
      <c r="K57" s="26"/>
      <c r="L57" s="4"/>
      <c r="M57" s="32"/>
      <c r="N57" s="4"/>
      <c r="O57" s="4"/>
      <c r="P57" s="29"/>
      <c r="Q57" s="29"/>
      <c r="R57" s="4"/>
      <c r="S57" s="32"/>
      <c r="T57" s="7"/>
      <c r="U57" s="56"/>
      <c r="V57" s="4"/>
      <c r="W57" s="21"/>
      <c r="X57" s="30"/>
      <c r="Y57" s="30"/>
      <c r="Z57" s="21"/>
      <c r="AA57" s="22"/>
      <c r="AB57" s="22"/>
      <c r="AC57" s="21"/>
      <c r="AD57" s="22"/>
      <c r="AE57" s="22"/>
      <c r="AF57" s="22"/>
      <c r="AG57" s="21"/>
    </row>
    <row r="58" spans="1:33" ht="23.25" customHeight="1">
      <c r="A58" s="15">
        <v>741</v>
      </c>
      <c r="B58" s="18">
        <f t="shared" si="4"/>
        <v>2</v>
      </c>
      <c r="C58" s="42" t="s">
        <v>695</v>
      </c>
      <c r="D58" s="19" t="str">
        <f t="shared" si="3"/>
        <v xml:space="preserve">            Operating Chemicals and Lubricants (Except Manufacturing and Fueling)</v>
      </c>
      <c r="E58" s="19"/>
      <c r="F58" s="19"/>
      <c r="G58" s="99"/>
      <c r="H58" s="19"/>
      <c r="I58" s="19"/>
      <c r="J58" s="150"/>
      <c r="K58" s="26"/>
      <c r="L58" s="4"/>
      <c r="M58" s="32"/>
      <c r="N58" s="4"/>
      <c r="O58" s="4"/>
      <c r="P58" s="29"/>
      <c r="Q58" s="29"/>
      <c r="R58" s="4"/>
      <c r="S58" s="32"/>
      <c r="T58" s="7"/>
      <c r="U58" s="56"/>
      <c r="V58" s="4"/>
      <c r="W58" s="21" t="s">
        <v>43</v>
      </c>
      <c r="X58" s="30">
        <f t="shared" ref="X58:X64" si="9">0.9*$J58</f>
        <v>0</v>
      </c>
      <c r="Y58" s="30">
        <f t="shared" ref="Y58:Y64" si="10">1.5*J58</f>
        <v>0</v>
      </c>
      <c r="Z58" s="21" t="s">
        <v>44</v>
      </c>
      <c r="AA58" s="22">
        <f t="shared" ref="AA58:AA64" si="11">0.9*K58</f>
        <v>0</v>
      </c>
      <c r="AB58" s="22">
        <f t="shared" ref="AB58:AB64" si="12">1.3*K58</f>
        <v>0</v>
      </c>
      <c r="AC58" s="21" t="s">
        <v>44</v>
      </c>
      <c r="AD58" s="22" t="s">
        <v>45</v>
      </c>
      <c r="AE58" s="22" t="s">
        <v>46</v>
      </c>
      <c r="AF58" s="22" t="s">
        <v>47</v>
      </c>
      <c r="AG58" s="21" t="s">
        <v>48</v>
      </c>
    </row>
    <row r="59" spans="1:33" ht="23.25" customHeight="1">
      <c r="A59" s="15">
        <v>742</v>
      </c>
      <c r="B59" s="18">
        <f t="shared" si="4"/>
        <v>2</v>
      </c>
      <c r="C59" s="42" t="s">
        <v>696</v>
      </c>
      <c r="D59" s="19" t="str">
        <f t="shared" si="3"/>
        <v xml:space="preserve">            Spare Parts (Except Manufacturing and Fueling)</v>
      </c>
      <c r="E59" s="19"/>
      <c r="F59" s="19"/>
      <c r="G59" s="99"/>
      <c r="H59" s="19"/>
      <c r="I59" s="19"/>
      <c r="J59" s="150"/>
      <c r="K59" s="26"/>
      <c r="L59" s="4"/>
      <c r="M59" s="32"/>
      <c r="N59" s="4"/>
      <c r="O59" s="4"/>
      <c r="P59" s="29"/>
      <c r="Q59" s="29"/>
      <c r="R59" s="4"/>
      <c r="S59" s="32"/>
      <c r="T59" s="7"/>
      <c r="U59" s="56"/>
      <c r="V59" s="4"/>
      <c r="W59" s="21" t="s">
        <v>43</v>
      </c>
      <c r="X59" s="30">
        <f t="shared" si="9"/>
        <v>0</v>
      </c>
      <c r="Y59" s="30">
        <f t="shared" si="10"/>
        <v>0</v>
      </c>
      <c r="Z59" s="21" t="s">
        <v>44</v>
      </c>
      <c r="AA59" s="22">
        <f t="shared" si="11"/>
        <v>0</v>
      </c>
      <c r="AB59" s="22">
        <f t="shared" si="12"/>
        <v>0</v>
      </c>
      <c r="AC59" s="21" t="s">
        <v>44</v>
      </c>
      <c r="AD59" s="22" t="s">
        <v>45</v>
      </c>
      <c r="AE59" s="22" t="s">
        <v>46</v>
      </c>
      <c r="AF59" s="22" t="s">
        <v>47</v>
      </c>
      <c r="AG59" s="21" t="s">
        <v>48</v>
      </c>
    </row>
    <row r="60" spans="1:33" ht="23.25" customHeight="1">
      <c r="A60" s="15">
        <v>743</v>
      </c>
      <c r="B60" s="18">
        <f t="shared" si="4"/>
        <v>2</v>
      </c>
      <c r="C60" s="42" t="s">
        <v>697</v>
      </c>
      <c r="D60" s="19" t="str">
        <f t="shared" si="3"/>
        <v xml:space="preserve">            Utilities except electricity, Supplies, and Consumables</v>
      </c>
      <c r="E60" s="19"/>
      <c r="F60" s="19"/>
      <c r="G60" s="99"/>
      <c r="H60" s="19"/>
      <c r="I60" s="19"/>
      <c r="J60" s="150"/>
      <c r="K60" s="26"/>
      <c r="L60" s="4"/>
      <c r="M60" s="32"/>
      <c r="N60" s="4"/>
      <c r="O60" s="4"/>
      <c r="P60" s="29"/>
      <c r="Q60" s="29"/>
      <c r="R60" s="4"/>
      <c r="S60" s="32"/>
      <c r="T60" s="7"/>
      <c r="U60" s="56"/>
      <c r="V60" s="4"/>
      <c r="W60" s="21" t="s">
        <v>43</v>
      </c>
      <c r="X60" s="30">
        <f t="shared" si="9"/>
        <v>0</v>
      </c>
      <c r="Y60" s="30">
        <f t="shared" si="10"/>
        <v>0</v>
      </c>
      <c r="Z60" s="21" t="s">
        <v>44</v>
      </c>
      <c r="AA60" s="22">
        <f t="shared" si="11"/>
        <v>0</v>
      </c>
      <c r="AB60" s="22">
        <f t="shared" si="12"/>
        <v>0</v>
      </c>
      <c r="AC60" s="21" t="s">
        <v>44</v>
      </c>
      <c r="AD60" s="22" t="s">
        <v>45</v>
      </c>
      <c r="AE60" s="22" t="s">
        <v>46</v>
      </c>
      <c r="AF60" s="22" t="s">
        <v>47</v>
      </c>
      <c r="AG60" s="21" t="s">
        <v>48</v>
      </c>
    </row>
    <row r="61" spans="1:33" ht="13.5" customHeight="1">
      <c r="A61" s="15">
        <v>744</v>
      </c>
      <c r="B61" s="18">
        <f t="shared" si="4"/>
        <v>2</v>
      </c>
      <c r="C61" s="42" t="s">
        <v>698</v>
      </c>
      <c r="D61" s="19" t="str">
        <f t="shared" si="3"/>
        <v xml:space="preserve">            Electricity</v>
      </c>
      <c r="E61" s="19" t="s">
        <v>290</v>
      </c>
      <c r="F61" s="19" t="s">
        <v>623</v>
      </c>
      <c r="G61" s="99">
        <v>1</v>
      </c>
      <c r="H61" s="19"/>
      <c r="I61" s="19"/>
      <c r="J61" s="26"/>
      <c r="K61" s="26">
        <v>90</v>
      </c>
      <c r="L61" s="4" t="s">
        <v>443</v>
      </c>
      <c r="M61" s="151" t="s">
        <v>625</v>
      </c>
      <c r="N61" s="4"/>
      <c r="O61" s="4"/>
      <c r="P61" s="29">
        <v>1</v>
      </c>
      <c r="Q61" s="29">
        <v>2025</v>
      </c>
      <c r="R61" s="4" t="s">
        <v>39</v>
      </c>
      <c r="S61" s="32"/>
      <c r="T61" s="7"/>
      <c r="U61" s="56"/>
      <c r="V61" s="4"/>
      <c r="W61" s="21" t="s">
        <v>43</v>
      </c>
      <c r="X61" s="30">
        <f t="shared" si="9"/>
        <v>0</v>
      </c>
      <c r="Y61" s="30">
        <f t="shared" si="10"/>
        <v>0</v>
      </c>
      <c r="Z61" s="21" t="s">
        <v>44</v>
      </c>
      <c r="AA61" s="22">
        <f t="shared" si="11"/>
        <v>81</v>
      </c>
      <c r="AB61" s="22">
        <f t="shared" si="12"/>
        <v>117</v>
      </c>
      <c r="AC61" s="21" t="s">
        <v>44</v>
      </c>
      <c r="AD61" s="22" t="s">
        <v>45</v>
      </c>
      <c r="AE61" s="22" t="s">
        <v>46</v>
      </c>
      <c r="AF61" s="22" t="s">
        <v>47</v>
      </c>
      <c r="AG61" s="21" t="s">
        <v>48</v>
      </c>
    </row>
    <row r="62" spans="1:33" ht="13.5" customHeight="1">
      <c r="A62" s="15">
        <v>745</v>
      </c>
      <c r="B62" s="18">
        <f t="shared" si="4"/>
        <v>2</v>
      </c>
      <c r="C62" s="42" t="s">
        <v>699</v>
      </c>
      <c r="D62" s="19" t="str">
        <f t="shared" si="3"/>
        <v xml:space="preserve">            Manufacturing Building Equipment</v>
      </c>
      <c r="E62" s="19" t="s">
        <v>35</v>
      </c>
      <c r="F62" s="19"/>
      <c r="G62" s="99"/>
      <c r="H62" s="19"/>
      <c r="I62" s="19"/>
      <c r="J62" s="26"/>
      <c r="K62" s="26">
        <v>405910.19340400002</v>
      </c>
      <c r="L62" s="4" t="s">
        <v>301</v>
      </c>
      <c r="M62" s="151" t="s">
        <v>638</v>
      </c>
      <c r="N62" s="4">
        <v>1</v>
      </c>
      <c r="O62" s="4" t="s">
        <v>639</v>
      </c>
      <c r="P62" s="29">
        <v>0.126887</v>
      </c>
      <c r="Q62" s="29">
        <v>2025</v>
      </c>
      <c r="R62" s="4" t="s">
        <v>163</v>
      </c>
      <c r="S62" s="32"/>
      <c r="T62" s="7"/>
      <c r="U62" s="56"/>
      <c r="V62" s="4"/>
      <c r="W62" s="21" t="s">
        <v>43</v>
      </c>
      <c r="X62" s="30">
        <f t="shared" si="9"/>
        <v>0</v>
      </c>
      <c r="Y62" s="30">
        <f t="shared" si="10"/>
        <v>0</v>
      </c>
      <c r="Z62" s="21" t="s">
        <v>44</v>
      </c>
      <c r="AA62" s="22">
        <f t="shared" si="11"/>
        <v>365319.17406360002</v>
      </c>
      <c r="AB62" s="22">
        <f t="shared" si="12"/>
        <v>527683.25142520003</v>
      </c>
      <c r="AC62" s="21" t="s">
        <v>44</v>
      </c>
      <c r="AD62" s="22" t="s">
        <v>45</v>
      </c>
      <c r="AE62" s="22" t="s">
        <v>46</v>
      </c>
      <c r="AF62" s="22" t="s">
        <v>47</v>
      </c>
      <c r="AG62" s="21" t="s">
        <v>48</v>
      </c>
    </row>
    <row r="63" spans="1:33" ht="13.5" customHeight="1">
      <c r="A63" s="15">
        <v>746</v>
      </c>
      <c r="B63" s="18">
        <f t="shared" si="4"/>
        <v>2</v>
      </c>
      <c r="C63" s="42" t="s">
        <v>700</v>
      </c>
      <c r="D63" s="19" t="str">
        <f t="shared" si="3"/>
        <v xml:space="preserve">            Fueling Building Equipment</v>
      </c>
      <c r="E63" s="19" t="s">
        <v>35</v>
      </c>
      <c r="F63" s="19"/>
      <c r="G63" s="99"/>
      <c r="H63" s="19"/>
      <c r="I63" s="19"/>
      <c r="J63" s="26"/>
      <c r="K63" s="26">
        <v>82100.296140000006</v>
      </c>
      <c r="L63" s="4" t="s">
        <v>301</v>
      </c>
      <c r="M63" s="151" t="s">
        <v>638</v>
      </c>
      <c r="N63" s="4">
        <v>1</v>
      </c>
      <c r="O63" s="4" t="s">
        <v>639</v>
      </c>
      <c r="P63" s="29">
        <v>0.159548</v>
      </c>
      <c r="Q63" s="29">
        <v>2025</v>
      </c>
      <c r="R63" s="4" t="s">
        <v>163</v>
      </c>
      <c r="S63" s="32"/>
      <c r="T63" s="7"/>
      <c r="U63" s="56"/>
      <c r="V63" s="4"/>
      <c r="W63" s="21" t="s">
        <v>43</v>
      </c>
      <c r="X63" s="30">
        <f t="shared" si="9"/>
        <v>0</v>
      </c>
      <c r="Y63" s="30">
        <f t="shared" si="10"/>
        <v>0</v>
      </c>
      <c r="Z63" s="21" t="s">
        <v>44</v>
      </c>
      <c r="AA63" s="22">
        <f t="shared" si="11"/>
        <v>73890.266526000007</v>
      </c>
      <c r="AB63" s="22">
        <f t="shared" si="12"/>
        <v>106730.38498200002</v>
      </c>
      <c r="AC63" s="21" t="s">
        <v>44</v>
      </c>
      <c r="AD63" s="22" t="s">
        <v>45</v>
      </c>
      <c r="AE63" s="22" t="s">
        <v>46</v>
      </c>
      <c r="AF63" s="22" t="s">
        <v>47</v>
      </c>
      <c r="AG63" s="21" t="s">
        <v>48</v>
      </c>
    </row>
    <row r="64" spans="1:33" ht="13.5" customHeight="1">
      <c r="A64" s="15">
        <v>747</v>
      </c>
      <c r="B64" s="18">
        <f t="shared" si="4"/>
        <v>2</v>
      </c>
      <c r="C64" s="42" t="s">
        <v>701</v>
      </c>
      <c r="D64" s="19" t="str">
        <f t="shared" si="3"/>
        <v xml:space="preserve">            Other annual costs</v>
      </c>
      <c r="E64" s="19"/>
      <c r="F64" s="19"/>
      <c r="G64" s="99"/>
      <c r="H64" s="19"/>
      <c r="I64" s="19"/>
      <c r="J64" s="26"/>
      <c r="K64" s="26"/>
      <c r="L64" s="4"/>
      <c r="M64" s="151"/>
      <c r="N64" s="4"/>
      <c r="O64" s="4"/>
      <c r="P64" s="29"/>
      <c r="Q64" s="29"/>
      <c r="R64" s="4"/>
      <c r="S64" s="32"/>
      <c r="T64" s="7"/>
      <c r="U64" s="56"/>
      <c r="V64" s="4"/>
      <c r="W64" s="21" t="s">
        <v>43</v>
      </c>
      <c r="X64" s="30">
        <f t="shared" si="9"/>
        <v>0</v>
      </c>
      <c r="Y64" s="30">
        <f t="shared" si="10"/>
        <v>0</v>
      </c>
      <c r="Z64" s="21" t="s">
        <v>44</v>
      </c>
      <c r="AA64" s="22">
        <f t="shared" si="11"/>
        <v>0</v>
      </c>
      <c r="AB64" s="22">
        <f t="shared" si="12"/>
        <v>0</v>
      </c>
      <c r="AC64" s="21" t="s">
        <v>44</v>
      </c>
      <c r="AD64" s="22" t="s">
        <v>45</v>
      </c>
      <c r="AE64" s="22" t="s">
        <v>46</v>
      </c>
      <c r="AF64" s="22" t="s">
        <v>47</v>
      </c>
      <c r="AG64" s="21" t="s">
        <v>48</v>
      </c>
    </row>
    <row r="65" spans="1:33" ht="13.5" customHeight="1">
      <c r="A65" s="15">
        <v>747.1</v>
      </c>
      <c r="B65" s="18">
        <f t="shared" si="4"/>
        <v>3</v>
      </c>
      <c r="C65" s="42" t="s">
        <v>702</v>
      </c>
      <c r="D65" s="19" t="str">
        <f t="shared" si="3"/>
        <v xml:space="preserve">                  Annualized Transportation Costs</v>
      </c>
      <c r="E65" s="19"/>
      <c r="F65" s="19"/>
      <c r="G65" s="99"/>
      <c r="H65" s="19"/>
      <c r="I65" s="19"/>
      <c r="J65" s="150"/>
      <c r="K65" s="26"/>
      <c r="L65" s="4"/>
      <c r="M65" s="32"/>
      <c r="N65" s="4"/>
      <c r="O65" s="4"/>
      <c r="P65" s="29"/>
      <c r="Q65" s="29"/>
      <c r="R65" s="4"/>
      <c r="S65" s="32"/>
      <c r="T65" s="7"/>
      <c r="U65" s="56"/>
      <c r="V65" s="4"/>
      <c r="W65" s="21"/>
      <c r="X65" s="30">
        <f>0.8*$I65</f>
        <v>0</v>
      </c>
      <c r="Y65" s="30">
        <f>2*J65</f>
        <v>0</v>
      </c>
      <c r="Z65" s="21" t="s">
        <v>44</v>
      </c>
      <c r="AA65" s="22">
        <f>0.8*K65</f>
        <v>0</v>
      </c>
      <c r="AB65" s="22">
        <f>2*K65</f>
        <v>0</v>
      </c>
      <c r="AC65" s="21" t="s">
        <v>44</v>
      </c>
      <c r="AD65" s="22" t="s">
        <v>45</v>
      </c>
      <c r="AE65" s="22" t="s">
        <v>46</v>
      </c>
      <c r="AF65" s="22" t="s">
        <v>47</v>
      </c>
      <c r="AG65" s="21" t="s">
        <v>48</v>
      </c>
    </row>
    <row r="66" spans="1:33" ht="45.75" customHeight="1">
      <c r="A66" s="15">
        <v>747.3</v>
      </c>
      <c r="B66" s="18">
        <f t="shared" si="4"/>
        <v>3</v>
      </c>
      <c r="C66" s="42" t="s">
        <v>703</v>
      </c>
      <c r="D66" s="19" t="str">
        <f t="shared" ref="D66:D69" si="13">REPT("   ", B66*2) &amp; C66</f>
        <v xml:space="preserve">                  Annualized Helium Replenishment</v>
      </c>
      <c r="E66" s="19" t="s">
        <v>35</v>
      </c>
      <c r="F66" s="151" t="s">
        <v>638</v>
      </c>
      <c r="G66" s="99">
        <v>1</v>
      </c>
      <c r="H66" s="19"/>
      <c r="I66" s="19"/>
      <c r="J66" s="26"/>
      <c r="K66" s="26">
        <v>170</v>
      </c>
      <c r="L66" s="4" t="s">
        <v>196</v>
      </c>
      <c r="M66" s="151" t="s">
        <v>704</v>
      </c>
      <c r="N66" s="4"/>
      <c r="O66" s="4" t="s">
        <v>198</v>
      </c>
      <c r="P66" s="29"/>
      <c r="Q66" s="29">
        <v>2024</v>
      </c>
      <c r="R66" s="4" t="s">
        <v>163</v>
      </c>
      <c r="S66" s="154" t="s">
        <v>327</v>
      </c>
      <c r="T66" s="155" t="s">
        <v>327</v>
      </c>
      <c r="U66" s="56" t="s">
        <v>328</v>
      </c>
      <c r="V66" s="4" t="s">
        <v>329</v>
      </c>
      <c r="W66" s="21" t="s">
        <v>43</v>
      </c>
      <c r="X66" s="30">
        <v>0</v>
      </c>
      <c r="Y66" s="30">
        <v>0</v>
      </c>
      <c r="Z66" s="21" t="s">
        <v>44</v>
      </c>
      <c r="AA66" s="22">
        <f>0.9*K66</f>
        <v>153</v>
      </c>
      <c r="AB66" s="22">
        <f>1.3*K66</f>
        <v>221</v>
      </c>
      <c r="AC66" s="21" t="s">
        <v>44</v>
      </c>
      <c r="AD66" s="22" t="s">
        <v>45</v>
      </c>
      <c r="AE66" s="22" t="s">
        <v>46</v>
      </c>
      <c r="AF66" s="22" t="s">
        <v>47</v>
      </c>
      <c r="AG66" s="21" t="s">
        <v>48</v>
      </c>
    </row>
    <row r="67" spans="1:33" ht="13.5" customHeight="1">
      <c r="A67" s="15">
        <v>747.4</v>
      </c>
      <c r="B67" s="18">
        <f t="shared" si="4"/>
        <v>3</v>
      </c>
      <c r="C67" s="42" t="s">
        <v>705</v>
      </c>
      <c r="D67" s="19" t="str">
        <f t="shared" si="13"/>
        <v xml:space="preserve">                  Annualized Other Supplies and Utilities</v>
      </c>
      <c r="E67" s="19"/>
      <c r="F67" s="19"/>
      <c r="G67" s="99"/>
      <c r="H67" s="19"/>
      <c r="I67" s="19"/>
      <c r="J67" s="150"/>
      <c r="K67" s="26"/>
      <c r="L67" s="4"/>
      <c r="M67" s="32"/>
      <c r="N67" s="4"/>
      <c r="O67" s="4"/>
      <c r="P67" s="29"/>
      <c r="Q67" s="29"/>
      <c r="R67" s="4"/>
      <c r="S67" s="32"/>
      <c r="T67" s="7"/>
      <c r="U67" s="56"/>
      <c r="V67" s="4"/>
      <c r="W67" s="21" t="s">
        <v>43</v>
      </c>
      <c r="X67" s="30"/>
      <c r="Y67" s="30"/>
      <c r="Z67" s="21" t="s">
        <v>44</v>
      </c>
      <c r="AA67" s="22">
        <f>0.9*K67</f>
        <v>0</v>
      </c>
      <c r="AB67" s="22">
        <f>1.3*K67</f>
        <v>0</v>
      </c>
      <c r="AC67" s="21" t="s">
        <v>44</v>
      </c>
      <c r="AD67" s="22" t="s">
        <v>45</v>
      </c>
      <c r="AE67" s="22" t="s">
        <v>46</v>
      </c>
      <c r="AF67" s="22" t="s">
        <v>47</v>
      </c>
      <c r="AG67" s="21" t="s">
        <v>48</v>
      </c>
    </row>
    <row r="68" spans="1:33" ht="13.5" customHeight="1">
      <c r="A68" s="15">
        <v>75</v>
      </c>
      <c r="B68" s="18">
        <f t="shared" si="4"/>
        <v>1</v>
      </c>
      <c r="C68" s="42" t="s">
        <v>419</v>
      </c>
      <c r="D68" s="19" t="str">
        <f t="shared" si="13"/>
        <v xml:space="preserve">      Capital Plant Expenditures</v>
      </c>
      <c r="E68" s="19"/>
      <c r="F68" s="19"/>
      <c r="G68" s="156"/>
      <c r="H68" s="157"/>
      <c r="I68" s="157"/>
      <c r="J68" s="158"/>
      <c r="K68" s="159"/>
      <c r="L68" s="160"/>
      <c r="M68" s="160"/>
      <c r="N68" s="160"/>
      <c r="O68" s="160"/>
      <c r="P68" s="159"/>
      <c r="Q68" s="160"/>
      <c r="R68" s="160"/>
      <c r="S68" s="160"/>
      <c r="T68" s="160"/>
      <c r="U68" s="160"/>
      <c r="V68" s="160"/>
      <c r="W68" s="160"/>
      <c r="X68" s="159"/>
      <c r="Y68" s="159"/>
      <c r="Z68" s="160"/>
      <c r="AA68" s="159"/>
      <c r="AB68" s="159"/>
      <c r="AC68" s="160"/>
      <c r="AD68" s="159"/>
      <c r="AE68" s="159"/>
      <c r="AF68" s="159"/>
      <c r="AG68" s="160"/>
    </row>
    <row r="69" spans="1:33" ht="13.5" customHeight="1">
      <c r="A69" s="15">
        <v>78</v>
      </c>
      <c r="B69" s="18">
        <f t="shared" si="4"/>
        <v>1</v>
      </c>
      <c r="C69" s="42" t="s">
        <v>437</v>
      </c>
      <c r="D69" s="19" t="str">
        <f t="shared" si="13"/>
        <v xml:space="preserve">      Annualized Decommissioning Cost</v>
      </c>
      <c r="E69" s="19"/>
      <c r="F69" s="19"/>
      <c r="G69" s="156"/>
      <c r="H69" s="157"/>
      <c r="I69" s="157"/>
      <c r="J69" s="158"/>
      <c r="K69" s="159"/>
      <c r="L69" s="160"/>
      <c r="M69" s="160"/>
      <c r="N69" s="160"/>
      <c r="O69" s="160"/>
      <c r="P69" s="159"/>
      <c r="Q69" s="160"/>
      <c r="R69" s="160"/>
      <c r="S69" s="160"/>
      <c r="T69" s="160"/>
      <c r="U69" s="160"/>
      <c r="V69" s="160"/>
      <c r="W69" s="160"/>
      <c r="X69" s="159"/>
      <c r="Y69" s="159"/>
      <c r="Z69" s="160"/>
      <c r="AA69" s="159"/>
      <c r="AB69" s="159"/>
      <c r="AC69" s="160"/>
      <c r="AD69" s="159"/>
      <c r="AE69" s="159"/>
      <c r="AF69" s="159"/>
      <c r="AG69" s="160"/>
    </row>
  </sheetData>
  <mergeCells count="7">
    <mergeCell ref="T3:T4"/>
    <mergeCell ref="U3:U4"/>
    <mergeCell ref="T5:T6"/>
    <mergeCell ref="U5:U6"/>
    <mergeCell ref="S11:S12"/>
    <mergeCell ref="T11:T12"/>
    <mergeCell ref="U11:U12"/>
  </mergeCells>
  <conditionalFormatting sqref="A19:C19">
    <cfRule type="expression" dxfId="100" priority="4">
      <formula>$B19&lt;2</formula>
    </cfRule>
    <cfRule type="expression" dxfId="99" priority="5">
      <formula>$B19=2</formula>
    </cfRule>
    <cfRule type="expression" dxfId="98" priority="6">
      <formula>$B19=3</formula>
    </cfRule>
  </conditionalFormatting>
  <conditionalFormatting sqref="A49:J56 A57:AG69 A2:AG14 W15:AG16 A17:AG18 D19:AG19 U49:AG56">
    <cfRule type="expression" dxfId="97" priority="49">
      <formula>$B2&lt;2</formula>
    </cfRule>
  </conditionalFormatting>
  <conditionalFormatting sqref="A15:K16 A20:AG26 A28:AG28 A29:R29 A30:AG48">
    <cfRule type="expression" dxfId="96" priority="13">
      <formula>$B15=3</formula>
    </cfRule>
  </conditionalFormatting>
  <conditionalFormatting sqref="A15:P16 A20:AG26 A28:AG28 A29:R29 A30:AG48">
    <cfRule type="expression" dxfId="95" priority="12">
      <formula>$B15=2</formula>
    </cfRule>
  </conditionalFormatting>
  <conditionalFormatting sqref="A15:V16 A20:AG26 A28:AG28 A29:R29 A30:AG48">
    <cfRule type="expression" dxfId="94" priority="11">
      <formula>$B15&lt;2</formula>
    </cfRule>
  </conditionalFormatting>
  <conditionalFormatting sqref="A2:AG14 L15:AG16 A17:AG18 D19:AG19 A27:I27 A49:J56 N49:O56 U49:AG56 A57:AG69">
    <cfRule type="expression" dxfId="93" priority="51">
      <formula>$B2=3</formula>
    </cfRule>
  </conditionalFormatting>
  <conditionalFormatting sqref="A2:AG14 W15:AG16 A17:AG18 D19:AG19 A49:J56 U49:AG56 A57:AG69 N49:O56 A27:I27">
    <cfRule type="expression" dxfId="92" priority="50">
      <formula>$B2=2</formula>
    </cfRule>
  </conditionalFormatting>
  <conditionalFormatting sqref="A2:AG69">
    <cfRule type="expression" dxfId="91" priority="3">
      <formula>$B2=0</formula>
    </cfRule>
  </conditionalFormatting>
  <conditionalFormatting sqref="A27:AG27">
    <cfRule type="expression" dxfId="90" priority="19">
      <formula>$B27&lt;2</formula>
    </cfRule>
  </conditionalFormatting>
  <conditionalFormatting sqref="J49:J56 J57:K69">
    <cfRule type="expression" dxfId="89" priority="48">
      <formula>AND(ISBLANK($J49),ISBLANK($K49),NOT(ISBLANK($E49)))</formula>
    </cfRule>
  </conditionalFormatting>
  <conditionalFormatting sqref="J53:J56">
    <cfRule type="expression" dxfId="88" priority="30">
      <formula>$B53=0</formula>
    </cfRule>
    <cfRule type="expression" dxfId="87" priority="29">
      <formula>_xlfn.ISFORMULA(J53)</formula>
    </cfRule>
  </conditionalFormatting>
  <conditionalFormatting sqref="J2:K26 J28:K48">
    <cfRule type="expression" dxfId="86" priority="10">
      <formula>AND(ISBLANK($J2),ISBLANK($K2),NOT(ISBLANK($E2)))</formula>
    </cfRule>
  </conditionalFormatting>
  <conditionalFormatting sqref="J1:Q1048576 F66">
    <cfRule type="expression" dxfId="85" priority="28">
      <formula>_xlfn.ISFORMULA(F1)</formula>
    </cfRule>
  </conditionalFormatting>
  <conditionalFormatting sqref="J27:V27">
    <cfRule type="expression" dxfId="84" priority="14">
      <formula>$B27=3</formula>
    </cfRule>
    <cfRule type="expression" dxfId="83" priority="15">
      <formula>$B27=2</formula>
    </cfRule>
    <cfRule type="expression" dxfId="82" priority="16">
      <formula>$B27&lt;2</formula>
    </cfRule>
  </conditionalFormatting>
  <conditionalFormatting sqref="J27:AG27">
    <cfRule type="expression" dxfId="81" priority="17">
      <formula>$B27=3</formula>
    </cfRule>
    <cfRule type="expression" dxfId="80" priority="18">
      <formula>$B27=2</formula>
    </cfRule>
  </conditionalFormatting>
  <conditionalFormatting sqref="K49:L50">
    <cfRule type="expression" dxfId="79" priority="38">
      <formula>$B50=3</formula>
    </cfRule>
    <cfRule type="expression" dxfId="78" priority="39">
      <formula>$B50=2</formula>
    </cfRule>
    <cfRule type="expression" dxfId="77" priority="40">
      <formula>$B50&lt;2</formula>
    </cfRule>
    <cfRule type="expression" dxfId="76" priority="41">
      <formula>$B50=0</formula>
    </cfRule>
  </conditionalFormatting>
  <conditionalFormatting sqref="K51:L56">
    <cfRule type="expression" dxfId="75" priority="34">
      <formula>$B51=0</formula>
    </cfRule>
    <cfRule type="expression" dxfId="74" priority="35">
      <formula>$B51=3</formula>
    </cfRule>
    <cfRule type="expression" dxfId="73" priority="36">
      <formula>$B51=2</formula>
    </cfRule>
    <cfRule type="expression" dxfId="72" priority="37">
      <formula>$B51&lt;2</formula>
    </cfRule>
  </conditionalFormatting>
  <conditionalFormatting sqref="K49:M56">
    <cfRule type="expression" dxfId="71" priority="42">
      <formula>$B49=3</formula>
    </cfRule>
    <cfRule type="expression" dxfId="70" priority="43">
      <formula>$B49=2</formula>
    </cfRule>
  </conditionalFormatting>
  <conditionalFormatting sqref="K49:O56">
    <cfRule type="expression" dxfId="69" priority="44">
      <formula>$B49&lt;2</formula>
    </cfRule>
  </conditionalFormatting>
  <conditionalFormatting sqref="M61:M64">
    <cfRule type="expression" dxfId="68" priority="24">
      <formula>_xlfn.ISFORMULA(M61)</formula>
    </cfRule>
    <cfRule type="expression" dxfId="67" priority="25">
      <formula>$B61=3</formula>
    </cfRule>
    <cfRule type="expression" dxfId="66" priority="26">
      <formula>$B61=2</formula>
    </cfRule>
    <cfRule type="expression" dxfId="65" priority="27">
      <formula>$B61&lt;2</formula>
    </cfRule>
  </conditionalFormatting>
  <conditionalFormatting sqref="M66">
    <cfRule type="expression" dxfId="64" priority="22">
      <formula>$B66=2</formula>
    </cfRule>
    <cfRule type="expression" dxfId="63" priority="23">
      <formula>$B66&lt;2</formula>
    </cfRule>
    <cfRule type="expression" dxfId="62" priority="20">
      <formula>_xlfn.ISFORMULA(M66)</formula>
    </cfRule>
    <cfRule type="expression" dxfId="61" priority="21">
      <formula>$B66=3</formula>
    </cfRule>
  </conditionalFormatting>
  <conditionalFormatting sqref="P49:T56">
    <cfRule type="expression" dxfId="60" priority="31">
      <formula>$B49=3</formula>
    </cfRule>
    <cfRule type="expression" dxfId="59" priority="32">
      <formula>$B49=2</formula>
    </cfRule>
    <cfRule type="expression" dxfId="58" priority="33">
      <formula>$B49&lt;2</formula>
    </cfRule>
  </conditionalFormatting>
  <conditionalFormatting sqref="Q15:V16">
    <cfRule type="expression" dxfId="57" priority="52">
      <formula>$B15=2</formula>
    </cfRule>
  </conditionalFormatting>
  <conditionalFormatting sqref="S29:AG29">
    <cfRule type="expression" dxfId="56" priority="8">
      <formula>$B29=2</formula>
    </cfRule>
    <cfRule type="expression" dxfId="55" priority="7">
      <formula>$B29&lt;2</formula>
    </cfRule>
    <cfRule type="expression" dxfId="54" priority="9">
      <formula>$B29=3</formula>
    </cfRule>
  </conditionalFormatting>
  <conditionalFormatting sqref="W58:AG64">
    <cfRule type="expression" dxfId="53" priority="2">
      <formula>$B58=0</formula>
    </cfRule>
  </conditionalFormatting>
  <conditionalFormatting sqref="X2:Z26 X28:Z69">
    <cfRule type="expression" dxfId="52" priority="47">
      <formula>AND(ISBLANK($X2),ISBLANK($Y2),ISBLANK($Z2),NOT(ISBLANK($E2)))</formula>
    </cfRule>
  </conditionalFormatting>
  <conditionalFormatting sqref="AA2:AC26 AA28:AC69">
    <cfRule type="expression" dxfId="51" priority="46">
      <formula>AND(ISBLANK($AA2),ISBLANK($AB2),ISBLANK($AC2),NOT(ISBLANK($E2)))</formula>
    </cfRule>
  </conditionalFormatting>
  <conditionalFormatting sqref="AD2:AG26 AD28:AG69">
    <cfRule type="expression" dxfId="50" priority="45">
      <formula>AND(ISBLANK($AD2),ISBLANK($AE2),ISBLANK($AF2),NOT(ISBLANK($E2)))</formula>
    </cfRule>
  </conditionalFormatting>
  <dataValidations count="12">
    <dataValidation type="list" allowBlank="1" showInputMessage="1" showErrorMessage="1" sqref="E2:E69" xr:uid="{00000000-0002-0000-0500-000000000000}">
      <formula1>"standard,nonstandard"</formula1>
      <formula2>0</formula2>
    </dataValidation>
    <dataValidation type="list" allowBlank="1" showInputMessage="1" showErrorMessage="1" sqref="R2:R67" xr:uid="{00000000-0002-0000-0500-000001000000}">
      <formula1>"NA,General,Labor,Material,Equipment,Lab and Mat and Equip,'Lab and Equip"</formula1>
      <formula2>0</formula2>
    </dataValidation>
    <dataValidation type="list" allowBlank="1" showInputMessage="1" showErrorMessage="1" sqref="O27" xr:uid="{00000000-0002-0000-0500-000002000000}">
      <formula1>"acres,MWe,m^3,MWt,Kg,Drums,kW,$,m^2,kg/s"</formula1>
      <formula2>0</formula2>
    </dataValidation>
    <dataValidation type="list" allowBlank="1" showInputMessage="1" showErrorMessage="1" sqref="O2:O26 O28:O69" xr:uid="{00000000-0002-0000-0500-000003000000}">
      <formula1>"acres,MWe,m^3,MWt,Kg,Drums,kW,$,m^2,kg/s,Rx/yr"</formula1>
      <formula2>0</formula2>
    </dataValidation>
    <dataValidation type="whole" allowBlank="1" showInputMessage="1" showErrorMessage="1" sqref="P70:P221" xr:uid="{00000000-0002-0000-0500-000004000000}">
      <formula1>0</formula1>
      <formula2>2</formula2>
    </dataValidation>
    <dataValidation type="list" allowBlank="1" showInputMessage="1" showErrorMessage="1" sqref="L1 L70:L1069" xr:uid="{00000000-0002-0000-0500-000005000000}">
      <formula1>"$/acres,$/MWe,$/m^3,$/MWt"</formula1>
      <formula2>0</formula2>
    </dataValidation>
    <dataValidation type="list" allowBlank="1" showInputMessage="1" showErrorMessage="1" sqref="M242:M252" xr:uid="{00000000-0002-0000-0500-000006000000}">
      <formula1>"Land Area,Power MWe,Excavation Volume,Reactor Building Slab Roof Volume,	Reactor Building  Basement Volume,Reactor Building  Exterior Walls Volume,		Turbine Building Slab Roof Volume,	Turbine Building  Basement Volume,	Turbine Building  Exterior Wall"</formula1>
      <formula2>0</formula2>
    </dataValidation>
    <dataValidation type="decimal" operator="greaterThan" allowBlank="1" showInputMessage="1" showErrorMessage="1" sqref="N1:N68 K2:K9 K11:K19 K21:K67 N69:N1069" xr:uid="{00000000-0002-0000-0500-000007000000}">
      <formula1>0</formula1>
      <formula2>0</formula2>
    </dataValidation>
    <dataValidation type="whole" allowBlank="1" showInputMessage="1" showErrorMessage="1" sqref="Q2:Q75 R68:R75" xr:uid="{00000000-0002-0000-0500-000008000000}">
      <formula1>1950</formula1>
      <formula2>2025</formula2>
    </dataValidation>
    <dataValidation type="list" allowBlank="1" showInputMessage="1" showErrorMessage="1" sqref="L2:L26 L28:L48 L57:L69" xr:uid="{00000000-0002-0000-0500-000009000000}">
      <formula1>"$/m^2,$/MWeHour,$/FTE,$/acres,$/MWe,$/m^3,$/MWt,$/Kg,$/Drum,$/(kg.sec),$/SWU,unitless,$/kWe,$/m,$/ft,Rx/yr"</formula1>
      <formula2>0</formula2>
    </dataValidation>
    <dataValidation type="list" allowBlank="1" showInputMessage="1" showErrorMessage="1" sqref="L27 L49:L56" xr:uid="{00000000-0002-0000-0500-00000A000000}">
      <formula1>"$/m^2,$/MWeHour,$/FTE,$/acres,$/MWe,$/m^3,$/MWt,$/Kg,$/Drum,$/(kg.sec),$/SWU,unitless,$/kWe"</formula1>
      <formula2>0</formula2>
    </dataValidation>
    <dataValidation type="decimal" allowBlank="1" showInputMessage="1" showErrorMessage="1" sqref="P27 P49:P56" xr:uid="{00000000-0002-0000-0500-00000B000000}">
      <formula1>0</formula1>
      <formula2>2</formula2>
    </dataValidation>
  </dataValidations>
  <hyperlinks>
    <hyperlink ref="U3" r:id="rId1" xr:uid="{00000000-0004-0000-0500-000000000000}"/>
    <hyperlink ref="U27" r:id="rId2" xr:uid="{00000000-0004-0000-0500-000001000000}"/>
    <hyperlink ref="U66" r:id="rId3" xr:uid="{00000000-0004-0000-0500-000002000000}"/>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
  <sheetViews>
    <sheetView topLeftCell="A78" workbookViewId="0">
      <selection activeCell="C91" sqref="C91"/>
    </sheetView>
    <sheetView topLeftCell="A28" workbookViewId="1">
      <selection activeCell="A31" sqref="A31"/>
    </sheetView>
  </sheetViews>
  <sheetFormatPr defaultColWidth="10.6328125" defaultRowHeight="13"/>
  <cols>
    <col min="1" max="1" width="8.6328125" style="11" customWidth="1"/>
    <col min="2" max="2" width="4.6328125" style="11" customWidth="1"/>
    <col min="3" max="3" width="32.6328125" style="11" customWidth="1"/>
    <col min="4" max="4" width="44.6328125" style="12" customWidth="1"/>
    <col min="5" max="5" width="13.36328125" style="12" customWidth="1"/>
    <col min="6" max="6" width="13.6328125" style="12" customWidth="1"/>
    <col min="7" max="7" width="13.6328125" style="96" customWidth="1"/>
    <col min="8" max="9" width="13.6328125" style="12" customWidth="1"/>
    <col min="10" max="11" width="13.6328125" style="13" customWidth="1"/>
    <col min="12" max="12" width="10" style="11" customWidth="1"/>
    <col min="13" max="13" width="16.36328125" style="11" customWidth="1"/>
    <col min="14" max="14" width="8.6328125" style="11" customWidth="1"/>
    <col min="15" max="15" width="7.36328125" style="11" customWidth="1"/>
    <col min="16" max="16" width="7.6328125" style="11" customWidth="1"/>
    <col min="17" max="17" width="8.1796875" style="11" customWidth="1"/>
    <col min="18" max="18" width="10.6328125" style="11"/>
    <col min="19" max="19" width="29" style="11" customWidth="1"/>
    <col min="20" max="20" width="37.1796875" style="11" customWidth="1"/>
    <col min="21" max="21" width="81.1796875" style="11" customWidth="1"/>
    <col min="22" max="22" width="18.6328125" style="11" customWidth="1"/>
    <col min="23" max="23" width="21.453125" style="11" customWidth="1"/>
    <col min="24" max="25" width="16.6328125" style="13" customWidth="1"/>
    <col min="26" max="26" width="12.453125" style="11" customWidth="1"/>
    <col min="27" max="28" width="16.6328125" style="13" customWidth="1"/>
    <col min="29" max="29" width="12.453125" style="11" customWidth="1"/>
    <col min="30" max="32" width="6.6328125" style="13" customWidth="1"/>
    <col min="33" max="33" width="16.1796875" style="11" customWidth="1"/>
    <col min="34" max="16384" width="10.6328125" style="11"/>
  </cols>
  <sheetData>
    <row r="1" spans="1:33" s="17" customFormat="1" ht="34.5" customHeight="1">
      <c r="A1" s="2" t="s">
        <v>0</v>
      </c>
      <c r="B1" s="14" t="s">
        <v>1</v>
      </c>
      <c r="C1" s="2" t="s">
        <v>2</v>
      </c>
      <c r="D1" s="14" t="s">
        <v>3</v>
      </c>
      <c r="E1" s="14" t="s">
        <v>4</v>
      </c>
      <c r="F1" s="14" t="s">
        <v>621</v>
      </c>
      <c r="G1" s="97" t="s">
        <v>622</v>
      </c>
      <c r="H1" s="14" t="s">
        <v>5</v>
      </c>
      <c r="I1" s="14" t="s">
        <v>6</v>
      </c>
      <c r="J1" s="2" t="s">
        <v>9</v>
      </c>
      <c r="K1" s="2" t="s">
        <v>10</v>
      </c>
      <c r="L1" s="2" t="s">
        <v>11</v>
      </c>
      <c r="M1" s="15" t="s">
        <v>12</v>
      </c>
      <c r="N1" s="2" t="s">
        <v>13</v>
      </c>
      <c r="O1" s="2" t="s">
        <v>14</v>
      </c>
      <c r="P1" s="2" t="s">
        <v>15</v>
      </c>
      <c r="Q1" s="2" t="s">
        <v>16</v>
      </c>
      <c r="R1" s="2" t="s">
        <v>17</v>
      </c>
      <c r="S1" s="2" t="s">
        <v>18</v>
      </c>
      <c r="T1" s="2" t="s">
        <v>19</v>
      </c>
      <c r="U1" s="2" t="s">
        <v>20</v>
      </c>
      <c r="V1" s="2" t="s">
        <v>21</v>
      </c>
      <c r="W1" s="16" t="s">
        <v>22</v>
      </c>
      <c r="X1" s="16" t="s">
        <v>23</v>
      </c>
      <c r="Y1" s="16" t="s">
        <v>24</v>
      </c>
      <c r="Z1" s="16" t="s">
        <v>25</v>
      </c>
      <c r="AA1" s="98" t="s">
        <v>26</v>
      </c>
      <c r="AB1" s="98" t="s">
        <v>27</v>
      </c>
      <c r="AC1" s="16" t="s">
        <v>28</v>
      </c>
      <c r="AD1" s="16" t="s">
        <v>29</v>
      </c>
      <c r="AE1" s="16" t="s">
        <v>30</v>
      </c>
      <c r="AF1" s="16" t="s">
        <v>31</v>
      </c>
      <c r="AG1" s="16" t="s">
        <v>32</v>
      </c>
    </row>
    <row r="2" spans="1:33" s="23" customFormat="1" ht="13.5" customHeight="1">
      <c r="A2" s="15">
        <v>10</v>
      </c>
      <c r="B2" s="18">
        <f t="shared" ref="B2:B23" si="0">IF(ISNUMBER(A2),
    IF(AND(A2=INT(A2), MOD(A2, 10) = 0), 0,
        IF(AND(A2=INT(A2), LEN(A2)=2), 1,
            IF(AND(A2=INT(A2), LEN(A2)=3), 2,
                LEN(A2) - FIND(".", A2) + 2)
        )
    ),
"")</f>
        <v>0</v>
      </c>
      <c r="C2" s="19" t="s">
        <v>33</v>
      </c>
      <c r="D2" s="19" t="str">
        <f t="shared" ref="D2:D20" si="1">REPT("   ", B2*2) &amp; C2</f>
        <v>Capitalized Pre-Construction Costs</v>
      </c>
      <c r="E2" s="19"/>
      <c r="F2" s="19"/>
      <c r="G2" s="99"/>
      <c r="H2" s="19"/>
      <c r="I2" s="19"/>
      <c r="J2" s="20"/>
      <c r="K2" s="20"/>
      <c r="L2" s="18"/>
      <c r="M2" s="18"/>
      <c r="N2" s="18"/>
      <c r="O2" s="18"/>
      <c r="P2" s="20"/>
      <c r="Q2" s="20"/>
      <c r="R2" s="18"/>
      <c r="S2" s="14"/>
      <c r="T2" s="18"/>
      <c r="U2" s="18"/>
      <c r="V2" s="18"/>
      <c r="W2" s="21"/>
      <c r="X2" s="22"/>
      <c r="Y2" s="22"/>
      <c r="Z2" s="21"/>
      <c r="AA2" s="22"/>
      <c r="AB2" s="22"/>
      <c r="AC2" s="21"/>
      <c r="AD2" s="22"/>
      <c r="AE2" s="22"/>
      <c r="AF2" s="22"/>
      <c r="AG2" s="21"/>
    </row>
    <row r="3" spans="1:33" ht="34.5" customHeight="1">
      <c r="A3" s="15">
        <v>11</v>
      </c>
      <c r="B3" s="18">
        <f t="shared" si="0"/>
        <v>1</v>
      </c>
      <c r="C3" s="24" t="s">
        <v>34</v>
      </c>
      <c r="D3" s="19" t="str">
        <f t="shared" si="1"/>
        <v xml:space="preserve">      Land Cost</v>
      </c>
      <c r="E3" s="19" t="s">
        <v>35</v>
      </c>
      <c r="F3" s="19" t="s">
        <v>623</v>
      </c>
      <c r="G3" s="99">
        <v>1</v>
      </c>
      <c r="H3" s="19"/>
      <c r="I3" s="19"/>
      <c r="J3" s="26"/>
      <c r="K3" s="26">
        <v>3800</v>
      </c>
      <c r="L3" s="27" t="s">
        <v>36</v>
      </c>
      <c r="M3" s="27" t="s">
        <v>706</v>
      </c>
      <c r="N3" s="28"/>
      <c r="O3" s="27" t="s">
        <v>38</v>
      </c>
      <c r="P3" s="29"/>
      <c r="Q3" s="29">
        <v>2022</v>
      </c>
      <c r="R3" s="27" t="s">
        <v>39</v>
      </c>
      <c r="S3" s="10" t="s">
        <v>40</v>
      </c>
      <c r="T3" s="203" t="s">
        <v>41</v>
      </c>
      <c r="U3" s="205" t="s">
        <v>42</v>
      </c>
      <c r="V3" s="4"/>
      <c r="W3" s="21" t="s">
        <v>43</v>
      </c>
      <c r="X3" s="30">
        <f>0.9*$J3</f>
        <v>0</v>
      </c>
      <c r="Y3" s="30">
        <f>1.5*J3</f>
        <v>0</v>
      </c>
      <c r="Z3" s="21" t="s">
        <v>44</v>
      </c>
      <c r="AA3" s="22">
        <f>0.9*K3</f>
        <v>3420</v>
      </c>
      <c r="AB3" s="22">
        <f>1.3*K3</f>
        <v>4940</v>
      </c>
      <c r="AC3" s="21" t="s">
        <v>44</v>
      </c>
      <c r="AD3" s="22" t="s">
        <v>45</v>
      </c>
      <c r="AE3" s="22" t="s">
        <v>46</v>
      </c>
      <c r="AF3" s="22" t="s">
        <v>47</v>
      </c>
      <c r="AG3" s="21" t="s">
        <v>48</v>
      </c>
    </row>
    <row r="4" spans="1:33" ht="13.5" customHeight="1">
      <c r="A4" s="15">
        <v>12</v>
      </c>
      <c r="B4" s="18">
        <f t="shared" si="0"/>
        <v>1</v>
      </c>
      <c r="C4" s="24" t="s">
        <v>49</v>
      </c>
      <c r="D4" s="19" t="str">
        <f t="shared" si="1"/>
        <v xml:space="preserve">      Site Permits</v>
      </c>
      <c r="E4" s="19" t="s">
        <v>35</v>
      </c>
      <c r="F4" s="19" t="s">
        <v>623</v>
      </c>
      <c r="G4" s="99">
        <v>1</v>
      </c>
      <c r="H4" s="19"/>
      <c r="I4" s="19"/>
      <c r="J4" s="26"/>
      <c r="K4" s="26">
        <f>10.03*1000</f>
        <v>10030</v>
      </c>
      <c r="L4" s="27" t="s">
        <v>50</v>
      </c>
      <c r="M4" s="27" t="s">
        <v>707</v>
      </c>
      <c r="N4" s="28"/>
      <c r="O4" s="27" t="s">
        <v>52</v>
      </c>
      <c r="P4" s="29"/>
      <c r="Q4" s="29">
        <v>2022</v>
      </c>
      <c r="R4" s="27" t="s">
        <v>53</v>
      </c>
      <c r="S4" s="10" t="s">
        <v>54</v>
      </c>
      <c r="T4" s="203"/>
      <c r="U4" s="203"/>
      <c r="V4" s="4"/>
      <c r="W4" s="21" t="s">
        <v>43</v>
      </c>
      <c r="X4" s="30">
        <f>0.9*$J4</f>
        <v>0</v>
      </c>
      <c r="Y4" s="30">
        <f>1.5*J4</f>
        <v>0</v>
      </c>
      <c r="Z4" s="21" t="s">
        <v>44</v>
      </c>
      <c r="AA4" s="22">
        <f>0.9*K4</f>
        <v>9027</v>
      </c>
      <c r="AB4" s="22">
        <f>1.3*K4</f>
        <v>13039</v>
      </c>
      <c r="AC4" s="21" t="s">
        <v>44</v>
      </c>
      <c r="AD4" s="22" t="s">
        <v>45</v>
      </c>
      <c r="AE4" s="22" t="s">
        <v>46</v>
      </c>
      <c r="AF4" s="22" t="s">
        <v>47</v>
      </c>
      <c r="AG4" s="21" t="s">
        <v>48</v>
      </c>
    </row>
    <row r="5" spans="1:33" ht="13.5" customHeight="1">
      <c r="A5" s="15">
        <v>13</v>
      </c>
      <c r="B5" s="18">
        <f t="shared" si="0"/>
        <v>1</v>
      </c>
      <c r="C5" s="24" t="s">
        <v>55</v>
      </c>
      <c r="D5" s="19" t="str">
        <f t="shared" si="1"/>
        <v xml:space="preserve">      Plant Licensing</v>
      </c>
      <c r="E5" s="19" t="s">
        <v>35</v>
      </c>
      <c r="F5" s="19" t="s">
        <v>623</v>
      </c>
      <c r="G5" s="99">
        <v>1</v>
      </c>
      <c r="H5" s="19"/>
      <c r="I5" s="19"/>
      <c r="J5" s="26">
        <f>1000000*(45+70)/2</f>
        <v>57500000</v>
      </c>
      <c r="K5" s="26"/>
      <c r="L5" s="28"/>
      <c r="M5" s="28"/>
      <c r="N5" s="28"/>
      <c r="O5" s="27"/>
      <c r="P5" s="29"/>
      <c r="Q5" s="29">
        <v>2009</v>
      </c>
      <c r="R5" s="27" t="s">
        <v>53</v>
      </c>
      <c r="S5" s="10" t="s">
        <v>62</v>
      </c>
      <c r="T5" s="203" t="s">
        <v>63</v>
      </c>
      <c r="U5" s="205" t="s">
        <v>58</v>
      </c>
      <c r="V5" s="4"/>
      <c r="W5" s="21" t="s">
        <v>43</v>
      </c>
      <c r="X5" s="30">
        <f>45*1000000</f>
        <v>45000000</v>
      </c>
      <c r="Y5" s="30">
        <f>70*1000000</f>
        <v>70000000</v>
      </c>
      <c r="Z5" s="21" t="s">
        <v>60</v>
      </c>
      <c r="AA5" s="22">
        <f>0.9*K5</f>
        <v>0</v>
      </c>
      <c r="AB5" s="22">
        <f>1.3*K5</f>
        <v>0</v>
      </c>
      <c r="AC5" s="21" t="s">
        <v>44</v>
      </c>
      <c r="AD5" s="22" t="s">
        <v>45</v>
      </c>
      <c r="AE5" s="22" t="s">
        <v>46</v>
      </c>
      <c r="AF5" s="22" t="s">
        <v>47</v>
      </c>
      <c r="AG5" s="21" t="s">
        <v>48</v>
      </c>
    </row>
    <row r="6" spans="1:33" ht="13.5" customHeight="1">
      <c r="A6" s="15">
        <v>14</v>
      </c>
      <c r="B6" s="18">
        <f t="shared" si="0"/>
        <v>1</v>
      </c>
      <c r="C6" s="24" t="s">
        <v>61</v>
      </c>
      <c r="D6" s="19" t="str">
        <f t="shared" si="1"/>
        <v xml:space="preserve">      Plant Permits</v>
      </c>
      <c r="E6" s="19" t="s">
        <v>35</v>
      </c>
      <c r="F6" s="19" t="s">
        <v>623</v>
      </c>
      <c r="G6" s="99">
        <v>1</v>
      </c>
      <c r="H6" s="19"/>
      <c r="I6" s="19"/>
      <c r="J6" s="26">
        <v>3000000</v>
      </c>
      <c r="K6" s="26"/>
      <c r="L6" s="28"/>
      <c r="M6" s="28"/>
      <c r="N6" s="28"/>
      <c r="O6" s="27"/>
      <c r="P6" s="29"/>
      <c r="Q6" s="29">
        <v>2009</v>
      </c>
      <c r="R6" s="27" t="s">
        <v>53</v>
      </c>
      <c r="S6" s="10" t="s">
        <v>62</v>
      </c>
      <c r="T6" s="203"/>
      <c r="U6" s="203"/>
      <c r="V6" s="4"/>
      <c r="W6" s="21" t="s">
        <v>43</v>
      </c>
      <c r="X6" s="30">
        <f>0.9*$J6</f>
        <v>2700000</v>
      </c>
      <c r="Y6" s="30">
        <f>1.5*J6</f>
        <v>4500000</v>
      </c>
      <c r="Z6" s="21" t="s">
        <v>44</v>
      </c>
      <c r="AA6" s="22">
        <f>0.9*K6</f>
        <v>0</v>
      </c>
      <c r="AB6" s="22">
        <f>1.3*K6</f>
        <v>0</v>
      </c>
      <c r="AC6" s="21" t="s">
        <v>44</v>
      </c>
      <c r="AD6" s="22" t="s">
        <v>45</v>
      </c>
      <c r="AE6" s="22" t="s">
        <v>46</v>
      </c>
      <c r="AF6" s="22" t="s">
        <v>47</v>
      </c>
      <c r="AG6" s="21" t="s">
        <v>48</v>
      </c>
    </row>
    <row r="7" spans="1:33" ht="90.75" customHeight="1">
      <c r="A7" s="15">
        <v>15</v>
      </c>
      <c r="B7" s="18">
        <f t="shared" si="0"/>
        <v>1</v>
      </c>
      <c r="C7" s="24" t="s">
        <v>64</v>
      </c>
      <c r="D7" s="19" t="str">
        <f t="shared" si="1"/>
        <v xml:space="preserve">      Plant Studies</v>
      </c>
      <c r="E7" s="19" t="s">
        <v>35</v>
      </c>
      <c r="F7" s="19" t="s">
        <v>623</v>
      </c>
      <c r="G7" s="99">
        <v>1</v>
      </c>
      <c r="H7" s="19"/>
      <c r="I7" s="19"/>
      <c r="J7" s="26">
        <f>10*MARVEL_Cost!C4</f>
        <v>52104510</v>
      </c>
      <c r="K7" s="26"/>
      <c r="L7" s="28"/>
      <c r="M7" s="28"/>
      <c r="N7" s="28"/>
      <c r="O7" s="27"/>
      <c r="P7" s="29"/>
      <c r="Q7" s="29">
        <v>2024</v>
      </c>
      <c r="R7" s="27" t="s">
        <v>53</v>
      </c>
      <c r="S7" s="10" t="s">
        <v>65</v>
      </c>
      <c r="T7" s="10" t="s">
        <v>66</v>
      </c>
      <c r="U7" s="4" t="s">
        <v>67</v>
      </c>
      <c r="V7" s="27" t="s">
        <v>68</v>
      </c>
      <c r="W7" s="21" t="s">
        <v>43</v>
      </c>
      <c r="X7" s="30">
        <f>0.9*$J7</f>
        <v>46894059</v>
      </c>
      <c r="Y7" s="30">
        <f>1.5*J7</f>
        <v>78156765</v>
      </c>
      <c r="Z7" s="21" t="s">
        <v>44</v>
      </c>
      <c r="AA7" s="22">
        <f>0.9*K7</f>
        <v>0</v>
      </c>
      <c r="AB7" s="22">
        <f>1.3*K7</f>
        <v>0</v>
      </c>
      <c r="AC7" s="21" t="s">
        <v>44</v>
      </c>
      <c r="AD7" s="22" t="s">
        <v>45</v>
      </c>
      <c r="AE7" s="22" t="s">
        <v>46</v>
      </c>
      <c r="AF7" s="22" t="s">
        <v>47</v>
      </c>
      <c r="AG7" s="21" t="s">
        <v>48</v>
      </c>
    </row>
    <row r="8" spans="1:33" ht="13.5" customHeight="1">
      <c r="A8" s="2">
        <v>20</v>
      </c>
      <c r="B8" s="18">
        <f t="shared" si="0"/>
        <v>0</v>
      </c>
      <c r="C8" s="24" t="s">
        <v>69</v>
      </c>
      <c r="D8" s="19" t="str">
        <f t="shared" si="1"/>
        <v>Capitalized Direct Costs</v>
      </c>
      <c r="E8" s="19"/>
      <c r="F8" s="19"/>
      <c r="G8" s="99"/>
      <c r="H8" s="19"/>
      <c r="I8" s="19"/>
      <c r="J8" s="26"/>
      <c r="K8" s="33"/>
      <c r="L8" s="2"/>
      <c r="M8" s="15"/>
      <c r="N8" s="2"/>
      <c r="O8" s="2"/>
      <c r="P8" s="34"/>
      <c r="Q8" s="34"/>
      <c r="R8" s="2"/>
      <c r="S8" s="2"/>
      <c r="T8" s="2"/>
      <c r="U8" s="2"/>
      <c r="V8" s="2"/>
      <c r="W8" s="21" t="s">
        <v>626</v>
      </c>
      <c r="X8" s="30"/>
      <c r="Y8" s="30"/>
      <c r="Z8" s="21"/>
      <c r="AA8" s="22"/>
      <c r="AB8" s="22"/>
      <c r="AC8" s="21"/>
      <c r="AD8" s="22"/>
      <c r="AE8" s="22"/>
      <c r="AF8" s="22"/>
      <c r="AG8" s="21"/>
    </row>
    <row r="9" spans="1:33" ht="13.5" customHeight="1">
      <c r="A9" s="15">
        <v>21</v>
      </c>
      <c r="B9" s="18">
        <f t="shared" si="0"/>
        <v>1</v>
      </c>
      <c r="C9" s="24" t="s">
        <v>70</v>
      </c>
      <c r="D9" s="19" t="str">
        <f t="shared" si="1"/>
        <v xml:space="preserve">      Structures and Improvements</v>
      </c>
      <c r="E9" s="19"/>
      <c r="F9" s="19"/>
      <c r="G9" s="99"/>
      <c r="H9" s="19"/>
      <c r="I9" s="19"/>
      <c r="J9" s="26"/>
      <c r="K9" s="26"/>
      <c r="L9" s="28"/>
      <c r="M9" s="28"/>
      <c r="N9" s="28"/>
      <c r="O9" s="28"/>
      <c r="P9" s="25"/>
      <c r="Q9" s="25"/>
      <c r="R9" s="28"/>
      <c r="S9" s="35"/>
      <c r="T9" s="28"/>
      <c r="U9" s="28"/>
      <c r="V9" s="4"/>
      <c r="W9" s="21"/>
      <c r="X9" s="30"/>
      <c r="Y9" s="30"/>
      <c r="Z9" s="21"/>
      <c r="AA9" s="22"/>
      <c r="AB9" s="22"/>
      <c r="AC9" s="21"/>
      <c r="AD9" s="22"/>
      <c r="AE9" s="22"/>
      <c r="AF9" s="22"/>
      <c r="AG9" s="21"/>
    </row>
    <row r="10" spans="1:33" ht="13.5" customHeight="1">
      <c r="A10" s="36">
        <v>211</v>
      </c>
      <c r="B10" s="18">
        <f t="shared" si="0"/>
        <v>2</v>
      </c>
      <c r="C10" s="24" t="s">
        <v>71</v>
      </c>
      <c r="D10" s="19" t="str">
        <f t="shared" si="1"/>
        <v xml:space="preserve">            Site Preparation/ Yard Work</v>
      </c>
      <c r="E10" s="19"/>
      <c r="F10" s="19"/>
      <c r="G10" s="99"/>
      <c r="H10" s="19"/>
      <c r="I10" s="19"/>
      <c r="J10" s="26"/>
      <c r="K10" s="26"/>
      <c r="L10" s="28"/>
      <c r="M10" s="28"/>
      <c r="N10" s="28"/>
      <c r="O10" s="28"/>
      <c r="P10" s="25"/>
      <c r="Q10" s="25"/>
      <c r="R10" s="28"/>
      <c r="S10" s="35"/>
      <c r="T10" s="28"/>
      <c r="U10" s="28"/>
      <c r="V10" s="4"/>
      <c r="W10" s="21"/>
      <c r="X10" s="30"/>
      <c r="Y10" s="30"/>
      <c r="Z10" s="21"/>
      <c r="AA10" s="22"/>
      <c r="AB10" s="22"/>
      <c r="AC10" s="21"/>
      <c r="AD10" s="22"/>
      <c r="AE10" s="22"/>
      <c r="AF10" s="22"/>
      <c r="AG10" s="21"/>
    </row>
    <row r="11" spans="1:33" ht="13.5" customHeight="1">
      <c r="A11" s="37">
        <v>211.1</v>
      </c>
      <c r="B11" s="18">
        <f t="shared" si="0"/>
        <v>3</v>
      </c>
      <c r="C11" s="24" t="s">
        <v>72</v>
      </c>
      <c r="D11" s="19" t="str">
        <f t="shared" si="1"/>
        <v xml:space="preserve">                  Cleaning and Grubbing</v>
      </c>
      <c r="E11" s="19" t="s">
        <v>35</v>
      </c>
      <c r="F11" s="19" t="s">
        <v>623</v>
      </c>
      <c r="G11" s="99">
        <v>1</v>
      </c>
      <c r="H11" s="19"/>
      <c r="I11" s="19"/>
      <c r="J11" s="26"/>
      <c r="K11" s="26">
        <f>4408.18*1.33</f>
        <v>5862.8794000000007</v>
      </c>
      <c r="L11" s="27" t="s">
        <v>36</v>
      </c>
      <c r="M11" s="27" t="s">
        <v>708</v>
      </c>
      <c r="N11" s="28"/>
      <c r="O11" s="27" t="s">
        <v>38</v>
      </c>
      <c r="P11" s="25"/>
      <c r="Q11" s="29">
        <v>2024</v>
      </c>
      <c r="R11" s="27" t="s">
        <v>73</v>
      </c>
      <c r="S11" s="203" t="s">
        <v>74</v>
      </c>
      <c r="T11" s="203" t="s">
        <v>75</v>
      </c>
      <c r="U11" s="204" t="s">
        <v>76</v>
      </c>
      <c r="V11" s="4"/>
      <c r="W11" s="21" t="s">
        <v>43</v>
      </c>
      <c r="X11" s="30">
        <f>0.9*$J11</f>
        <v>0</v>
      </c>
      <c r="Y11" s="30">
        <f>1.5*J11</f>
        <v>0</v>
      </c>
      <c r="Z11" s="21" t="s">
        <v>44</v>
      </c>
      <c r="AA11" s="22">
        <f>0.9*K11</f>
        <v>5276.5914600000006</v>
      </c>
      <c r="AB11" s="22">
        <f>1.3*K11</f>
        <v>7621.7432200000012</v>
      </c>
      <c r="AC11" s="21" t="s">
        <v>44</v>
      </c>
      <c r="AD11" s="22" t="s">
        <v>45</v>
      </c>
      <c r="AE11" s="22" t="s">
        <v>46</v>
      </c>
      <c r="AF11" s="22" t="s">
        <v>47</v>
      </c>
      <c r="AG11" s="21" t="s">
        <v>48</v>
      </c>
    </row>
    <row r="12" spans="1:33" ht="13.5" customHeight="1">
      <c r="A12" s="36">
        <v>211.2</v>
      </c>
      <c r="B12" s="18">
        <f t="shared" si="0"/>
        <v>3</v>
      </c>
      <c r="C12" s="24" t="s">
        <v>78</v>
      </c>
      <c r="D12" s="19" t="str">
        <f t="shared" si="1"/>
        <v xml:space="preserve">                  Stripping Topsoil</v>
      </c>
      <c r="E12" s="19" t="s">
        <v>35</v>
      </c>
      <c r="F12" s="19" t="s">
        <v>623</v>
      </c>
      <c r="G12" s="99">
        <v>1</v>
      </c>
      <c r="H12" s="19"/>
      <c r="I12" s="19"/>
      <c r="J12" s="26"/>
      <c r="K12" s="26">
        <f>2565.2*1.33</f>
        <v>3411.7159999999999</v>
      </c>
      <c r="L12" s="27" t="s">
        <v>36</v>
      </c>
      <c r="M12" s="27" t="s">
        <v>708</v>
      </c>
      <c r="N12" s="28"/>
      <c r="O12" s="27" t="s">
        <v>38</v>
      </c>
      <c r="P12" s="25"/>
      <c r="Q12" s="29">
        <v>2024</v>
      </c>
      <c r="R12" s="27" t="s">
        <v>73</v>
      </c>
      <c r="S12" s="203"/>
      <c r="T12" s="203"/>
      <c r="U12" s="203"/>
      <c r="V12" s="4"/>
      <c r="W12" s="21" t="s">
        <v>43</v>
      </c>
      <c r="X12" s="30">
        <f>0.9*$J12</f>
        <v>0</v>
      </c>
      <c r="Y12" s="30">
        <f>1.5*J12</f>
        <v>0</v>
      </c>
      <c r="Z12" s="21" t="s">
        <v>44</v>
      </c>
      <c r="AA12" s="22">
        <f>0.9*K12</f>
        <v>3070.5443999999998</v>
      </c>
      <c r="AB12" s="22">
        <f>1.3*K12</f>
        <v>4435.2308000000003</v>
      </c>
      <c r="AC12" s="21" t="s">
        <v>44</v>
      </c>
      <c r="AD12" s="22" t="s">
        <v>45</v>
      </c>
      <c r="AE12" s="22" t="s">
        <v>46</v>
      </c>
      <c r="AF12" s="22" t="s">
        <v>47</v>
      </c>
      <c r="AG12" s="21" t="s">
        <v>48</v>
      </c>
    </row>
    <row r="13" spans="1:33" ht="34.5" customHeight="1">
      <c r="A13" s="36">
        <v>211.4</v>
      </c>
      <c r="B13" s="18">
        <f t="shared" si="0"/>
        <v>3</v>
      </c>
      <c r="C13" s="24" t="s">
        <v>83</v>
      </c>
      <c r="D13" s="19" t="str">
        <f t="shared" si="1"/>
        <v xml:space="preserve">                  Roads</v>
      </c>
      <c r="E13" s="19" t="s">
        <v>35</v>
      </c>
      <c r="F13" s="19" t="s">
        <v>623</v>
      </c>
      <c r="G13" s="99">
        <v>1</v>
      </c>
      <c r="H13" s="19"/>
      <c r="I13" s="19"/>
      <c r="J13" s="26"/>
      <c r="K13" s="26">
        <f>0.7*7873200*1.609/1000</f>
        <v>8867.5851600000005</v>
      </c>
      <c r="L13" s="27" t="s">
        <v>84</v>
      </c>
      <c r="M13" s="100" t="s">
        <v>709</v>
      </c>
      <c r="N13" s="101">
        <v>1</v>
      </c>
      <c r="O13" s="102"/>
      <c r="P13" s="103">
        <v>1</v>
      </c>
      <c r="Q13" s="104">
        <v>2025</v>
      </c>
      <c r="R13" s="102" t="s">
        <v>39</v>
      </c>
      <c r="S13" s="38" t="s">
        <v>87</v>
      </c>
      <c r="T13" s="105"/>
      <c r="U13" s="9"/>
      <c r="V13" s="4"/>
      <c r="W13" s="21" t="s">
        <v>43</v>
      </c>
      <c r="X13" s="30">
        <f>0.9*$J13</f>
        <v>0</v>
      </c>
      <c r="Y13" s="30">
        <f>1.5*J13</f>
        <v>0</v>
      </c>
      <c r="Z13" s="21" t="s">
        <v>44</v>
      </c>
      <c r="AA13" s="22">
        <f>0.9*K13</f>
        <v>7980.8266440000007</v>
      </c>
      <c r="AB13" s="22">
        <f>1.3*K13</f>
        <v>11527.860708000002</v>
      </c>
      <c r="AC13" s="21" t="s">
        <v>44</v>
      </c>
      <c r="AD13" s="22" t="s">
        <v>45</v>
      </c>
      <c r="AE13" s="22" t="s">
        <v>46</v>
      </c>
      <c r="AF13" s="22" t="s">
        <v>47</v>
      </c>
      <c r="AG13" s="21" t="s">
        <v>48</v>
      </c>
    </row>
    <row r="14" spans="1:33" ht="13.5" customHeight="1">
      <c r="A14" s="36">
        <v>211.9</v>
      </c>
      <c r="B14" s="18">
        <f t="shared" si="0"/>
        <v>3</v>
      </c>
      <c r="C14" s="24" t="s">
        <v>88</v>
      </c>
      <c r="D14" s="19" t="str">
        <f t="shared" si="1"/>
        <v xml:space="preserve">                  Security Fencing</v>
      </c>
      <c r="E14" s="19"/>
      <c r="F14" s="19"/>
      <c r="G14" s="99"/>
      <c r="H14" s="19"/>
      <c r="I14" s="19"/>
      <c r="J14" s="26"/>
      <c r="K14" s="106"/>
      <c r="L14" s="107"/>
      <c r="M14" s="108"/>
      <c r="N14" s="109"/>
      <c r="O14" s="27"/>
      <c r="P14" s="110"/>
      <c r="Q14" s="111"/>
      <c r="R14" s="112"/>
      <c r="S14" s="113"/>
      <c r="T14" s="10"/>
      <c r="U14" s="9"/>
      <c r="V14" s="4"/>
      <c r="W14" s="21"/>
      <c r="X14" s="30"/>
      <c r="Y14" s="30"/>
      <c r="Z14" s="21"/>
      <c r="AA14" s="22"/>
      <c r="AB14" s="22"/>
      <c r="AC14" s="21"/>
      <c r="AD14" s="22"/>
      <c r="AE14" s="22"/>
      <c r="AF14" s="22"/>
      <c r="AG14" s="21"/>
    </row>
    <row r="15" spans="1:33" ht="34.5" customHeight="1">
      <c r="A15" s="36">
        <v>211.91</v>
      </c>
      <c r="B15" s="18">
        <f t="shared" si="0"/>
        <v>4</v>
      </c>
      <c r="C15" s="24" t="s">
        <v>89</v>
      </c>
      <c r="D15" s="19" t="str">
        <f t="shared" si="1"/>
        <v xml:space="preserve">                        Security Fencing Limited</v>
      </c>
      <c r="E15" s="19" t="s">
        <v>35</v>
      </c>
      <c r="F15" s="19" t="s">
        <v>623</v>
      </c>
      <c r="G15" s="99">
        <v>1</v>
      </c>
      <c r="H15" s="19"/>
      <c r="I15" s="19"/>
      <c r="J15" s="26"/>
      <c r="K15" s="26">
        <f>0.7*273</f>
        <v>191.1</v>
      </c>
      <c r="L15" s="27" t="s">
        <v>628</v>
      </c>
      <c r="M15" s="27" t="s">
        <v>710</v>
      </c>
      <c r="N15" s="28"/>
      <c r="O15" s="27"/>
      <c r="P15" s="25"/>
      <c r="Q15" s="29">
        <v>2025</v>
      </c>
      <c r="R15" s="27" t="s">
        <v>73</v>
      </c>
      <c r="S15" s="38" t="s">
        <v>87</v>
      </c>
      <c r="T15" s="10"/>
      <c r="U15" s="40"/>
      <c r="V15" s="4"/>
      <c r="W15" s="21" t="s">
        <v>43</v>
      </c>
      <c r="X15" s="30">
        <f>0.9*$J15</f>
        <v>0</v>
      </c>
      <c r="Y15" s="30">
        <f>1.5*J15</f>
        <v>0</v>
      </c>
      <c r="Z15" s="21" t="s">
        <v>44</v>
      </c>
      <c r="AA15" s="22">
        <f>0.9*K15</f>
        <v>171.99</v>
      </c>
      <c r="AB15" s="22">
        <f>1.3*K15</f>
        <v>248.43</v>
      </c>
      <c r="AC15" s="21" t="s">
        <v>44</v>
      </c>
      <c r="AD15" s="22" t="s">
        <v>45</v>
      </c>
      <c r="AE15" s="22" t="s">
        <v>46</v>
      </c>
      <c r="AF15" s="22" t="s">
        <v>47</v>
      </c>
      <c r="AG15" s="21" t="s">
        <v>48</v>
      </c>
    </row>
    <row r="16" spans="1:33" ht="34.5" customHeight="1">
      <c r="A16" s="36">
        <v>211.92</v>
      </c>
      <c r="B16" s="18">
        <f t="shared" si="0"/>
        <v>4</v>
      </c>
      <c r="C16" s="24" t="s">
        <v>711</v>
      </c>
      <c r="D16" s="19" t="str">
        <f t="shared" si="1"/>
        <v xml:space="preserve">                        Security Fencing Controlled</v>
      </c>
      <c r="E16" s="19" t="s">
        <v>35</v>
      </c>
      <c r="F16" s="19" t="s">
        <v>623</v>
      </c>
      <c r="G16" s="99">
        <v>1</v>
      </c>
      <c r="H16" s="19"/>
      <c r="I16" s="19"/>
      <c r="J16" s="26"/>
      <c r="K16" s="26">
        <f>0.7*328</f>
        <v>229.6</v>
      </c>
      <c r="L16" s="27" t="s">
        <v>628</v>
      </c>
      <c r="M16" s="27" t="s">
        <v>712</v>
      </c>
      <c r="N16" s="28"/>
      <c r="O16" s="27"/>
      <c r="P16" s="25"/>
      <c r="Q16" s="29">
        <v>2025</v>
      </c>
      <c r="R16" s="27" t="s">
        <v>73</v>
      </c>
      <c r="S16" s="38" t="s">
        <v>87</v>
      </c>
      <c r="T16" s="10"/>
      <c r="U16" s="40"/>
      <c r="V16" s="4"/>
      <c r="W16" s="21" t="s">
        <v>43</v>
      </c>
      <c r="X16" s="30">
        <f>0.9*$J16</f>
        <v>0</v>
      </c>
      <c r="Y16" s="30">
        <f>1.5*J16</f>
        <v>0</v>
      </c>
      <c r="Z16" s="21" t="s">
        <v>44</v>
      </c>
      <c r="AA16" s="22">
        <f>0.9*K16</f>
        <v>206.64</v>
      </c>
      <c r="AB16" s="22">
        <f>1.3*K16</f>
        <v>298.48</v>
      </c>
      <c r="AC16" s="21" t="s">
        <v>44</v>
      </c>
      <c r="AD16" s="22" t="s">
        <v>45</v>
      </c>
      <c r="AE16" s="22" t="s">
        <v>46</v>
      </c>
      <c r="AF16" s="22" t="s">
        <v>47</v>
      </c>
      <c r="AG16" s="21" t="s">
        <v>48</v>
      </c>
    </row>
    <row r="17" spans="1:33" ht="34.5" customHeight="1">
      <c r="A17" s="36">
        <v>211.93</v>
      </c>
      <c r="B17" s="18">
        <f t="shared" si="0"/>
        <v>4</v>
      </c>
      <c r="C17" s="24" t="s">
        <v>91</v>
      </c>
      <c r="D17" s="19" t="str">
        <f t="shared" si="1"/>
        <v xml:space="preserve">                        Security Fencing Protected</v>
      </c>
      <c r="E17" s="19" t="s">
        <v>35</v>
      </c>
      <c r="F17" s="19" t="s">
        <v>623</v>
      </c>
      <c r="G17" s="99">
        <v>1</v>
      </c>
      <c r="H17" s="19"/>
      <c r="I17" s="19"/>
      <c r="J17" s="26"/>
      <c r="K17" s="26">
        <f>0.7*15746</f>
        <v>11022.199999999999</v>
      </c>
      <c r="L17" s="27" t="s">
        <v>628</v>
      </c>
      <c r="M17" s="27" t="s">
        <v>713</v>
      </c>
      <c r="N17" s="28"/>
      <c r="O17" s="27"/>
      <c r="P17" s="25"/>
      <c r="Q17" s="29">
        <v>2025</v>
      </c>
      <c r="R17" s="27" t="s">
        <v>73</v>
      </c>
      <c r="S17" s="38" t="s">
        <v>87</v>
      </c>
      <c r="T17" s="10"/>
      <c r="U17" s="40"/>
      <c r="V17" s="4"/>
      <c r="W17" s="21" t="s">
        <v>43</v>
      </c>
      <c r="X17" s="30">
        <f>0.9*$J17</f>
        <v>0</v>
      </c>
      <c r="Y17" s="30">
        <f>1.5*J17</f>
        <v>0</v>
      </c>
      <c r="Z17" s="21" t="s">
        <v>44</v>
      </c>
      <c r="AA17" s="22">
        <f>0.9*K17</f>
        <v>9919.98</v>
      </c>
      <c r="AB17" s="22">
        <f>1.3*K17</f>
        <v>14328.859999999999</v>
      </c>
      <c r="AC17" s="21" t="s">
        <v>44</v>
      </c>
      <c r="AD17" s="22" t="s">
        <v>45</v>
      </c>
      <c r="AE17" s="22" t="s">
        <v>46</v>
      </c>
      <c r="AF17" s="22" t="s">
        <v>47</v>
      </c>
      <c r="AG17" s="21" t="s">
        <v>48</v>
      </c>
    </row>
    <row r="18" spans="1:33" ht="13.5" customHeight="1">
      <c r="A18" s="36">
        <v>214</v>
      </c>
      <c r="B18" s="18">
        <f t="shared" si="0"/>
        <v>2</v>
      </c>
      <c r="C18" s="24" t="s">
        <v>631</v>
      </c>
      <c r="D18" s="19" t="str">
        <f t="shared" si="1"/>
        <v xml:space="preserve">            Servicing Facilities Structures</v>
      </c>
      <c r="E18" s="19"/>
      <c r="F18" s="19"/>
      <c r="G18" s="99"/>
      <c r="H18" s="19"/>
      <c r="I18" s="19"/>
      <c r="J18" s="26"/>
      <c r="K18" s="26"/>
      <c r="L18" s="28"/>
      <c r="M18" s="35"/>
      <c r="N18" s="28"/>
      <c r="O18" s="28"/>
      <c r="P18" s="25"/>
      <c r="Q18" s="25"/>
      <c r="R18" s="28"/>
      <c r="S18" s="35"/>
      <c r="T18" s="10"/>
      <c r="U18" s="9"/>
      <c r="V18" s="4"/>
      <c r="W18" s="21"/>
      <c r="X18" s="30"/>
      <c r="Y18" s="30"/>
      <c r="Z18" s="21"/>
      <c r="AA18" s="22"/>
      <c r="AB18" s="22"/>
      <c r="AC18" s="21"/>
      <c r="AD18" s="22"/>
      <c r="AE18" s="22"/>
      <c r="AF18" s="22"/>
      <c r="AG18" s="21"/>
    </row>
    <row r="19" spans="1:33" ht="13.5" customHeight="1">
      <c r="A19" s="36">
        <v>214.1</v>
      </c>
      <c r="B19" s="18">
        <f t="shared" si="0"/>
        <v>3</v>
      </c>
      <c r="C19" s="24" t="s">
        <v>714</v>
      </c>
      <c r="D19" s="19" t="str">
        <f t="shared" si="1"/>
        <v xml:space="preserve">                  Servicing Building</v>
      </c>
      <c r="E19" s="19"/>
      <c r="F19" s="19"/>
      <c r="G19" s="99"/>
      <c r="H19" s="19"/>
      <c r="I19" s="19"/>
      <c r="J19" s="161"/>
      <c r="K19" s="161"/>
      <c r="L19" s="28"/>
      <c r="M19" s="35"/>
      <c r="N19" s="28"/>
      <c r="O19" s="28"/>
      <c r="P19" s="25"/>
      <c r="Q19" s="25"/>
      <c r="R19" s="28"/>
      <c r="S19" s="35"/>
      <c r="T19" s="10"/>
      <c r="U19" s="9"/>
      <c r="V19" s="4"/>
      <c r="W19" s="21"/>
      <c r="X19" s="30"/>
      <c r="Y19" s="30"/>
      <c r="Z19" s="21"/>
      <c r="AA19" s="22"/>
      <c r="AB19" s="22"/>
      <c r="AC19" s="21"/>
      <c r="AD19" s="22"/>
      <c r="AE19" s="22"/>
      <c r="AF19" s="22"/>
      <c r="AG19" s="21"/>
    </row>
    <row r="20" spans="1:33" ht="45.75" customHeight="1">
      <c r="A20" s="121">
        <v>214.11</v>
      </c>
      <c r="B20" s="122">
        <f t="shared" si="0"/>
        <v>4</v>
      </c>
      <c r="C20" s="123" t="s">
        <v>715</v>
      </c>
      <c r="D20" s="124" t="str">
        <f t="shared" si="1"/>
        <v xml:space="preserve">                        Servicing Hot Cell Building Structure</v>
      </c>
      <c r="E20" s="124" t="s">
        <v>35</v>
      </c>
      <c r="F20" s="124" t="s">
        <v>623</v>
      </c>
      <c r="G20" s="126">
        <v>1</v>
      </c>
      <c r="H20" s="124"/>
      <c r="I20" s="124"/>
      <c r="J20" s="26"/>
      <c r="K20" s="127">
        <f>0.7*3328.51*3.2808^2</f>
        <v>25078.838494308482</v>
      </c>
      <c r="L20" s="115" t="s">
        <v>102</v>
      </c>
      <c r="M20" s="128" t="s">
        <v>716</v>
      </c>
      <c r="N20" s="115">
        <f>338988/(3.2808^2)</f>
        <v>31493.781647632819</v>
      </c>
      <c r="O20" s="115" t="s">
        <v>104</v>
      </c>
      <c r="P20" s="162">
        <v>0.95138500000000004</v>
      </c>
      <c r="Q20" s="29">
        <v>2025</v>
      </c>
      <c r="R20" s="28" t="s">
        <v>96</v>
      </c>
      <c r="S20" s="117" t="s">
        <v>834</v>
      </c>
      <c r="T20" s="139"/>
      <c r="U20" s="140"/>
      <c r="V20" s="118"/>
      <c r="W20" s="21" t="s">
        <v>43</v>
      </c>
      <c r="X20" s="30">
        <f>0.8*$I20</f>
        <v>0</v>
      </c>
      <c r="Y20" s="30">
        <f>2*J20</f>
        <v>0</v>
      </c>
      <c r="Z20" s="21" t="s">
        <v>44</v>
      </c>
      <c r="AA20" s="22">
        <f>0.8*K20</f>
        <v>20063.070795446787</v>
      </c>
      <c r="AB20" s="22">
        <f>2*K20</f>
        <v>50157.676988616964</v>
      </c>
      <c r="AC20" s="21" t="s">
        <v>44</v>
      </c>
      <c r="AD20" s="22" t="s">
        <v>45</v>
      </c>
      <c r="AE20" s="22" t="s">
        <v>46</v>
      </c>
      <c r="AF20" s="22" t="s">
        <v>47</v>
      </c>
      <c r="AG20" s="21" t="s">
        <v>48</v>
      </c>
    </row>
    <row r="21" spans="1:33" ht="13.5" customHeight="1">
      <c r="A21" s="36">
        <v>214.2</v>
      </c>
      <c r="B21" s="18">
        <f t="shared" si="0"/>
        <v>3</v>
      </c>
      <c r="C21" s="24" t="s">
        <v>717</v>
      </c>
      <c r="D21" s="19"/>
      <c r="E21" s="19"/>
      <c r="F21" s="19"/>
      <c r="G21" s="99"/>
      <c r="H21" s="19"/>
      <c r="I21" s="19"/>
      <c r="J21" s="161"/>
      <c r="K21" s="26"/>
      <c r="L21" s="28"/>
      <c r="M21" s="35"/>
      <c r="N21" s="28"/>
      <c r="O21" s="28"/>
      <c r="P21" s="25"/>
      <c r="Q21" s="25"/>
      <c r="R21" s="28"/>
      <c r="S21" s="35"/>
      <c r="T21" s="10"/>
      <c r="U21" s="9"/>
      <c r="V21" s="4"/>
      <c r="W21" s="21"/>
      <c r="X21" s="30"/>
      <c r="Y21" s="30"/>
      <c r="Z21" s="21"/>
      <c r="AA21" s="22"/>
      <c r="AB21" s="22"/>
      <c r="AC21" s="21"/>
      <c r="AD21" s="22"/>
      <c r="AE21" s="22"/>
      <c r="AF21" s="22"/>
      <c r="AG21" s="21"/>
    </row>
    <row r="22" spans="1:33" ht="45.75" customHeight="1">
      <c r="A22" s="121">
        <v>214.21</v>
      </c>
      <c r="B22" s="122">
        <f t="shared" si="0"/>
        <v>4</v>
      </c>
      <c r="C22" s="123" t="s">
        <v>718</v>
      </c>
      <c r="D22" s="124" t="str">
        <f t="shared" ref="D22:D53" si="2">REPT("   ", B22*2) &amp; C22</f>
        <v xml:space="preserve">                        Helium Purification and Storage Building Structure</v>
      </c>
      <c r="E22" s="124" t="s">
        <v>35</v>
      </c>
      <c r="F22" s="124" t="s">
        <v>623</v>
      </c>
      <c r="G22" s="126">
        <v>1</v>
      </c>
      <c r="H22" s="124"/>
      <c r="I22" s="124"/>
      <c r="J22" s="127"/>
      <c r="K22" s="127">
        <f>0.7*2919.24*(3.2808^2)</f>
        <v>21995.171559083519</v>
      </c>
      <c r="L22" s="115" t="s">
        <v>102</v>
      </c>
      <c r="M22" s="128" t="s">
        <v>719</v>
      </c>
      <c r="N22" s="115">
        <v>1</v>
      </c>
      <c r="O22" s="115" t="s">
        <v>104</v>
      </c>
      <c r="P22" s="116">
        <v>1</v>
      </c>
      <c r="Q22" s="29">
        <v>2025</v>
      </c>
      <c r="R22" s="28" t="s">
        <v>96</v>
      </c>
      <c r="S22" s="117" t="s">
        <v>834</v>
      </c>
      <c r="T22" s="139"/>
      <c r="U22" s="140"/>
      <c r="V22" s="118"/>
      <c r="W22" s="118" t="s">
        <v>43</v>
      </c>
      <c r="X22" s="119">
        <f>0.9*$I22</f>
        <v>0</v>
      </c>
      <c r="Y22" s="119">
        <f>1.5*J22</f>
        <v>0</v>
      </c>
      <c r="Z22" s="118" t="s">
        <v>44</v>
      </c>
      <c r="AA22" s="120">
        <f>0.9*K22</f>
        <v>19795.654403175169</v>
      </c>
      <c r="AB22" s="120">
        <f>1.3*K22</f>
        <v>28593.723026808577</v>
      </c>
      <c r="AC22" s="118" t="s">
        <v>44</v>
      </c>
      <c r="AD22" s="120" t="s">
        <v>45</v>
      </c>
      <c r="AE22" s="120" t="s">
        <v>46</v>
      </c>
      <c r="AF22" s="120" t="s">
        <v>47</v>
      </c>
      <c r="AG22" s="118" t="s">
        <v>48</v>
      </c>
    </row>
    <row r="23" spans="1:33" ht="13.5" customHeight="1">
      <c r="A23" s="36">
        <v>214.3</v>
      </c>
      <c r="B23" s="18">
        <f t="shared" si="0"/>
        <v>3</v>
      </c>
      <c r="C23" s="24" t="s">
        <v>632</v>
      </c>
      <c r="D23" s="19" t="str">
        <f t="shared" si="2"/>
        <v xml:space="preserve">                  Control Buidlings</v>
      </c>
      <c r="E23" s="19"/>
      <c r="F23" s="19"/>
      <c r="G23" s="99"/>
      <c r="H23" s="19"/>
      <c r="I23" s="19"/>
      <c r="J23" s="114"/>
      <c r="K23" s="26"/>
      <c r="L23" s="27"/>
      <c r="M23" s="24"/>
      <c r="N23" s="28"/>
      <c r="O23" s="27"/>
      <c r="P23" s="25"/>
      <c r="Q23" s="29"/>
      <c r="R23" s="27"/>
      <c r="S23" s="10"/>
      <c r="T23" s="10"/>
      <c r="U23" s="9"/>
      <c r="V23" s="4"/>
      <c r="W23" s="21"/>
      <c r="X23" s="30"/>
      <c r="Y23" s="30"/>
      <c r="Z23" s="21"/>
      <c r="AA23" s="22"/>
      <c r="AB23" s="22"/>
      <c r="AC23" s="21"/>
      <c r="AD23" s="22"/>
      <c r="AE23" s="22"/>
      <c r="AF23" s="22"/>
      <c r="AG23" s="21"/>
    </row>
    <row r="24" spans="1:33" ht="57" customHeight="1">
      <c r="A24" s="36">
        <v>214.31</v>
      </c>
      <c r="B24" s="18">
        <v>4</v>
      </c>
      <c r="C24" s="24" t="s">
        <v>721</v>
      </c>
      <c r="D24" s="19" t="str">
        <f t="shared" si="2"/>
        <v xml:space="preserve">                        Local Control Building Structure</v>
      </c>
      <c r="E24" s="19" t="s">
        <v>35</v>
      </c>
      <c r="F24" s="19" t="s">
        <v>623</v>
      </c>
      <c r="G24" s="99">
        <v>1</v>
      </c>
      <c r="H24" s="19"/>
      <c r="I24" s="19"/>
      <c r="J24" s="114"/>
      <c r="K24" s="26">
        <f>0.7*2653*(3.2808^2)</f>
        <v>19989.171889344001</v>
      </c>
      <c r="L24" s="27" t="s">
        <v>102</v>
      </c>
      <c r="M24" s="24" t="s">
        <v>722</v>
      </c>
      <c r="N24" s="115">
        <v>1</v>
      </c>
      <c r="O24" s="115" t="s">
        <v>104</v>
      </c>
      <c r="P24" s="116">
        <v>1</v>
      </c>
      <c r="Q24" s="29">
        <v>2025</v>
      </c>
      <c r="R24" s="28" t="s">
        <v>96</v>
      </c>
      <c r="S24" s="117" t="s">
        <v>635</v>
      </c>
      <c r="T24" s="10"/>
      <c r="U24" s="9"/>
      <c r="V24" s="4"/>
      <c r="W24" s="118" t="s">
        <v>43</v>
      </c>
      <c r="X24" s="119">
        <f>0.9*$I24</f>
        <v>0</v>
      </c>
      <c r="Y24" s="119">
        <f>1.5*J24</f>
        <v>0</v>
      </c>
      <c r="Z24" s="118" t="s">
        <v>44</v>
      </c>
      <c r="AA24" s="120">
        <f>0.9*K24</f>
        <v>17990.254700409601</v>
      </c>
      <c r="AB24" s="120">
        <f>1.3*K24</f>
        <v>25985.923456147204</v>
      </c>
      <c r="AC24" s="118" t="s">
        <v>44</v>
      </c>
      <c r="AD24" s="120" t="s">
        <v>45</v>
      </c>
      <c r="AE24" s="120" t="s">
        <v>46</v>
      </c>
      <c r="AF24" s="120" t="s">
        <v>47</v>
      </c>
      <c r="AG24" s="118" t="s">
        <v>48</v>
      </c>
    </row>
    <row r="25" spans="1:33" ht="57" customHeight="1">
      <c r="A25" s="36">
        <v>214.32</v>
      </c>
      <c r="B25" s="18">
        <v>4</v>
      </c>
      <c r="C25" s="24" t="s">
        <v>723</v>
      </c>
      <c r="D25" s="19" t="str">
        <f t="shared" si="2"/>
        <v xml:space="preserve">                        Remote Control Center Structure</v>
      </c>
      <c r="E25" s="19" t="s">
        <v>35</v>
      </c>
      <c r="F25" s="19" t="s">
        <v>623</v>
      </c>
      <c r="G25" s="99">
        <v>1</v>
      </c>
      <c r="H25" s="19"/>
      <c r="I25" s="19"/>
      <c r="J25" s="114"/>
      <c r="K25" s="26">
        <f>0.7*2307*(3.2808^2)</f>
        <v>17382.216188736002</v>
      </c>
      <c r="L25" s="27" t="s">
        <v>102</v>
      </c>
      <c r="M25" s="24" t="s">
        <v>724</v>
      </c>
      <c r="N25" s="115">
        <v>1</v>
      </c>
      <c r="O25" s="115" t="s">
        <v>104</v>
      </c>
      <c r="P25" s="116">
        <v>1</v>
      </c>
      <c r="Q25" s="29">
        <v>2025</v>
      </c>
      <c r="R25" s="28" t="s">
        <v>96</v>
      </c>
      <c r="S25" s="117" t="s">
        <v>635</v>
      </c>
      <c r="T25" s="10"/>
      <c r="U25" s="9"/>
      <c r="V25" s="4"/>
      <c r="W25" s="118" t="s">
        <v>43</v>
      </c>
      <c r="X25" s="119">
        <f>0.9*$I25</f>
        <v>0</v>
      </c>
      <c r="Y25" s="119">
        <f>1.5*J25</f>
        <v>0</v>
      </c>
      <c r="Z25" s="118" t="s">
        <v>44</v>
      </c>
      <c r="AA25" s="120">
        <f>0.9*K25</f>
        <v>15643.994569862401</v>
      </c>
      <c r="AB25" s="120">
        <f>1.3*K25</f>
        <v>22596.881045356804</v>
      </c>
      <c r="AC25" s="118" t="s">
        <v>44</v>
      </c>
      <c r="AD25" s="120">
        <v>0.1</v>
      </c>
      <c r="AE25" s="120" t="s">
        <v>46</v>
      </c>
      <c r="AF25" s="120" t="s">
        <v>47</v>
      </c>
      <c r="AG25" s="118" t="s">
        <v>48</v>
      </c>
    </row>
    <row r="26" spans="1:33" ht="13.5" customHeight="1">
      <c r="A26" s="36">
        <v>214.4</v>
      </c>
      <c r="B26" s="18">
        <f t="shared" ref="B26:B32" si="3">IF(ISNUMBER(A26),
    IF(AND(A26=INT(A26), MOD(A26, 10) = 0), 0,
        IF(AND(A26=INT(A26), LEN(A26)=2), 1,
            IF(AND(A26=INT(A26), LEN(A26)=3), 2,
                LEN(A26) - FIND(".", A26) + 2)
        )
    ),
"")</f>
        <v>3</v>
      </c>
      <c r="C26" s="24" t="s">
        <v>725</v>
      </c>
      <c r="D26" s="19" t="str">
        <f t="shared" si="2"/>
        <v xml:space="preserve">                  Radioactive Waste Processing Building</v>
      </c>
      <c r="E26" s="19"/>
      <c r="F26" s="19"/>
      <c r="G26" s="99"/>
      <c r="H26" s="19"/>
      <c r="I26" s="19"/>
      <c r="J26" s="114"/>
      <c r="K26" s="26"/>
      <c r="L26" s="28"/>
      <c r="M26" s="35"/>
      <c r="N26" s="28"/>
      <c r="O26" s="28"/>
      <c r="P26" s="25"/>
      <c r="Q26" s="25"/>
      <c r="R26" s="28"/>
      <c r="S26" s="35"/>
      <c r="T26" s="10"/>
      <c r="U26" s="9"/>
      <c r="V26" s="4"/>
      <c r="W26" s="21"/>
      <c r="X26" s="30"/>
      <c r="Y26" s="30"/>
      <c r="Z26" s="21"/>
      <c r="AA26" s="22"/>
      <c r="AB26" s="22"/>
      <c r="AC26" s="21"/>
      <c r="AD26" s="22"/>
      <c r="AE26" s="22"/>
      <c r="AF26" s="22"/>
      <c r="AG26" s="21"/>
    </row>
    <row r="27" spans="1:33" ht="45.75" customHeight="1">
      <c r="A27" s="36">
        <v>214.41</v>
      </c>
      <c r="B27" s="18">
        <f t="shared" si="3"/>
        <v>4</v>
      </c>
      <c r="C27" s="24" t="s">
        <v>726</v>
      </c>
      <c r="D27" s="19" t="str">
        <f t="shared" si="2"/>
        <v xml:space="preserve">                        Radioactive Waste Processing Building Structure</v>
      </c>
      <c r="E27" s="124" t="s">
        <v>35</v>
      </c>
      <c r="F27" s="124" t="s">
        <v>623</v>
      </c>
      <c r="G27" s="126">
        <v>1</v>
      </c>
      <c r="H27" s="124"/>
      <c r="I27" s="124"/>
      <c r="J27" s="26"/>
      <c r="K27" s="127">
        <f>4354*(3.2808^2)</f>
        <v>46864.926178560003</v>
      </c>
      <c r="L27" s="115" t="s">
        <v>102</v>
      </c>
      <c r="M27" s="128" t="s">
        <v>727</v>
      </c>
      <c r="N27" s="115">
        <v>1</v>
      </c>
      <c r="O27" s="115" t="s">
        <v>104</v>
      </c>
      <c r="P27" s="116">
        <v>1</v>
      </c>
      <c r="Q27" s="29">
        <v>2025</v>
      </c>
      <c r="R27" s="28" t="s">
        <v>96</v>
      </c>
      <c r="S27" s="117" t="s">
        <v>720</v>
      </c>
      <c r="T27" s="10"/>
      <c r="U27" s="9"/>
      <c r="V27" s="4"/>
      <c r="W27" s="118" t="s">
        <v>43</v>
      </c>
      <c r="X27" s="119">
        <f>0.9*$I27</f>
        <v>0</v>
      </c>
      <c r="Y27" s="119">
        <f>1.5*J27</f>
        <v>0</v>
      </c>
      <c r="Z27" s="118" t="s">
        <v>44</v>
      </c>
      <c r="AA27" s="120">
        <f>0.9*K27</f>
        <v>42178.433560704005</v>
      </c>
      <c r="AB27" s="120">
        <f>1.3*K27</f>
        <v>60924.404032128004</v>
      </c>
      <c r="AC27" s="118" t="s">
        <v>44</v>
      </c>
      <c r="AD27" s="120">
        <v>0.1</v>
      </c>
      <c r="AE27" s="120" t="s">
        <v>46</v>
      </c>
      <c r="AF27" s="120" t="s">
        <v>47</v>
      </c>
      <c r="AG27" s="118" t="s">
        <v>48</v>
      </c>
    </row>
    <row r="28" spans="1:33" ht="57" customHeight="1">
      <c r="A28" s="36">
        <v>214.6</v>
      </c>
      <c r="B28" s="18">
        <f t="shared" si="3"/>
        <v>3</v>
      </c>
      <c r="C28" s="24" t="s">
        <v>728</v>
      </c>
      <c r="D28" s="19" t="str">
        <f t="shared" si="2"/>
        <v xml:space="preserve">                  Used Fuel Storage Pads</v>
      </c>
      <c r="E28" s="19" t="s">
        <v>35</v>
      </c>
      <c r="F28" s="19"/>
      <c r="G28" s="99"/>
      <c r="H28" s="19"/>
      <c r="I28" s="19"/>
      <c r="J28" s="114"/>
      <c r="K28" s="26">
        <v>6171250</v>
      </c>
      <c r="L28" s="27" t="s">
        <v>729</v>
      </c>
      <c r="M28" s="128" t="s">
        <v>730</v>
      </c>
      <c r="N28" s="28">
        <v>1</v>
      </c>
      <c r="O28" s="27" t="s">
        <v>731</v>
      </c>
      <c r="P28" s="25">
        <v>1</v>
      </c>
      <c r="Q28" s="29">
        <v>2009</v>
      </c>
      <c r="R28" s="27" t="s">
        <v>96</v>
      </c>
      <c r="S28" s="10" t="s">
        <v>732</v>
      </c>
      <c r="T28" s="10"/>
      <c r="U28" s="40" t="s">
        <v>733</v>
      </c>
      <c r="V28" s="4"/>
      <c r="W28" s="118" t="s">
        <v>43</v>
      </c>
      <c r="X28" s="119">
        <f>0.9*$I28</f>
        <v>0</v>
      </c>
      <c r="Y28" s="119">
        <f>1.5*J28</f>
        <v>0</v>
      </c>
      <c r="Z28" s="118" t="s">
        <v>44</v>
      </c>
      <c r="AA28" s="120">
        <f>0.9*K28</f>
        <v>5554125</v>
      </c>
      <c r="AB28" s="120">
        <f>1.3*K28</f>
        <v>8022625</v>
      </c>
      <c r="AC28" s="118" t="s">
        <v>44</v>
      </c>
      <c r="AD28" s="120">
        <v>0.1</v>
      </c>
      <c r="AE28" s="120" t="s">
        <v>46</v>
      </c>
      <c r="AF28" s="120" t="s">
        <v>47</v>
      </c>
      <c r="AG28" s="118" t="s">
        <v>48</v>
      </c>
    </row>
    <row r="29" spans="1:33" ht="45.75" customHeight="1">
      <c r="A29" s="36">
        <v>214.7</v>
      </c>
      <c r="B29" s="18">
        <f t="shared" si="3"/>
        <v>3</v>
      </c>
      <c r="C29" s="24" t="s">
        <v>734</v>
      </c>
      <c r="D29" s="19" t="str">
        <f t="shared" si="2"/>
        <v xml:space="preserve">                  Rad Waste Storage Warehouses</v>
      </c>
      <c r="E29" s="19" t="s">
        <v>35</v>
      </c>
      <c r="F29" s="19"/>
      <c r="G29" s="99"/>
      <c r="H29" s="19"/>
      <c r="I29" s="19"/>
      <c r="J29" s="114"/>
      <c r="K29" s="26">
        <f>0.7*1121.28*(3.2808^2)</f>
        <v>8448.3447629414404</v>
      </c>
      <c r="L29" s="27" t="s">
        <v>102</v>
      </c>
      <c r="M29" s="128" t="s">
        <v>735</v>
      </c>
      <c r="N29" s="28">
        <v>1</v>
      </c>
      <c r="O29" s="27" t="s">
        <v>104</v>
      </c>
      <c r="P29" s="25">
        <v>1</v>
      </c>
      <c r="Q29" s="29">
        <v>2025</v>
      </c>
      <c r="R29" s="27" t="s">
        <v>96</v>
      </c>
      <c r="S29" s="117" t="s">
        <v>834</v>
      </c>
      <c r="T29" s="10"/>
      <c r="U29" s="9"/>
      <c r="V29" s="4"/>
      <c r="W29" s="118" t="s">
        <v>43</v>
      </c>
      <c r="X29" s="119">
        <f>0.9*$I29</f>
        <v>0</v>
      </c>
      <c r="Y29" s="119">
        <f>1.5*J29</f>
        <v>0</v>
      </c>
      <c r="Z29" s="118" t="s">
        <v>44</v>
      </c>
      <c r="AA29" s="120">
        <f>0.9*K29</f>
        <v>7603.5102866472962</v>
      </c>
      <c r="AB29" s="120">
        <f>1.3*K29</f>
        <v>10982.848191823872</v>
      </c>
      <c r="AC29" s="118" t="s">
        <v>44</v>
      </c>
      <c r="AD29" s="120">
        <v>0.1</v>
      </c>
      <c r="AE29" s="120" t="s">
        <v>46</v>
      </c>
      <c r="AF29" s="120" t="s">
        <v>47</v>
      </c>
      <c r="AG29" s="118" t="s">
        <v>48</v>
      </c>
    </row>
    <row r="30" spans="1:33" ht="13.5" customHeight="1">
      <c r="A30" s="36">
        <v>215</v>
      </c>
      <c r="B30" s="18">
        <f t="shared" si="3"/>
        <v>2</v>
      </c>
      <c r="C30" s="24" t="s">
        <v>736</v>
      </c>
      <c r="D30" s="19" t="str">
        <f t="shared" si="2"/>
        <v xml:space="preserve">            Air Tranport Hangar</v>
      </c>
      <c r="E30" s="19"/>
      <c r="F30" s="19"/>
      <c r="G30" s="99"/>
      <c r="H30" s="19"/>
      <c r="I30" s="19"/>
      <c r="J30" s="114"/>
      <c r="K30" s="26"/>
      <c r="L30" s="27"/>
      <c r="M30" s="128"/>
      <c r="N30" s="28"/>
      <c r="O30" s="27"/>
      <c r="P30" s="25"/>
      <c r="Q30" s="29"/>
      <c r="R30" s="27"/>
      <c r="S30" s="117"/>
      <c r="T30" s="10"/>
      <c r="U30" s="9"/>
      <c r="V30" s="4"/>
      <c r="W30" s="118"/>
      <c r="X30" s="119"/>
      <c r="Y30" s="119"/>
      <c r="Z30" s="118"/>
      <c r="AA30" s="120"/>
      <c r="AB30" s="120"/>
      <c r="AC30" s="118"/>
      <c r="AD30" s="120"/>
      <c r="AE30" s="120"/>
      <c r="AF30" s="120"/>
      <c r="AG30" s="118"/>
    </row>
    <row r="31" spans="1:33" ht="13.5" customHeight="1">
      <c r="A31" s="36">
        <v>215.1</v>
      </c>
      <c r="B31" s="18">
        <f t="shared" si="3"/>
        <v>3</v>
      </c>
      <c r="C31" s="24" t="s">
        <v>737</v>
      </c>
      <c r="D31" s="19" t="str">
        <f t="shared" si="2"/>
        <v xml:space="preserve">                  Air Transport Hangar</v>
      </c>
      <c r="E31" s="19" t="s">
        <v>35</v>
      </c>
      <c r="F31" s="19"/>
      <c r="G31" s="99"/>
      <c r="H31" s="19"/>
      <c r="I31" s="19"/>
      <c r="J31" s="163">
        <v>10000000</v>
      </c>
      <c r="K31" s="26"/>
      <c r="L31" s="27"/>
      <c r="M31" s="128"/>
      <c r="N31" s="28"/>
      <c r="O31" s="27"/>
      <c r="P31" s="25"/>
      <c r="Q31" s="29">
        <v>2024</v>
      </c>
      <c r="R31" s="27" t="s">
        <v>163</v>
      </c>
      <c r="S31" s="117" t="s">
        <v>738</v>
      </c>
      <c r="T31" s="10"/>
      <c r="U31" s="9"/>
      <c r="V31" s="4"/>
      <c r="W31" s="118" t="s">
        <v>43</v>
      </c>
      <c r="X31" s="119">
        <f>0.9*$I31</f>
        <v>0</v>
      </c>
      <c r="Y31" s="119">
        <f>1.5*J31</f>
        <v>15000000</v>
      </c>
      <c r="Z31" s="118" t="s">
        <v>44</v>
      </c>
      <c r="AA31" s="120">
        <f>0.9*K31</f>
        <v>0</v>
      </c>
      <c r="AB31" s="120">
        <f>1.3*K31</f>
        <v>0</v>
      </c>
      <c r="AC31" s="118" t="s">
        <v>44</v>
      </c>
      <c r="AD31" s="120">
        <v>0.1</v>
      </c>
      <c r="AE31" s="120" t="s">
        <v>46</v>
      </c>
      <c r="AF31" s="120" t="s">
        <v>47</v>
      </c>
      <c r="AG31" s="118" t="s">
        <v>48</v>
      </c>
    </row>
    <row r="32" spans="1:33" ht="13.5" customHeight="1">
      <c r="A32" s="15">
        <v>22</v>
      </c>
      <c r="B32" s="18">
        <f t="shared" si="3"/>
        <v>1</v>
      </c>
      <c r="C32" s="42" t="s">
        <v>636</v>
      </c>
      <c r="D32" s="19" t="str">
        <f t="shared" si="2"/>
        <v xml:space="preserve">      Main Facilities Estimated As Wholes</v>
      </c>
      <c r="E32" s="19"/>
      <c r="F32" s="19"/>
      <c r="G32" s="99"/>
      <c r="H32" s="19"/>
      <c r="I32" s="19"/>
      <c r="J32" s="26"/>
      <c r="K32" s="26"/>
      <c r="L32" s="28"/>
      <c r="M32" s="19"/>
      <c r="N32" s="4"/>
      <c r="O32" s="4"/>
      <c r="P32" s="29"/>
      <c r="Q32" s="29"/>
      <c r="R32" s="4"/>
      <c r="S32" s="32"/>
      <c r="T32" s="4"/>
      <c r="U32" s="4"/>
      <c r="V32" s="4"/>
      <c r="W32" s="21"/>
      <c r="X32" s="30"/>
      <c r="Y32" s="30"/>
      <c r="Z32" s="21"/>
      <c r="AA32" s="22"/>
      <c r="AB32" s="22"/>
      <c r="AC32" s="21"/>
      <c r="AD32" s="22"/>
      <c r="AE32" s="22"/>
      <c r="AF32" s="22"/>
      <c r="AG32" s="21"/>
    </row>
    <row r="33" spans="1:33" ht="45.75" customHeight="1">
      <c r="A33" s="121">
        <v>221</v>
      </c>
      <c r="B33" s="122">
        <v>2</v>
      </c>
      <c r="C33" s="123" t="s">
        <v>739</v>
      </c>
      <c r="D33" s="124" t="str">
        <f t="shared" si="2"/>
        <v xml:space="preserve">            Reactor Cask Management Yard and Inspection Shop</v>
      </c>
      <c r="E33" s="124" t="s">
        <v>35</v>
      </c>
      <c r="F33" s="124"/>
      <c r="G33" s="126"/>
      <c r="H33" s="124"/>
      <c r="I33" s="124"/>
      <c r="J33" s="26"/>
      <c r="K33" s="127">
        <f>0.7*17946522/N33</f>
        <v>41875.217999999993</v>
      </c>
      <c r="L33" s="115"/>
      <c r="M33" s="128" t="s">
        <v>730</v>
      </c>
      <c r="N33" s="115">
        <v>300</v>
      </c>
      <c r="O33" s="115" t="s">
        <v>639</v>
      </c>
      <c r="P33" s="162">
        <v>0.25047999999999998</v>
      </c>
      <c r="Q33" s="29">
        <v>2025</v>
      </c>
      <c r="R33" s="28" t="s">
        <v>96</v>
      </c>
      <c r="S33" s="117" t="s">
        <v>658</v>
      </c>
      <c r="T33" s="10"/>
      <c r="U33" s="9"/>
      <c r="V33" s="4"/>
      <c r="W33" s="118" t="s">
        <v>43</v>
      </c>
      <c r="X33" s="119">
        <f>0.9*$I33</f>
        <v>0</v>
      </c>
      <c r="Y33" s="119">
        <f>1.5*J33</f>
        <v>0</v>
      </c>
      <c r="Z33" s="118" t="s">
        <v>44</v>
      </c>
      <c r="AA33" s="120">
        <f>0.9*K33</f>
        <v>37687.696199999998</v>
      </c>
      <c r="AB33" s="120">
        <f>1.3*K33</f>
        <v>54437.783399999993</v>
      </c>
      <c r="AC33" s="118" t="s">
        <v>44</v>
      </c>
      <c r="AD33" s="120" t="s">
        <v>45</v>
      </c>
      <c r="AE33" s="120" t="s">
        <v>46</v>
      </c>
      <c r="AF33" s="120" t="s">
        <v>47</v>
      </c>
      <c r="AG33" s="118" t="s">
        <v>48</v>
      </c>
    </row>
    <row r="34" spans="1:33" ht="45.75" customHeight="1">
      <c r="A34" s="121">
        <v>222</v>
      </c>
      <c r="B34" s="122">
        <f>IF(ISNUMBER(A34),
    IF(AND(A34=INT(A34), MOD(A34, 10) = 0), 0,
        IF(AND(A34=INT(A34), LEN(A34)=2), 1,
            IF(AND(A34=INT(A34), LEN(A34)=3), 2,
                LEN(A34) - FIND(".", A34) + 2)
        )
    ),
"")</f>
        <v>2</v>
      </c>
      <c r="C34" s="123" t="s">
        <v>740</v>
      </c>
      <c r="D34" s="124" t="str">
        <f t="shared" si="2"/>
        <v xml:space="preserve">            Vehicle Depot and Mechanic Shop</v>
      </c>
      <c r="E34" s="124" t="s">
        <v>35</v>
      </c>
      <c r="F34" s="124"/>
      <c r="G34" s="126"/>
      <c r="H34" s="124"/>
      <c r="I34" s="124"/>
      <c r="J34" s="26"/>
      <c r="K34" s="127">
        <f>0.7*58097655/N34</f>
        <v>135561.19500000001</v>
      </c>
      <c r="L34" s="115"/>
      <c r="M34" s="128" t="s">
        <v>730</v>
      </c>
      <c r="N34" s="115">
        <v>300</v>
      </c>
      <c r="O34" s="115" t="s">
        <v>104</v>
      </c>
      <c r="P34" s="129">
        <v>0.26666499999999999</v>
      </c>
      <c r="Q34" s="29">
        <v>2025</v>
      </c>
      <c r="R34" s="28" t="s">
        <v>96</v>
      </c>
      <c r="S34" s="117" t="s">
        <v>658</v>
      </c>
      <c r="T34" s="10"/>
      <c r="U34" s="9"/>
      <c r="V34" s="4"/>
      <c r="W34" s="118" t="s">
        <v>43</v>
      </c>
      <c r="X34" s="119">
        <f>0.9*$I34</f>
        <v>0</v>
      </c>
      <c r="Y34" s="119">
        <f>1.5*J34</f>
        <v>0</v>
      </c>
      <c r="Z34" s="118" t="s">
        <v>44</v>
      </c>
      <c r="AA34" s="120">
        <f>0.9*K34</f>
        <v>122005.07550000001</v>
      </c>
      <c r="AB34" s="120">
        <f>1.3*K34</f>
        <v>176229.55350000001</v>
      </c>
      <c r="AC34" s="118" t="s">
        <v>44</v>
      </c>
      <c r="AD34" s="120" t="s">
        <v>45</v>
      </c>
      <c r="AE34" s="120" t="s">
        <v>46</v>
      </c>
      <c r="AF34" s="120" t="s">
        <v>47</v>
      </c>
      <c r="AG34" s="118" t="s">
        <v>48</v>
      </c>
    </row>
    <row r="35" spans="1:33" ht="45.75" customHeight="1">
      <c r="A35" s="121">
        <v>224</v>
      </c>
      <c r="B35" s="122">
        <f>IF(ISNUMBER(A35),
    IF(AND(A35=INT(A35), MOD(A35, 10) = 0), 0,
        IF(AND(A35=INT(A35), LEN(A35)=2), 1,
            IF(AND(A35=INT(A35), LEN(A35)=3), 2,
                LEN(A35) - FIND(".", A35) + 2)
        )
    ),
"")</f>
        <v>2</v>
      </c>
      <c r="C35" s="123" t="s">
        <v>741</v>
      </c>
      <c r="D35" s="124" t="str">
        <f t="shared" si="2"/>
        <v xml:space="preserve">            Parts Service Center and Warehouse</v>
      </c>
      <c r="E35" s="124" t="s">
        <v>35</v>
      </c>
      <c r="F35" s="124"/>
      <c r="G35" s="126"/>
      <c r="H35" s="124"/>
      <c r="I35" s="124"/>
      <c r="J35" s="135"/>
      <c r="K35" s="189">
        <v>50000</v>
      </c>
      <c r="L35" s="136" t="s">
        <v>102</v>
      </c>
      <c r="M35" s="128" t="s">
        <v>742</v>
      </c>
      <c r="N35" s="115">
        <v>1</v>
      </c>
      <c r="O35" s="115" t="s">
        <v>104</v>
      </c>
      <c r="P35" s="116">
        <v>1</v>
      </c>
      <c r="Q35" s="29">
        <v>2025</v>
      </c>
      <c r="R35" s="28" t="s">
        <v>96</v>
      </c>
      <c r="S35" s="117" t="s">
        <v>835</v>
      </c>
      <c r="T35" s="10"/>
      <c r="U35" s="9"/>
      <c r="V35" s="4"/>
      <c r="W35" s="118" t="s">
        <v>43</v>
      </c>
      <c r="X35" s="119">
        <f>0.9*$I35</f>
        <v>0</v>
      </c>
      <c r="Y35" s="119">
        <f>1.5*J35</f>
        <v>0</v>
      </c>
      <c r="Z35" s="118" t="s">
        <v>44</v>
      </c>
      <c r="AA35" s="120">
        <f>0.9*K35</f>
        <v>45000</v>
      </c>
      <c r="AB35" s="120">
        <f>1.3*K35</f>
        <v>65000</v>
      </c>
      <c r="AC35" s="118" t="s">
        <v>44</v>
      </c>
      <c r="AD35" s="120" t="s">
        <v>45</v>
      </c>
      <c r="AE35" s="120" t="s">
        <v>46</v>
      </c>
      <c r="AF35" s="120" t="s">
        <v>47</v>
      </c>
      <c r="AG35" s="118" t="s">
        <v>48</v>
      </c>
    </row>
    <row r="36" spans="1:33" ht="57" customHeight="1">
      <c r="A36" s="121">
        <v>225</v>
      </c>
      <c r="B36" s="122">
        <f>IF(ISNUMBER(A36),
    IF(AND(A36=INT(A36), MOD(A36, 10) = 0), 0,
        IF(AND(A36=INT(A36), LEN(A36)=2), 1,
            IF(AND(A36=INT(A36), LEN(A36)=3), 2,
                LEN(A36) - FIND(".", A36) + 2)
        )
    ),
"")</f>
        <v>2</v>
      </c>
      <c r="C36" s="123" t="s">
        <v>644</v>
      </c>
      <c r="D36" s="124" t="str">
        <f t="shared" si="2"/>
        <v xml:space="preserve">            Administrative Building</v>
      </c>
      <c r="E36" s="124" t="s">
        <v>35</v>
      </c>
      <c r="F36" s="124"/>
      <c r="G36" s="126"/>
      <c r="H36" s="124"/>
      <c r="I36" s="124"/>
      <c r="J36" s="26"/>
      <c r="K36" s="127">
        <f>0.7*1890.9*(3.2808^2)</f>
        <v>14247.0882493632</v>
      </c>
      <c r="L36" s="115" t="s">
        <v>102</v>
      </c>
      <c r="M36" s="128" t="s">
        <v>743</v>
      </c>
      <c r="N36" s="115">
        <v>1</v>
      </c>
      <c r="O36" s="115" t="s">
        <v>104</v>
      </c>
      <c r="P36" s="116">
        <v>1</v>
      </c>
      <c r="Q36" s="29">
        <v>2025</v>
      </c>
      <c r="R36" s="28" t="s">
        <v>96</v>
      </c>
      <c r="S36" s="117" t="s">
        <v>635</v>
      </c>
      <c r="T36" s="10"/>
      <c r="U36" s="9"/>
      <c r="V36" s="4"/>
      <c r="W36" s="118" t="s">
        <v>43</v>
      </c>
      <c r="X36" s="119">
        <f>0.9*$I36</f>
        <v>0</v>
      </c>
      <c r="Y36" s="119">
        <f>1.5*J36</f>
        <v>0</v>
      </c>
      <c r="Z36" s="118" t="s">
        <v>44</v>
      </c>
      <c r="AA36" s="120">
        <f>0.9*K36</f>
        <v>12822.379424426879</v>
      </c>
      <c r="AB36" s="120">
        <f>1.3*K36</f>
        <v>18521.214724172161</v>
      </c>
      <c r="AC36" s="118" t="s">
        <v>44</v>
      </c>
      <c r="AD36" s="120" t="s">
        <v>45</v>
      </c>
      <c r="AE36" s="120" t="s">
        <v>46</v>
      </c>
      <c r="AF36" s="120" t="s">
        <v>47</v>
      </c>
      <c r="AG36" s="118" t="s">
        <v>48</v>
      </c>
    </row>
    <row r="37" spans="1:33" ht="13.5" customHeight="1">
      <c r="A37" s="121">
        <v>23</v>
      </c>
      <c r="B37" s="122">
        <f>IF(ISNUMBER(A37),
    IF(AND(A37=INT(A37), MOD(A37, 10) = 0), 0,
        IF(AND(A37=INT(A37), LEN(A37)=2), 1,
            IF(AND(A37=INT(A37), LEN(A37)=3), 2,
                LEN(A37) - FIND(".", A37) + 2)
        )
    ),
"")</f>
        <v>1</v>
      </c>
      <c r="C37" s="137" t="s">
        <v>163</v>
      </c>
      <c r="D37" s="124" t="str">
        <f t="shared" si="2"/>
        <v xml:space="preserve">      Equipment</v>
      </c>
      <c r="E37" s="124"/>
      <c r="F37" s="124"/>
      <c r="G37" s="126"/>
      <c r="H37" s="124"/>
      <c r="I37" s="136"/>
      <c r="J37" s="127"/>
      <c r="K37" s="127"/>
      <c r="L37" s="118"/>
      <c r="M37" s="138"/>
      <c r="N37" s="118"/>
      <c r="O37" s="118"/>
      <c r="P37" s="120"/>
      <c r="Q37" s="120"/>
      <c r="R37" s="118"/>
      <c r="S37" s="138"/>
      <c r="T37" s="118"/>
      <c r="U37" s="118"/>
      <c r="V37" s="118"/>
      <c r="W37" s="118"/>
      <c r="X37" s="119"/>
      <c r="Y37" s="119"/>
      <c r="Z37" s="118"/>
      <c r="AA37" s="120"/>
      <c r="AB37" s="120"/>
      <c r="AC37" s="118"/>
      <c r="AD37" s="120"/>
      <c r="AE37" s="120"/>
      <c r="AF37" s="120"/>
      <c r="AG37" s="118"/>
    </row>
    <row r="38" spans="1:33" ht="23.25" customHeight="1">
      <c r="A38" s="36">
        <v>23.1</v>
      </c>
      <c r="B38" s="18">
        <v>2</v>
      </c>
      <c r="C38" s="24" t="s">
        <v>744</v>
      </c>
      <c r="D38" s="19" t="str">
        <f t="shared" si="2"/>
        <v xml:space="preserve">            Servicing Hot Cell</v>
      </c>
      <c r="E38" s="19" t="s">
        <v>35</v>
      </c>
      <c r="F38" s="19" t="s">
        <v>745</v>
      </c>
      <c r="G38" s="99">
        <v>1</v>
      </c>
      <c r="H38" s="19"/>
      <c r="I38" s="19"/>
      <c r="J38" s="26">
        <v>1000000000</v>
      </c>
      <c r="K38" s="26"/>
      <c r="L38" s="28"/>
      <c r="M38" s="35"/>
      <c r="N38" s="28"/>
      <c r="O38" s="28"/>
      <c r="P38" s="25"/>
      <c r="Q38" s="29">
        <v>2024</v>
      </c>
      <c r="R38" s="28" t="s">
        <v>96</v>
      </c>
      <c r="S38" s="35" t="s">
        <v>666</v>
      </c>
      <c r="T38" s="10"/>
      <c r="U38" s="9"/>
      <c r="V38" s="4"/>
      <c r="W38" s="21" t="s">
        <v>43</v>
      </c>
      <c r="X38" s="30">
        <f>0.8*$I38</f>
        <v>0</v>
      </c>
      <c r="Y38" s="30">
        <f>2*J38</f>
        <v>2000000000</v>
      </c>
      <c r="Z38" s="21" t="s">
        <v>44</v>
      </c>
      <c r="AA38" s="22">
        <f>0.8*K38</f>
        <v>0</v>
      </c>
      <c r="AB38" s="22">
        <f>2*K38</f>
        <v>0</v>
      </c>
      <c r="AC38" s="21" t="s">
        <v>44</v>
      </c>
      <c r="AD38" s="22" t="s">
        <v>45</v>
      </c>
      <c r="AE38" s="22" t="s">
        <v>46</v>
      </c>
      <c r="AF38" s="22" t="s">
        <v>47</v>
      </c>
      <c r="AG38" s="21" t="s">
        <v>48</v>
      </c>
    </row>
    <row r="39" spans="1:33" ht="57" customHeight="1">
      <c r="A39" s="121">
        <v>23.2</v>
      </c>
      <c r="B39" s="164">
        <v>2</v>
      </c>
      <c r="C39" s="123" t="s">
        <v>746</v>
      </c>
      <c r="D39" s="124" t="str">
        <f t="shared" si="2"/>
        <v xml:space="preserve">            Helium Purification Equipment</v>
      </c>
      <c r="E39" s="124" t="s">
        <v>35</v>
      </c>
      <c r="F39" s="124" t="s">
        <v>623</v>
      </c>
      <c r="G39" s="126">
        <v>1</v>
      </c>
      <c r="H39" s="124"/>
      <c r="I39" s="124"/>
      <c r="J39" s="127"/>
      <c r="K39" s="127">
        <f>10*((4700000+6000000)/2)/N39</f>
        <v>963000000</v>
      </c>
      <c r="L39" s="115"/>
      <c r="M39" s="128" t="s">
        <v>747</v>
      </c>
      <c r="N39" s="165">
        <f>200/3600</f>
        <v>5.5555555555555552E-2</v>
      </c>
      <c r="O39" s="115" t="s">
        <v>344</v>
      </c>
      <c r="P39" s="120">
        <v>0.6</v>
      </c>
      <c r="Q39" s="29">
        <v>2024</v>
      </c>
      <c r="R39" s="115" t="s">
        <v>96</v>
      </c>
      <c r="S39" s="117" t="s">
        <v>748</v>
      </c>
      <c r="T39" s="139" t="s">
        <v>749</v>
      </c>
      <c r="U39" s="140" t="s">
        <v>328</v>
      </c>
      <c r="V39" s="118"/>
      <c r="W39" s="118" t="s">
        <v>43</v>
      </c>
      <c r="X39" s="119">
        <f>0.9*$I39</f>
        <v>0</v>
      </c>
      <c r="Y39" s="119">
        <f>1.5*J39</f>
        <v>0</v>
      </c>
      <c r="Z39" s="118" t="s">
        <v>44</v>
      </c>
      <c r="AA39" s="120">
        <f>0.9*K39</f>
        <v>866700000</v>
      </c>
      <c r="AB39" s="120">
        <f>1.3*K39</f>
        <v>1251900000</v>
      </c>
      <c r="AC39" s="118" t="s">
        <v>44</v>
      </c>
      <c r="AD39" s="120" t="s">
        <v>45</v>
      </c>
      <c r="AE39" s="120" t="s">
        <v>46</v>
      </c>
      <c r="AF39" s="120" t="s">
        <v>47</v>
      </c>
      <c r="AG39" s="118" t="s">
        <v>48</v>
      </c>
    </row>
    <row r="40" spans="1:33" ht="34.5" customHeight="1">
      <c r="A40" s="36">
        <v>23.4</v>
      </c>
      <c r="B40" s="18">
        <v>2</v>
      </c>
      <c r="C40" s="24" t="s">
        <v>750</v>
      </c>
      <c r="D40" s="19" t="str">
        <f t="shared" si="2"/>
        <v xml:space="preserve">            Radioactive Waste Processing Hot Cell</v>
      </c>
      <c r="E40" s="19" t="s">
        <v>35</v>
      </c>
      <c r="F40" s="19" t="s">
        <v>751</v>
      </c>
      <c r="G40" s="99">
        <v>1</v>
      </c>
      <c r="H40" s="19"/>
      <c r="I40" s="19"/>
      <c r="J40" s="26">
        <v>1000000000</v>
      </c>
      <c r="K40" s="26"/>
      <c r="L40" s="27"/>
      <c r="M40" s="24"/>
      <c r="N40" s="28"/>
      <c r="O40" s="27"/>
      <c r="P40" s="25"/>
      <c r="Q40" s="29">
        <v>2024</v>
      </c>
      <c r="R40" s="27" t="s">
        <v>163</v>
      </c>
      <c r="S40" s="10" t="s">
        <v>666</v>
      </c>
      <c r="T40" s="10"/>
      <c r="U40" s="9"/>
      <c r="V40" s="4" t="s">
        <v>752</v>
      </c>
      <c r="W40" s="21" t="s">
        <v>43</v>
      </c>
      <c r="X40" s="30">
        <f>0.8*$I40</f>
        <v>0</v>
      </c>
      <c r="Y40" s="30">
        <f>2*J40</f>
        <v>2000000000</v>
      </c>
      <c r="Z40" s="21" t="s">
        <v>44</v>
      </c>
      <c r="AA40" s="22">
        <f>0.8*K40</f>
        <v>0</v>
      </c>
      <c r="AB40" s="22">
        <f>2*K40</f>
        <v>0</v>
      </c>
      <c r="AC40" s="21" t="s">
        <v>44</v>
      </c>
      <c r="AD40" s="22" t="s">
        <v>45</v>
      </c>
      <c r="AE40" s="22" t="s">
        <v>46</v>
      </c>
      <c r="AF40" s="22" t="s">
        <v>47</v>
      </c>
      <c r="AG40" s="21" t="s">
        <v>48</v>
      </c>
    </row>
    <row r="41" spans="1:33" ht="34.5" customHeight="1">
      <c r="A41" s="36">
        <v>23.5</v>
      </c>
      <c r="B41" s="18">
        <v>2</v>
      </c>
      <c r="C41" s="24" t="s">
        <v>646</v>
      </c>
      <c r="D41" s="19" t="str">
        <f t="shared" si="2"/>
        <v xml:space="preserve">            Local Integrated Control Rooms</v>
      </c>
      <c r="E41" s="19" t="s">
        <v>35</v>
      </c>
      <c r="F41" s="19" t="s">
        <v>745</v>
      </c>
      <c r="G41" s="99">
        <v>1</v>
      </c>
      <c r="H41" s="19"/>
      <c r="I41" s="19"/>
      <c r="J41" s="26">
        <f>21555270/2</f>
        <v>10777635</v>
      </c>
      <c r="K41" s="26"/>
      <c r="L41" s="27"/>
      <c r="M41" s="24"/>
      <c r="N41" s="28"/>
      <c r="O41" s="27"/>
      <c r="P41" s="25"/>
      <c r="Q41" s="29">
        <v>1987</v>
      </c>
      <c r="R41" s="27" t="s">
        <v>96</v>
      </c>
      <c r="S41" s="10" t="s">
        <v>753</v>
      </c>
      <c r="T41" s="10" t="s">
        <v>754</v>
      </c>
      <c r="U41" s="40" t="s">
        <v>755</v>
      </c>
      <c r="V41" s="4"/>
      <c r="W41" s="118" t="s">
        <v>43</v>
      </c>
      <c r="X41" s="119">
        <f>0.9*$I41</f>
        <v>0</v>
      </c>
      <c r="Y41" s="119">
        <f>1.5*J41</f>
        <v>16166452.5</v>
      </c>
      <c r="Z41" s="118" t="s">
        <v>44</v>
      </c>
      <c r="AA41" s="120">
        <f>0.9*K41</f>
        <v>0</v>
      </c>
      <c r="AB41" s="120">
        <f>1.3*K41</f>
        <v>0</v>
      </c>
      <c r="AC41" s="118" t="s">
        <v>44</v>
      </c>
      <c r="AD41" s="120" t="s">
        <v>45</v>
      </c>
      <c r="AE41" s="120" t="s">
        <v>46</v>
      </c>
      <c r="AF41" s="120" t="s">
        <v>47</v>
      </c>
      <c r="AG41" s="118" t="s">
        <v>48</v>
      </c>
    </row>
    <row r="42" spans="1:33" ht="34.5" customHeight="1">
      <c r="A42" s="36">
        <v>23.6</v>
      </c>
      <c r="B42" s="18">
        <v>2</v>
      </c>
      <c r="C42" s="24" t="s">
        <v>756</v>
      </c>
      <c r="D42" s="19" t="str">
        <f t="shared" si="2"/>
        <v xml:space="preserve">            Remote Control Rooms</v>
      </c>
      <c r="E42" s="19" t="s">
        <v>35</v>
      </c>
      <c r="F42" s="19" t="s">
        <v>623</v>
      </c>
      <c r="G42" s="99">
        <v>1</v>
      </c>
      <c r="H42" s="19"/>
      <c r="I42" s="19"/>
      <c r="J42" s="26"/>
      <c r="K42" s="26">
        <v>1000000</v>
      </c>
      <c r="L42" s="27"/>
      <c r="M42" s="19" t="s">
        <v>757</v>
      </c>
      <c r="N42" s="28"/>
      <c r="O42" s="27"/>
      <c r="P42" s="25"/>
      <c r="Q42" s="29">
        <v>2024</v>
      </c>
      <c r="R42" s="27" t="s">
        <v>96</v>
      </c>
      <c r="S42" s="10" t="s">
        <v>836</v>
      </c>
      <c r="T42" s="10"/>
      <c r="U42" s="9"/>
      <c r="V42" s="4"/>
      <c r="W42" s="118" t="s">
        <v>43</v>
      </c>
      <c r="X42" s="119">
        <f>0.9*$I42</f>
        <v>0</v>
      </c>
      <c r="Y42" s="119">
        <f>1.5*J42</f>
        <v>0</v>
      </c>
      <c r="Z42" s="118" t="s">
        <v>44</v>
      </c>
      <c r="AA42" s="120">
        <f>0.9*K42</f>
        <v>900000</v>
      </c>
      <c r="AB42" s="120">
        <f>1.3*K42</f>
        <v>1300000</v>
      </c>
      <c r="AC42" s="118" t="s">
        <v>44</v>
      </c>
      <c r="AD42" s="120" t="s">
        <v>45</v>
      </c>
      <c r="AE42" s="120" t="s">
        <v>46</v>
      </c>
      <c r="AF42" s="120" t="s">
        <v>47</v>
      </c>
      <c r="AG42" s="118" t="s">
        <v>48</v>
      </c>
    </row>
    <row r="43" spans="1:33" ht="23.25" customHeight="1">
      <c r="A43" s="36">
        <v>23.8</v>
      </c>
      <c r="B43" s="18">
        <v>2</v>
      </c>
      <c r="C43" s="24" t="s">
        <v>758</v>
      </c>
      <c r="D43" s="19" t="str">
        <f t="shared" si="2"/>
        <v xml:space="preserve">            Reactor Transport Casks</v>
      </c>
      <c r="E43" s="19" t="s">
        <v>35</v>
      </c>
      <c r="F43" s="19" t="s">
        <v>623</v>
      </c>
      <c r="G43" s="99">
        <v>1</v>
      </c>
      <c r="H43" s="19"/>
      <c r="I43" s="19"/>
      <c r="J43" s="163">
        <v>10000000</v>
      </c>
      <c r="K43" s="26"/>
      <c r="L43" s="27"/>
      <c r="M43" s="19" t="s">
        <v>759</v>
      </c>
      <c r="N43" s="28"/>
      <c r="O43" s="27"/>
      <c r="P43" s="25"/>
      <c r="Q43" s="29">
        <v>2024</v>
      </c>
      <c r="R43" s="27" t="s">
        <v>96</v>
      </c>
      <c r="S43" s="10" t="s">
        <v>666</v>
      </c>
      <c r="T43" s="10"/>
      <c r="U43" s="9"/>
      <c r="V43" s="4"/>
      <c r="W43" s="118" t="s">
        <v>43</v>
      </c>
      <c r="X43" s="119">
        <f>0.9*$I43</f>
        <v>0</v>
      </c>
      <c r="Y43" s="119">
        <f>1.5*J43</f>
        <v>15000000</v>
      </c>
      <c r="Z43" s="118" t="s">
        <v>44</v>
      </c>
      <c r="AA43" s="120">
        <f>0.9*K43</f>
        <v>0</v>
      </c>
      <c r="AB43" s="120">
        <f>1.3*K43</f>
        <v>0</v>
      </c>
      <c r="AC43" s="118" t="s">
        <v>44</v>
      </c>
      <c r="AD43" s="120" t="s">
        <v>45</v>
      </c>
      <c r="AE43" s="120" t="s">
        <v>46</v>
      </c>
      <c r="AF43" s="120" t="s">
        <v>47</v>
      </c>
      <c r="AG43" s="118" t="s">
        <v>48</v>
      </c>
    </row>
    <row r="44" spans="1:33" ht="13.5" customHeight="1">
      <c r="A44" s="15">
        <v>28</v>
      </c>
      <c r="B44" s="18">
        <f t="shared" ref="B44:B61" si="4">IF(ISNUMBER(A44),
    IF(AND(A44=INT(A44), MOD(A44, 10) = 0), 0,
        IF(AND(A44=INT(A44), LEN(A44)=2), 1,
            IF(AND(A44=INT(A44), LEN(A44)=3), 2,
                LEN(A44) - FIND(".", A44) + 2)
        )
    ),
"")</f>
        <v>1</v>
      </c>
      <c r="C44" s="32" t="s">
        <v>648</v>
      </c>
      <c r="D44" s="19" t="str">
        <f t="shared" si="2"/>
        <v xml:space="preserve">      Auxiliary Infrastructure Equipment</v>
      </c>
      <c r="E44" s="19"/>
      <c r="F44" s="19"/>
      <c r="G44" s="99"/>
      <c r="H44" s="19"/>
      <c r="I44" s="19"/>
      <c r="J44" s="33"/>
      <c r="K44" s="26"/>
      <c r="L44" s="4"/>
      <c r="M44" s="27"/>
      <c r="N44" s="4"/>
      <c r="O44" s="4"/>
      <c r="P44" s="29"/>
      <c r="Q44" s="29"/>
      <c r="R44" s="4"/>
      <c r="S44" s="32"/>
      <c r="T44" s="32"/>
      <c r="U44" s="4"/>
      <c r="V44" s="4"/>
      <c r="W44" s="21"/>
      <c r="X44" s="30"/>
      <c r="Y44" s="30"/>
      <c r="Z44" s="21"/>
      <c r="AA44" s="22"/>
      <c r="AB44" s="22"/>
      <c r="AC44" s="21"/>
      <c r="AD44" s="22"/>
      <c r="AE44" s="22"/>
      <c r="AF44" s="22"/>
      <c r="AG44" s="21"/>
    </row>
    <row r="45" spans="1:33" ht="57" customHeight="1">
      <c r="A45" s="121">
        <v>281</v>
      </c>
      <c r="B45" s="122">
        <f t="shared" si="4"/>
        <v>2</v>
      </c>
      <c r="C45" s="123" t="s">
        <v>649</v>
      </c>
      <c r="D45" s="124" t="str">
        <f t="shared" si="2"/>
        <v xml:space="preserve">            Emergency Power</v>
      </c>
      <c r="E45" s="124" t="s">
        <v>35</v>
      </c>
      <c r="F45" s="124"/>
      <c r="G45" s="126"/>
      <c r="H45" s="124"/>
      <c r="I45" s="124"/>
      <c r="J45" s="26"/>
      <c r="K45" s="127">
        <f>(1450000*5+1500000)/2.5</f>
        <v>3500000</v>
      </c>
      <c r="L45" s="115" t="s">
        <v>50</v>
      </c>
      <c r="M45" s="128" t="s">
        <v>760</v>
      </c>
      <c r="N45" s="115">
        <v>1</v>
      </c>
      <c r="O45" s="115" t="s">
        <v>52</v>
      </c>
      <c r="P45" s="116">
        <v>1</v>
      </c>
      <c r="Q45" s="29">
        <v>2025</v>
      </c>
      <c r="R45" s="28" t="s">
        <v>163</v>
      </c>
      <c r="S45" s="139" t="s">
        <v>651</v>
      </c>
      <c r="T45" s="139"/>
      <c r="U45" s="140"/>
      <c r="V45" s="118"/>
      <c r="W45" s="118" t="s">
        <v>43</v>
      </c>
      <c r="X45" s="119">
        <f>0.9*$I45</f>
        <v>0</v>
      </c>
      <c r="Y45" s="119">
        <f>1.5*J45</f>
        <v>0</v>
      </c>
      <c r="Z45" s="118" t="s">
        <v>44</v>
      </c>
      <c r="AA45" s="120">
        <f>0.9*K45</f>
        <v>3150000</v>
      </c>
      <c r="AB45" s="120">
        <f>1.3*K45</f>
        <v>4550000</v>
      </c>
      <c r="AC45" s="118" t="s">
        <v>44</v>
      </c>
      <c r="AD45" s="120" t="s">
        <v>45</v>
      </c>
      <c r="AE45" s="120" t="s">
        <v>46</v>
      </c>
      <c r="AF45" s="120" t="s">
        <v>47</v>
      </c>
      <c r="AG45" s="118" t="s">
        <v>48</v>
      </c>
    </row>
    <row r="46" spans="1:33" ht="45.75" customHeight="1">
      <c r="A46" s="121">
        <v>282</v>
      </c>
      <c r="B46" s="122">
        <f t="shared" si="4"/>
        <v>2</v>
      </c>
      <c r="C46" s="123" t="s">
        <v>761</v>
      </c>
      <c r="D46" s="124" t="str">
        <f t="shared" si="2"/>
        <v xml:space="preserve">            Service Air Water Building</v>
      </c>
      <c r="E46" s="124" t="s">
        <v>35</v>
      </c>
      <c r="F46" s="124" t="s">
        <v>762</v>
      </c>
      <c r="G46" s="126">
        <v>1</v>
      </c>
      <c r="H46" s="124"/>
      <c r="I46" s="124"/>
      <c r="J46" s="26">
        <v>15090300</v>
      </c>
      <c r="K46" s="127"/>
      <c r="L46" s="115"/>
      <c r="M46" s="128"/>
      <c r="N46" s="115"/>
      <c r="O46" s="115"/>
      <c r="P46" s="116"/>
      <c r="Q46" s="29">
        <v>2025</v>
      </c>
      <c r="R46" s="28" t="s">
        <v>96</v>
      </c>
      <c r="S46" s="117" t="s">
        <v>720</v>
      </c>
      <c r="T46" s="10"/>
      <c r="U46" s="9"/>
      <c r="V46" s="4"/>
      <c r="W46" s="118" t="s">
        <v>43</v>
      </c>
      <c r="X46" s="119">
        <f>0.9*$I46</f>
        <v>0</v>
      </c>
      <c r="Y46" s="119">
        <f>1.5*J46</f>
        <v>22635450</v>
      </c>
      <c r="Z46" s="118" t="s">
        <v>44</v>
      </c>
      <c r="AA46" s="120">
        <f>0.9*K46</f>
        <v>0</v>
      </c>
      <c r="AB46" s="120">
        <f>1.3*K46</f>
        <v>0</v>
      </c>
      <c r="AC46" s="118" t="s">
        <v>44</v>
      </c>
      <c r="AD46" s="120" t="s">
        <v>45</v>
      </c>
      <c r="AE46" s="120" t="s">
        <v>46</v>
      </c>
      <c r="AF46" s="120" t="s">
        <v>47</v>
      </c>
      <c r="AG46" s="118" t="s">
        <v>48</v>
      </c>
    </row>
    <row r="47" spans="1:33" ht="57" customHeight="1">
      <c r="A47" s="121">
        <v>283</v>
      </c>
      <c r="B47" s="122">
        <f t="shared" si="4"/>
        <v>2</v>
      </c>
      <c r="C47" s="123" t="s">
        <v>652</v>
      </c>
      <c r="D47" s="124" t="str">
        <f t="shared" si="2"/>
        <v xml:space="preserve">            Fire Station</v>
      </c>
      <c r="E47" s="124" t="s">
        <v>35</v>
      </c>
      <c r="F47" s="124" t="s">
        <v>763</v>
      </c>
      <c r="G47" s="126">
        <v>1</v>
      </c>
      <c r="H47" s="124"/>
      <c r="I47" s="124"/>
      <c r="J47" s="26">
        <f>0.7*20776500</f>
        <v>14543550</v>
      </c>
      <c r="K47" s="127"/>
      <c r="L47" s="115"/>
      <c r="M47" s="128"/>
      <c r="N47" s="115"/>
      <c r="O47" s="115"/>
      <c r="P47" s="116"/>
      <c r="Q47" s="29">
        <v>2025</v>
      </c>
      <c r="R47" s="28" t="s">
        <v>96</v>
      </c>
      <c r="S47" s="117" t="s">
        <v>635</v>
      </c>
      <c r="T47" s="10"/>
      <c r="U47" s="9"/>
      <c r="V47" s="4"/>
      <c r="W47" s="118" t="s">
        <v>43</v>
      </c>
      <c r="X47" s="119">
        <f>0.9*$I47</f>
        <v>0</v>
      </c>
      <c r="Y47" s="119">
        <f>1.5*J47</f>
        <v>21815325</v>
      </c>
      <c r="Z47" s="118" t="s">
        <v>44</v>
      </c>
      <c r="AA47" s="120">
        <f>0.9*K47</f>
        <v>0</v>
      </c>
      <c r="AB47" s="120">
        <f>1.3*K47</f>
        <v>0</v>
      </c>
      <c r="AC47" s="118" t="s">
        <v>44</v>
      </c>
      <c r="AD47" s="120" t="s">
        <v>45</v>
      </c>
      <c r="AE47" s="120" t="s">
        <v>46</v>
      </c>
      <c r="AF47" s="120" t="s">
        <v>47</v>
      </c>
      <c r="AG47" s="118" t="s">
        <v>48</v>
      </c>
    </row>
    <row r="48" spans="1:33" ht="57" customHeight="1">
      <c r="A48" s="121">
        <v>284</v>
      </c>
      <c r="B48" s="122">
        <f t="shared" si="4"/>
        <v>2</v>
      </c>
      <c r="C48" s="123" t="s">
        <v>654</v>
      </c>
      <c r="D48" s="124" t="str">
        <f t="shared" si="2"/>
        <v xml:space="preserve">            Security Building</v>
      </c>
      <c r="E48" s="124" t="s">
        <v>35</v>
      </c>
      <c r="F48" s="124"/>
      <c r="G48" s="126"/>
      <c r="H48" s="124"/>
      <c r="I48" s="124"/>
      <c r="J48" s="26"/>
      <c r="K48" s="127">
        <f>0.7*2548*(3.2808^2)</f>
        <v>19198.043714304</v>
      </c>
      <c r="L48" s="115" t="s">
        <v>102</v>
      </c>
      <c r="M48" s="128" t="s">
        <v>764</v>
      </c>
      <c r="N48" s="115">
        <v>1</v>
      </c>
      <c r="O48" s="115" t="s">
        <v>104</v>
      </c>
      <c r="P48" s="116">
        <v>1</v>
      </c>
      <c r="Q48" s="29">
        <v>2025</v>
      </c>
      <c r="R48" s="28" t="s">
        <v>96</v>
      </c>
      <c r="S48" s="117" t="s">
        <v>635</v>
      </c>
      <c r="T48" s="10"/>
      <c r="U48" s="9"/>
      <c r="V48" s="4"/>
      <c r="W48" s="118" t="s">
        <v>43</v>
      </c>
      <c r="X48" s="119">
        <f>0.9*$I48</f>
        <v>0</v>
      </c>
      <c r="Y48" s="119">
        <f>1.5*J48</f>
        <v>0</v>
      </c>
      <c r="Z48" s="118" t="s">
        <v>44</v>
      </c>
      <c r="AA48" s="120">
        <f>0.9*K48</f>
        <v>17278.2393428736</v>
      </c>
      <c r="AB48" s="120">
        <f>1.3*K48</f>
        <v>24957.456828595201</v>
      </c>
      <c r="AC48" s="118" t="s">
        <v>44</v>
      </c>
      <c r="AD48" s="120" t="s">
        <v>45</v>
      </c>
      <c r="AE48" s="120" t="s">
        <v>46</v>
      </c>
      <c r="AF48" s="120" t="s">
        <v>47</v>
      </c>
      <c r="AG48" s="118" t="s">
        <v>48</v>
      </c>
    </row>
    <row r="49" spans="1:33" ht="45.75" customHeight="1">
      <c r="A49" s="121">
        <v>285</v>
      </c>
      <c r="B49" s="122">
        <f t="shared" si="4"/>
        <v>2</v>
      </c>
      <c r="C49" s="123" t="s">
        <v>656</v>
      </c>
      <c r="D49" s="124" t="str">
        <f t="shared" si="2"/>
        <v xml:space="preserve">            Switchyard</v>
      </c>
      <c r="E49" s="124" t="s">
        <v>35</v>
      </c>
      <c r="F49" s="124"/>
      <c r="G49" s="126"/>
      <c r="H49" s="124"/>
      <c r="I49" s="124"/>
      <c r="J49" s="26"/>
      <c r="K49" s="127">
        <f>0.7*221450153/N49</f>
        <v>516717.02366666665</v>
      </c>
      <c r="L49" s="115" t="s">
        <v>50</v>
      </c>
      <c r="M49" s="128" t="s">
        <v>707</v>
      </c>
      <c r="N49" s="115">
        <v>300</v>
      </c>
      <c r="O49" s="115" t="s">
        <v>52</v>
      </c>
      <c r="P49" s="129">
        <v>0.99680000000000002</v>
      </c>
      <c r="Q49" s="29">
        <v>2025</v>
      </c>
      <c r="R49" s="28" t="s">
        <v>96</v>
      </c>
      <c r="S49" s="117" t="s">
        <v>658</v>
      </c>
      <c r="T49" s="10"/>
      <c r="U49" s="9"/>
      <c r="V49" s="4"/>
      <c r="W49" s="118" t="s">
        <v>43</v>
      </c>
      <c r="X49" s="119">
        <f>0.9*$I49</f>
        <v>0</v>
      </c>
      <c r="Y49" s="119">
        <f>1.5*J49</f>
        <v>0</v>
      </c>
      <c r="Z49" s="118" t="s">
        <v>44</v>
      </c>
      <c r="AA49" s="120">
        <f>0.9*K49</f>
        <v>465045.32130000001</v>
      </c>
      <c r="AB49" s="120">
        <f>1.3*K49</f>
        <v>671732.13076666661</v>
      </c>
      <c r="AC49" s="118" t="s">
        <v>44</v>
      </c>
      <c r="AD49" s="120" t="s">
        <v>45</v>
      </c>
      <c r="AE49" s="120" t="s">
        <v>46</v>
      </c>
      <c r="AF49" s="120" t="s">
        <v>47</v>
      </c>
      <c r="AG49" s="118" t="s">
        <v>48</v>
      </c>
    </row>
    <row r="50" spans="1:33" ht="13.5" customHeight="1">
      <c r="A50" s="15">
        <v>286</v>
      </c>
      <c r="B50" s="18">
        <f t="shared" si="4"/>
        <v>2</v>
      </c>
      <c r="C50" s="32" t="s">
        <v>659</v>
      </c>
      <c r="D50" s="19" t="str">
        <f t="shared" si="2"/>
        <v xml:space="preserve">            Onsite Transport Equipment</v>
      </c>
      <c r="E50" s="19"/>
      <c r="F50" s="19"/>
      <c r="G50" s="99"/>
      <c r="H50" s="19"/>
      <c r="I50" s="19"/>
      <c r="J50" s="33"/>
      <c r="K50" s="26"/>
      <c r="L50" s="4"/>
      <c r="M50" s="27"/>
      <c r="N50" s="4"/>
      <c r="O50" s="4"/>
      <c r="P50" s="29"/>
      <c r="Q50" s="29"/>
      <c r="R50" s="4"/>
      <c r="S50" s="32"/>
      <c r="T50" s="32"/>
      <c r="U50" s="4"/>
      <c r="V50" s="4"/>
      <c r="W50" s="21"/>
      <c r="X50" s="30"/>
      <c r="Y50" s="30"/>
      <c r="Z50" s="21"/>
      <c r="AA50" s="22"/>
      <c r="AB50" s="22"/>
      <c r="AC50" s="21"/>
      <c r="AD50" s="22"/>
      <c r="AE50" s="22"/>
      <c r="AF50" s="22"/>
      <c r="AG50" s="21"/>
    </row>
    <row r="51" spans="1:33" ht="34.5" customHeight="1">
      <c r="A51" s="15">
        <v>286.10000000000002</v>
      </c>
      <c r="B51" s="18">
        <f t="shared" si="4"/>
        <v>3</v>
      </c>
      <c r="C51" s="32" t="s">
        <v>660</v>
      </c>
      <c r="D51" s="19" t="str">
        <f t="shared" si="2"/>
        <v xml:space="preserve">                  Local Reactor Transport Vehicles</v>
      </c>
      <c r="E51" s="19" t="s">
        <v>35</v>
      </c>
      <c r="F51" s="19" t="s">
        <v>765</v>
      </c>
      <c r="G51" s="99">
        <v>1</v>
      </c>
      <c r="H51" s="19"/>
      <c r="I51" s="19"/>
      <c r="J51" s="33">
        <v>938000</v>
      </c>
      <c r="K51" s="26"/>
      <c r="L51" s="4"/>
      <c r="M51" s="27"/>
      <c r="N51" s="4"/>
      <c r="O51" s="4"/>
      <c r="P51" s="29"/>
      <c r="Q51" s="29">
        <v>2023</v>
      </c>
      <c r="R51" s="4" t="s">
        <v>163</v>
      </c>
      <c r="S51" s="32" t="s">
        <v>662</v>
      </c>
      <c r="T51" s="32" t="s">
        <v>663</v>
      </c>
      <c r="U51" s="4"/>
      <c r="V51" s="4"/>
      <c r="W51" s="21" t="s">
        <v>43</v>
      </c>
      <c r="X51" s="30">
        <f>0.9*$J51</f>
        <v>844200</v>
      </c>
      <c r="Y51" s="30">
        <f>1.5*J51</f>
        <v>1407000</v>
      </c>
      <c r="Z51" s="21" t="s">
        <v>44</v>
      </c>
      <c r="AA51" s="22">
        <f>0.9*K51</f>
        <v>0</v>
      </c>
      <c r="AB51" s="22">
        <f>1.3*K51</f>
        <v>0</v>
      </c>
      <c r="AC51" s="21" t="s">
        <v>44</v>
      </c>
      <c r="AD51" s="22" t="s">
        <v>45</v>
      </c>
      <c r="AE51" s="22" t="s">
        <v>46</v>
      </c>
      <c r="AF51" s="22" t="s">
        <v>47</v>
      </c>
      <c r="AG51" s="21" t="s">
        <v>48</v>
      </c>
    </row>
    <row r="52" spans="1:33" ht="23.25" customHeight="1">
      <c r="A52" s="15">
        <v>286.2</v>
      </c>
      <c r="B52" s="18">
        <f t="shared" si="4"/>
        <v>3</v>
      </c>
      <c r="C52" s="32" t="s">
        <v>664</v>
      </c>
      <c r="D52" s="19" t="str">
        <f t="shared" si="2"/>
        <v xml:space="preserve">                  Utility Vehicles</v>
      </c>
      <c r="E52" s="19" t="s">
        <v>35</v>
      </c>
      <c r="F52" s="19" t="s">
        <v>766</v>
      </c>
      <c r="G52" s="99">
        <v>1</v>
      </c>
      <c r="H52" s="19"/>
      <c r="I52" s="19"/>
      <c r="J52" s="33">
        <v>50000</v>
      </c>
      <c r="K52" s="26"/>
      <c r="L52" s="4"/>
      <c r="M52" s="27"/>
      <c r="N52" s="4"/>
      <c r="O52" s="4"/>
      <c r="P52" s="29"/>
      <c r="Q52" s="29">
        <v>2024</v>
      </c>
      <c r="R52" s="4" t="s">
        <v>163</v>
      </c>
      <c r="S52" s="32" t="s">
        <v>666</v>
      </c>
      <c r="T52" s="32"/>
      <c r="U52" s="4"/>
      <c r="V52" s="4"/>
      <c r="W52" s="21" t="s">
        <v>43</v>
      </c>
      <c r="X52" s="30">
        <f>0.9*$J52</f>
        <v>45000</v>
      </c>
      <c r="Y52" s="30">
        <f>1.5*J52</f>
        <v>75000</v>
      </c>
      <c r="Z52" s="21" t="s">
        <v>44</v>
      </c>
      <c r="AA52" s="22">
        <f>0.9*K52</f>
        <v>0</v>
      </c>
      <c r="AB52" s="22">
        <f>1.3*K52</f>
        <v>0</v>
      </c>
      <c r="AC52" s="21" t="s">
        <v>44</v>
      </c>
      <c r="AD52" s="22" t="s">
        <v>45</v>
      </c>
      <c r="AE52" s="22" t="s">
        <v>46</v>
      </c>
      <c r="AF52" s="22" t="s">
        <v>47</v>
      </c>
      <c r="AG52" s="21" t="s">
        <v>48</v>
      </c>
    </row>
    <row r="53" spans="1:33" ht="13.5" customHeight="1">
      <c r="A53" s="15">
        <v>287</v>
      </c>
      <c r="B53" s="18">
        <f t="shared" si="4"/>
        <v>2</v>
      </c>
      <c r="C53" s="32" t="s">
        <v>767</v>
      </c>
      <c r="D53" s="19" t="str">
        <f t="shared" si="2"/>
        <v xml:space="preserve">            Offsite Transport Equipment</v>
      </c>
      <c r="E53" s="19"/>
      <c r="F53" s="19"/>
      <c r="G53" s="99"/>
      <c r="H53" s="19"/>
      <c r="I53" s="19"/>
      <c r="J53" s="33"/>
      <c r="K53" s="26"/>
      <c r="L53" s="4"/>
      <c r="M53" s="27"/>
      <c r="N53" s="4"/>
      <c r="O53" s="4"/>
      <c r="P53" s="29"/>
      <c r="Q53" s="29"/>
      <c r="R53" s="4"/>
      <c r="S53" s="32"/>
      <c r="T53" s="32"/>
      <c r="U53" s="166"/>
      <c r="V53" s="4"/>
      <c r="W53" s="21"/>
      <c r="X53" s="30"/>
      <c r="Y53" s="30"/>
      <c r="Z53" s="21"/>
      <c r="AA53" s="22"/>
      <c r="AB53" s="22"/>
      <c r="AC53" s="21"/>
      <c r="AD53" s="22"/>
      <c r="AE53" s="22"/>
      <c r="AF53" s="22"/>
      <c r="AG53" s="21"/>
    </row>
    <row r="54" spans="1:33" ht="23.25" customHeight="1">
      <c r="A54" s="15">
        <v>287.10000000000002</v>
      </c>
      <c r="B54" s="18">
        <f t="shared" si="4"/>
        <v>3</v>
      </c>
      <c r="C54" s="32" t="s">
        <v>768</v>
      </c>
      <c r="D54" s="19" t="str">
        <f t="shared" ref="D54:D85" si="5">REPT("   ", B54*2) &amp; C54</f>
        <v xml:space="preserve">                  Reactor Transport Vehicles</v>
      </c>
      <c r="E54" s="19" t="s">
        <v>35</v>
      </c>
      <c r="F54" s="19" t="s">
        <v>769</v>
      </c>
      <c r="G54" s="99">
        <v>1</v>
      </c>
      <c r="H54" s="19"/>
      <c r="I54" s="19"/>
      <c r="J54" s="33">
        <v>1000000</v>
      </c>
      <c r="K54" s="26"/>
      <c r="L54" s="4"/>
      <c r="M54" s="27"/>
      <c r="N54" s="4"/>
      <c r="O54" s="4"/>
      <c r="P54" s="29"/>
      <c r="Q54" s="29">
        <v>2024</v>
      </c>
      <c r="R54" s="4" t="s">
        <v>163</v>
      </c>
      <c r="S54" s="32" t="s">
        <v>666</v>
      </c>
      <c r="T54" s="32"/>
      <c r="U54" s="166"/>
      <c r="V54" s="4"/>
      <c r="W54" s="21" t="s">
        <v>43</v>
      </c>
      <c r="X54" s="30">
        <f>0.9*$J54</f>
        <v>900000</v>
      </c>
      <c r="Y54" s="30">
        <f>1.5*J54</f>
        <v>1500000</v>
      </c>
      <c r="Z54" s="21" t="s">
        <v>44</v>
      </c>
      <c r="AA54" s="22">
        <f>0.9*K54</f>
        <v>0</v>
      </c>
      <c r="AB54" s="22">
        <f>1.3*K54</f>
        <v>0</v>
      </c>
      <c r="AC54" s="21" t="s">
        <v>44</v>
      </c>
      <c r="AD54" s="22" t="s">
        <v>45</v>
      </c>
      <c r="AE54" s="22" t="s">
        <v>46</v>
      </c>
      <c r="AF54" s="22" t="s">
        <v>47</v>
      </c>
      <c r="AG54" s="21" t="s">
        <v>48</v>
      </c>
    </row>
    <row r="55" spans="1:33" ht="23.25" customHeight="1">
      <c r="A55" s="15">
        <v>287.2</v>
      </c>
      <c r="B55" s="18">
        <f t="shared" si="4"/>
        <v>3</v>
      </c>
      <c r="C55" s="32" t="s">
        <v>770</v>
      </c>
      <c r="D55" s="19" t="str">
        <f t="shared" si="5"/>
        <v xml:space="preserve">                  Helium Transport Trucks</v>
      </c>
      <c r="E55" s="19" t="s">
        <v>35</v>
      </c>
      <c r="F55" s="19" t="s">
        <v>771</v>
      </c>
      <c r="G55" s="99">
        <v>1</v>
      </c>
      <c r="H55" s="19"/>
      <c r="I55" s="19"/>
      <c r="J55" s="33">
        <v>500000</v>
      </c>
      <c r="K55" s="26"/>
      <c r="L55" s="4"/>
      <c r="M55" s="27"/>
      <c r="N55" s="4"/>
      <c r="O55" s="4"/>
      <c r="P55" s="29"/>
      <c r="Q55" s="29">
        <v>2024</v>
      </c>
      <c r="R55" s="4" t="s">
        <v>163</v>
      </c>
      <c r="S55" s="32" t="s">
        <v>666</v>
      </c>
      <c r="T55" s="32"/>
      <c r="U55" s="166"/>
      <c r="V55" s="4"/>
      <c r="W55" s="21" t="s">
        <v>43</v>
      </c>
      <c r="X55" s="30">
        <f>0.9*$J55</f>
        <v>450000</v>
      </c>
      <c r="Y55" s="30">
        <f>1.5*J55</f>
        <v>750000</v>
      </c>
      <c r="Z55" s="21" t="s">
        <v>44</v>
      </c>
      <c r="AA55" s="22">
        <f>0.9*K55</f>
        <v>0</v>
      </c>
      <c r="AB55" s="22">
        <f>1.3*K55</f>
        <v>0</v>
      </c>
      <c r="AC55" s="21" t="s">
        <v>44</v>
      </c>
      <c r="AD55" s="22" t="s">
        <v>45</v>
      </c>
      <c r="AE55" s="22" t="s">
        <v>46</v>
      </c>
      <c r="AF55" s="22" t="s">
        <v>47</v>
      </c>
      <c r="AG55" s="21" t="s">
        <v>48</v>
      </c>
    </row>
    <row r="56" spans="1:33" ht="23.25" customHeight="1">
      <c r="A56" s="15">
        <v>287.3</v>
      </c>
      <c r="B56" s="18">
        <f t="shared" si="4"/>
        <v>3</v>
      </c>
      <c r="C56" s="32" t="s">
        <v>772</v>
      </c>
      <c r="D56" s="19" t="str">
        <f t="shared" si="5"/>
        <v xml:space="preserve">                  Water Tanker Trucks</v>
      </c>
      <c r="E56" s="19" t="s">
        <v>35</v>
      </c>
      <c r="F56" s="19" t="s">
        <v>773</v>
      </c>
      <c r="G56" s="99">
        <v>1</v>
      </c>
      <c r="H56" s="19"/>
      <c r="I56" s="19"/>
      <c r="J56" s="33">
        <v>300000</v>
      </c>
      <c r="K56" s="26"/>
      <c r="L56" s="4"/>
      <c r="M56" s="27"/>
      <c r="N56" s="4"/>
      <c r="O56" s="4"/>
      <c r="P56" s="29"/>
      <c r="Q56" s="29">
        <v>2024</v>
      </c>
      <c r="R56" s="4" t="s">
        <v>163</v>
      </c>
      <c r="S56" s="32" t="s">
        <v>666</v>
      </c>
      <c r="T56" s="32"/>
      <c r="U56" s="166"/>
      <c r="V56" s="4"/>
      <c r="W56" s="21" t="s">
        <v>43</v>
      </c>
      <c r="X56" s="30">
        <f>0.9*$J56</f>
        <v>270000</v>
      </c>
      <c r="Y56" s="30">
        <f>1.5*J56</f>
        <v>450000</v>
      </c>
      <c r="Z56" s="21" t="s">
        <v>44</v>
      </c>
      <c r="AA56" s="22">
        <f>0.9*K56</f>
        <v>0</v>
      </c>
      <c r="AB56" s="22">
        <f>1.3*K56</f>
        <v>0</v>
      </c>
      <c r="AC56" s="21" t="s">
        <v>44</v>
      </c>
      <c r="AD56" s="22" t="s">
        <v>45</v>
      </c>
      <c r="AE56" s="22" t="s">
        <v>46</v>
      </c>
      <c r="AF56" s="22" t="s">
        <v>47</v>
      </c>
      <c r="AG56" s="21" t="s">
        <v>48</v>
      </c>
    </row>
    <row r="57" spans="1:33" ht="23.25" customHeight="1">
      <c r="A57" s="15">
        <v>287.39999999999998</v>
      </c>
      <c r="B57" s="18">
        <f t="shared" si="4"/>
        <v>3</v>
      </c>
      <c r="C57" s="32" t="s">
        <v>774</v>
      </c>
      <c r="D57" s="19" t="str">
        <f t="shared" si="5"/>
        <v xml:space="preserve">                  Maintenance Trucks</v>
      </c>
      <c r="E57" s="19" t="s">
        <v>35</v>
      </c>
      <c r="F57" s="19" t="s">
        <v>775</v>
      </c>
      <c r="G57" s="99">
        <v>1</v>
      </c>
      <c r="H57" s="19"/>
      <c r="I57" s="19"/>
      <c r="J57" s="33">
        <v>500000</v>
      </c>
      <c r="K57" s="26"/>
      <c r="L57" s="4"/>
      <c r="M57" s="27"/>
      <c r="N57" s="4"/>
      <c r="O57" s="4"/>
      <c r="P57" s="29"/>
      <c r="Q57" s="29">
        <v>2024</v>
      </c>
      <c r="R57" s="4" t="s">
        <v>163</v>
      </c>
      <c r="S57" s="32" t="s">
        <v>666</v>
      </c>
      <c r="T57" s="32"/>
      <c r="U57" s="166"/>
      <c r="V57" s="4"/>
      <c r="W57" s="21" t="s">
        <v>43</v>
      </c>
      <c r="X57" s="30">
        <f>0.9*$J57</f>
        <v>450000</v>
      </c>
      <c r="Y57" s="30">
        <f>1.5*J57</f>
        <v>750000</v>
      </c>
      <c r="Z57" s="21" t="s">
        <v>44</v>
      </c>
      <c r="AA57" s="22">
        <f>0.9*K57</f>
        <v>0</v>
      </c>
      <c r="AB57" s="22">
        <f>1.3*K57</f>
        <v>0</v>
      </c>
      <c r="AC57" s="21" t="s">
        <v>44</v>
      </c>
      <c r="AD57" s="22" t="s">
        <v>45</v>
      </c>
      <c r="AE57" s="22" t="s">
        <v>46</v>
      </c>
      <c r="AF57" s="22" t="s">
        <v>47</v>
      </c>
      <c r="AG57" s="21" t="s">
        <v>48</v>
      </c>
    </row>
    <row r="58" spans="1:33" ht="13.5" customHeight="1">
      <c r="A58" s="15">
        <v>287.5</v>
      </c>
      <c r="B58" s="18">
        <f t="shared" si="4"/>
        <v>3</v>
      </c>
      <c r="C58" s="32" t="s">
        <v>776</v>
      </c>
      <c r="D58" s="19" t="str">
        <f t="shared" si="5"/>
        <v xml:space="preserve">                  Air Transport Equipment</v>
      </c>
      <c r="E58" s="19"/>
      <c r="F58" s="19"/>
      <c r="G58" s="99"/>
      <c r="H58" s="19"/>
      <c r="I58" s="19"/>
      <c r="J58" s="33"/>
      <c r="K58" s="26"/>
      <c r="L58" s="4"/>
      <c r="M58" s="27"/>
      <c r="N58" s="4"/>
      <c r="O58" s="4"/>
      <c r="P58" s="29"/>
      <c r="Q58" s="29"/>
      <c r="R58" s="4"/>
      <c r="S58" s="32"/>
      <c r="T58" s="32"/>
      <c r="U58" s="166"/>
      <c r="V58" s="4"/>
      <c r="W58" s="21"/>
      <c r="X58" s="30"/>
      <c r="Y58" s="30"/>
      <c r="Z58" s="21"/>
      <c r="AA58" s="22"/>
      <c r="AB58" s="22"/>
      <c r="AC58" s="21"/>
      <c r="AD58" s="22"/>
      <c r="AE58" s="22"/>
      <c r="AF58" s="22"/>
      <c r="AG58" s="21"/>
    </row>
    <row r="59" spans="1:33" ht="13.5" customHeight="1">
      <c r="A59" s="15">
        <v>287.51</v>
      </c>
      <c r="B59" s="18">
        <f t="shared" si="4"/>
        <v>4</v>
      </c>
      <c r="C59" s="32" t="s">
        <v>777</v>
      </c>
      <c r="D59" s="19" t="str">
        <f t="shared" si="5"/>
        <v xml:space="preserve">                        Heavy Lift Helicopters</v>
      </c>
      <c r="E59" s="19" t="s">
        <v>35</v>
      </c>
      <c r="F59" s="19" t="s">
        <v>778</v>
      </c>
      <c r="G59" s="99">
        <v>1</v>
      </c>
      <c r="H59" s="19"/>
      <c r="I59" s="19"/>
      <c r="J59" s="33">
        <v>50000000</v>
      </c>
      <c r="K59" s="26"/>
      <c r="L59" s="4"/>
      <c r="M59" s="27"/>
      <c r="N59" s="4"/>
      <c r="O59" s="4"/>
      <c r="P59" s="29"/>
      <c r="Q59" s="29">
        <v>2024</v>
      </c>
      <c r="R59" s="4" t="s">
        <v>163</v>
      </c>
      <c r="S59" s="32" t="s">
        <v>738</v>
      </c>
      <c r="T59" s="32"/>
      <c r="U59" s="166"/>
      <c r="V59" s="4"/>
      <c r="W59" s="21" t="s">
        <v>43</v>
      </c>
      <c r="X59" s="30">
        <f>0.9*$J59</f>
        <v>45000000</v>
      </c>
      <c r="Y59" s="30">
        <f>1.5*J59</f>
        <v>75000000</v>
      </c>
      <c r="Z59" s="21" t="s">
        <v>44</v>
      </c>
      <c r="AA59" s="22">
        <f>0.9*K59</f>
        <v>0</v>
      </c>
      <c r="AB59" s="22">
        <f>1.3*K59</f>
        <v>0</v>
      </c>
      <c r="AC59" s="21" t="s">
        <v>44</v>
      </c>
      <c r="AD59" s="22" t="s">
        <v>45</v>
      </c>
      <c r="AE59" s="22" t="s">
        <v>46</v>
      </c>
      <c r="AF59" s="22" t="s">
        <v>47</v>
      </c>
      <c r="AG59" s="21" t="s">
        <v>48</v>
      </c>
    </row>
    <row r="60" spans="1:33" ht="13.5" customHeight="1">
      <c r="A60" s="15">
        <v>287.52</v>
      </c>
      <c r="B60" s="18">
        <f t="shared" si="4"/>
        <v>4</v>
      </c>
      <c r="C60" s="32" t="s">
        <v>779</v>
      </c>
      <c r="D60" s="19" t="str">
        <f t="shared" si="5"/>
        <v xml:space="preserve">                        Aircraft Maintenance Equipment</v>
      </c>
      <c r="E60" s="19" t="s">
        <v>35</v>
      </c>
      <c r="F60" s="19" t="s">
        <v>623</v>
      </c>
      <c r="G60" s="99">
        <v>1</v>
      </c>
      <c r="H60" s="19"/>
      <c r="I60" s="19"/>
      <c r="J60" s="33">
        <v>1000000</v>
      </c>
      <c r="K60" s="26"/>
      <c r="L60" s="4"/>
      <c r="M60" s="27"/>
      <c r="N60" s="4"/>
      <c r="O60" s="4"/>
      <c r="P60" s="29"/>
      <c r="Q60" s="29">
        <v>2024</v>
      </c>
      <c r="R60" s="4" t="s">
        <v>163</v>
      </c>
      <c r="S60" s="32" t="s">
        <v>738</v>
      </c>
      <c r="T60" s="32"/>
      <c r="U60" s="166"/>
      <c r="V60" s="4"/>
      <c r="W60" s="21" t="s">
        <v>43</v>
      </c>
      <c r="X60" s="30">
        <f>0.9*$J60</f>
        <v>900000</v>
      </c>
      <c r="Y60" s="30">
        <f>1.5*J60</f>
        <v>1500000</v>
      </c>
      <c r="Z60" s="21" t="s">
        <v>44</v>
      </c>
      <c r="AA60" s="22">
        <f>0.9*K60</f>
        <v>0</v>
      </c>
      <c r="AB60" s="22">
        <f>1.3*K60</f>
        <v>0</v>
      </c>
      <c r="AC60" s="21" t="s">
        <v>44</v>
      </c>
      <c r="AD60" s="22" t="s">
        <v>45</v>
      </c>
      <c r="AE60" s="22" t="s">
        <v>46</v>
      </c>
      <c r="AF60" s="22" t="s">
        <v>47</v>
      </c>
      <c r="AG60" s="21" t="s">
        <v>48</v>
      </c>
    </row>
    <row r="61" spans="1:33" ht="13.5" customHeight="1">
      <c r="A61" s="15">
        <v>288</v>
      </c>
      <c r="B61" s="18">
        <f t="shared" si="4"/>
        <v>2</v>
      </c>
      <c r="C61" s="32" t="s">
        <v>667</v>
      </c>
      <c r="D61" s="19" t="str">
        <f t="shared" si="5"/>
        <v xml:space="preserve">            Dispered Infrastructure</v>
      </c>
      <c r="E61" s="19"/>
      <c r="F61" s="19"/>
      <c r="G61" s="99"/>
      <c r="H61" s="19"/>
      <c r="I61" s="19"/>
      <c r="J61" s="141"/>
      <c r="K61" s="26"/>
      <c r="L61" s="142"/>
      <c r="M61" s="27"/>
      <c r="N61" s="4"/>
      <c r="O61" s="4"/>
      <c r="P61" s="29"/>
      <c r="Q61" s="29"/>
      <c r="R61" s="4"/>
      <c r="S61" s="143" t="s">
        <v>668</v>
      </c>
      <c r="T61" s="32"/>
      <c r="U61" s="144"/>
      <c r="V61" s="145"/>
      <c r="W61" s="21"/>
      <c r="X61" s="30"/>
      <c r="Y61" s="30"/>
      <c r="Z61" s="21"/>
      <c r="AA61" s="22"/>
      <c r="AB61" s="22"/>
      <c r="AC61" s="21"/>
      <c r="AD61" s="22"/>
      <c r="AE61" s="22"/>
      <c r="AF61" s="22"/>
      <c r="AG61" s="21"/>
    </row>
    <row r="62" spans="1:33" ht="45.75" customHeight="1">
      <c r="A62" s="15">
        <v>288.10000000000002</v>
      </c>
      <c r="B62" s="18">
        <v>3</v>
      </c>
      <c r="C62" s="32" t="s">
        <v>669</v>
      </c>
      <c r="D62" s="19" t="str">
        <f t="shared" si="5"/>
        <v xml:space="preserve">                  Communication</v>
      </c>
      <c r="E62" s="19" t="s">
        <v>35</v>
      </c>
      <c r="F62" s="19"/>
      <c r="G62" s="99"/>
      <c r="H62" s="19"/>
      <c r="I62" s="19"/>
      <c r="J62" s="33"/>
      <c r="K62" s="146">
        <f>12575250/N62</f>
        <v>11774.578651685393</v>
      </c>
      <c r="L62" s="4" t="s">
        <v>36</v>
      </c>
      <c r="M62" s="147" t="s">
        <v>708</v>
      </c>
      <c r="N62" s="4">
        <v>1068</v>
      </c>
      <c r="O62" s="4" t="s">
        <v>38</v>
      </c>
      <c r="P62" s="29"/>
      <c r="Q62" s="29">
        <v>2025</v>
      </c>
      <c r="R62" s="4" t="s">
        <v>163</v>
      </c>
      <c r="S62" s="38" t="s">
        <v>671</v>
      </c>
      <c r="T62" s="32"/>
      <c r="U62" s="144"/>
      <c r="V62" s="145"/>
      <c r="W62" s="21" t="s">
        <v>43</v>
      </c>
      <c r="X62" s="30">
        <f>0.9*$J62</f>
        <v>0</v>
      </c>
      <c r="Y62" s="30">
        <f>1.5*J62</f>
        <v>0</v>
      </c>
      <c r="Z62" s="21" t="s">
        <v>44</v>
      </c>
      <c r="AA62" s="22">
        <f>0.9*K62</f>
        <v>10597.120786516854</v>
      </c>
      <c r="AB62" s="22">
        <f>1.3*K62</f>
        <v>15306.952247191011</v>
      </c>
      <c r="AC62" s="21" t="s">
        <v>44</v>
      </c>
      <c r="AD62" s="22" t="s">
        <v>45</v>
      </c>
      <c r="AE62" s="22" t="s">
        <v>46</v>
      </c>
      <c r="AF62" s="22" t="s">
        <v>47</v>
      </c>
      <c r="AG62" s="21" t="s">
        <v>48</v>
      </c>
    </row>
    <row r="63" spans="1:33" ht="34.5" customHeight="1">
      <c r="A63" s="15">
        <v>288.2</v>
      </c>
      <c r="B63" s="18">
        <v>3</v>
      </c>
      <c r="C63" s="32" t="s">
        <v>672</v>
      </c>
      <c r="D63" s="19" t="str">
        <f t="shared" si="5"/>
        <v xml:space="preserve">                  Security Cameras</v>
      </c>
      <c r="E63" s="19" t="s">
        <v>35</v>
      </c>
      <c r="F63" s="19" t="s">
        <v>780</v>
      </c>
      <c r="G63" s="99">
        <v>1</v>
      </c>
      <c r="H63" s="19"/>
      <c r="I63" s="19"/>
      <c r="J63" s="148">
        <v>28431</v>
      </c>
      <c r="K63" s="26"/>
      <c r="L63" s="4"/>
      <c r="M63" s="27"/>
      <c r="N63" s="4"/>
      <c r="O63" s="4"/>
      <c r="P63" s="29"/>
      <c r="Q63" s="29">
        <v>2025</v>
      </c>
      <c r="R63" s="4" t="s">
        <v>163</v>
      </c>
      <c r="S63" s="38" t="s">
        <v>674</v>
      </c>
      <c r="T63" s="32"/>
      <c r="U63" s="144"/>
      <c r="V63" s="145"/>
      <c r="W63" s="21" t="s">
        <v>43</v>
      </c>
      <c r="X63" s="30">
        <f>0.9*$J63</f>
        <v>25587.9</v>
      </c>
      <c r="Y63" s="30">
        <f>1.5*J63</f>
        <v>42646.5</v>
      </c>
      <c r="Z63" s="21" t="s">
        <v>44</v>
      </c>
      <c r="AA63" s="22">
        <f>0.9*K63</f>
        <v>0</v>
      </c>
      <c r="AB63" s="22">
        <f>1.3*K63</f>
        <v>0</v>
      </c>
      <c r="AC63" s="21" t="s">
        <v>44</v>
      </c>
      <c r="AD63" s="22" t="s">
        <v>45</v>
      </c>
      <c r="AE63" s="22" t="s">
        <v>46</v>
      </c>
      <c r="AF63" s="22" t="s">
        <v>47</v>
      </c>
      <c r="AG63" s="21" t="s">
        <v>48</v>
      </c>
    </row>
    <row r="64" spans="1:33" ht="34.5" customHeight="1">
      <c r="A64" s="15">
        <v>288.3</v>
      </c>
      <c r="B64" s="18">
        <v>3</v>
      </c>
      <c r="C64" s="32" t="s">
        <v>675</v>
      </c>
      <c r="D64" s="19" t="str">
        <f t="shared" si="5"/>
        <v xml:space="preserve">                  Motion Detectors</v>
      </c>
      <c r="E64" s="19" t="s">
        <v>35</v>
      </c>
      <c r="F64" s="19" t="s">
        <v>781</v>
      </c>
      <c r="G64" s="99">
        <v>1</v>
      </c>
      <c r="H64" s="19"/>
      <c r="I64" s="19"/>
      <c r="J64" s="148">
        <v>24057</v>
      </c>
      <c r="K64" s="26"/>
      <c r="L64" s="4"/>
      <c r="M64" s="27"/>
      <c r="N64" s="4"/>
      <c r="O64" s="4"/>
      <c r="P64" s="29"/>
      <c r="Q64" s="29">
        <v>2025</v>
      </c>
      <c r="R64" s="4" t="s">
        <v>163</v>
      </c>
      <c r="S64" s="38" t="s">
        <v>674</v>
      </c>
      <c r="T64" s="32"/>
      <c r="U64" s="144"/>
      <c r="V64" s="145"/>
      <c r="W64" s="21" t="s">
        <v>43</v>
      </c>
      <c r="X64" s="30">
        <f>0.9*$J64</f>
        <v>21651.3</v>
      </c>
      <c r="Y64" s="30">
        <f>1.5*J64</f>
        <v>36085.5</v>
      </c>
      <c r="Z64" s="21" t="s">
        <v>44</v>
      </c>
      <c r="AA64" s="22">
        <f>0.9*K64</f>
        <v>0</v>
      </c>
      <c r="AB64" s="22">
        <f>1.3*K64</f>
        <v>0</v>
      </c>
      <c r="AC64" s="21" t="s">
        <v>44</v>
      </c>
      <c r="AD64" s="22" t="s">
        <v>45</v>
      </c>
      <c r="AE64" s="22" t="s">
        <v>46</v>
      </c>
      <c r="AF64" s="22" t="s">
        <v>47</v>
      </c>
      <c r="AG64" s="21" t="s">
        <v>48</v>
      </c>
    </row>
    <row r="65" spans="1:33" ht="34.5" customHeight="1">
      <c r="A65" s="15">
        <v>288.39999999999998</v>
      </c>
      <c r="B65" s="18">
        <v>3</v>
      </c>
      <c r="C65" s="32" t="s">
        <v>677</v>
      </c>
      <c r="D65" s="19" t="str">
        <f t="shared" si="5"/>
        <v xml:space="preserve">                  Guard Station</v>
      </c>
      <c r="E65" s="19" t="s">
        <v>35</v>
      </c>
      <c r="F65" s="19" t="s">
        <v>782</v>
      </c>
      <c r="G65" s="99">
        <v>1</v>
      </c>
      <c r="H65" s="19"/>
      <c r="I65" s="19"/>
      <c r="J65" s="149">
        <v>6774250</v>
      </c>
      <c r="K65" s="26"/>
      <c r="L65" s="4"/>
      <c r="M65" s="27"/>
      <c r="N65" s="4"/>
      <c r="O65" s="4"/>
      <c r="P65" s="29"/>
      <c r="Q65" s="29">
        <v>2025</v>
      </c>
      <c r="R65" s="4" t="s">
        <v>163</v>
      </c>
      <c r="S65" s="38" t="s">
        <v>674</v>
      </c>
      <c r="T65" s="32"/>
      <c r="U65" s="144"/>
      <c r="V65" s="145"/>
      <c r="W65" s="21" t="s">
        <v>43</v>
      </c>
      <c r="X65" s="30">
        <f>0.9*$J65</f>
        <v>6096825</v>
      </c>
      <c r="Y65" s="30">
        <f>1.5*J65</f>
        <v>10161375</v>
      </c>
      <c r="Z65" s="21" t="s">
        <v>44</v>
      </c>
      <c r="AA65" s="22">
        <f>0.9*K65</f>
        <v>0</v>
      </c>
      <c r="AB65" s="22">
        <f>1.3*K65</f>
        <v>0</v>
      </c>
      <c r="AC65" s="21" t="s">
        <v>44</v>
      </c>
      <c r="AD65" s="22" t="s">
        <v>45</v>
      </c>
      <c r="AE65" s="22" t="s">
        <v>46</v>
      </c>
      <c r="AF65" s="22" t="s">
        <v>47</v>
      </c>
      <c r="AG65" s="21" t="s">
        <v>48</v>
      </c>
    </row>
    <row r="66" spans="1:33" ht="34.5" customHeight="1">
      <c r="A66" s="15">
        <v>288.5</v>
      </c>
      <c r="B66" s="18">
        <v>3</v>
      </c>
      <c r="C66" s="32" t="s">
        <v>783</v>
      </c>
      <c r="D66" s="19" t="str">
        <f t="shared" si="5"/>
        <v xml:space="preserve">                  Radiation Monitors</v>
      </c>
      <c r="E66" s="19" t="s">
        <v>35</v>
      </c>
      <c r="F66" s="19" t="s">
        <v>784</v>
      </c>
      <c r="G66" s="99">
        <v>1</v>
      </c>
      <c r="H66" s="19"/>
      <c r="I66" s="19"/>
      <c r="J66" s="33">
        <v>656100</v>
      </c>
      <c r="K66" s="26"/>
      <c r="L66" s="4"/>
      <c r="M66" s="27"/>
      <c r="N66" s="4"/>
      <c r="O66" s="4"/>
      <c r="P66" s="29"/>
      <c r="Q66" s="29">
        <v>2025</v>
      </c>
      <c r="R66" s="4" t="s">
        <v>163</v>
      </c>
      <c r="S66" s="38" t="s">
        <v>674</v>
      </c>
      <c r="T66" s="32"/>
      <c r="U66" s="144"/>
      <c r="V66" s="145"/>
      <c r="W66" s="21" t="s">
        <v>43</v>
      </c>
      <c r="X66" s="30">
        <f>0.9*$J66</f>
        <v>590490</v>
      </c>
      <c r="Y66" s="30">
        <f>1.5*J66</f>
        <v>984150</v>
      </c>
      <c r="Z66" s="21" t="s">
        <v>44</v>
      </c>
      <c r="AA66" s="22">
        <f>0.9*K66</f>
        <v>0</v>
      </c>
      <c r="AB66" s="22">
        <f>1.3*K66</f>
        <v>0</v>
      </c>
      <c r="AC66" s="21" t="s">
        <v>44</v>
      </c>
      <c r="AD66" s="22" t="s">
        <v>45</v>
      </c>
      <c r="AE66" s="22" t="s">
        <v>46</v>
      </c>
      <c r="AF66" s="22" t="s">
        <v>47</v>
      </c>
      <c r="AG66" s="21" t="s">
        <v>48</v>
      </c>
    </row>
    <row r="67" spans="1:33" ht="13.5" customHeight="1">
      <c r="A67" s="2">
        <v>30</v>
      </c>
      <c r="B67" s="18">
        <f t="shared" ref="B67:B90" si="6">IF(ISNUMBER(A67),
    IF(AND(A67=INT(A67), MOD(A67, 10) = 0), 0,
        IF(AND(A67=INT(A67), LEN(A67)=2), 1,
            IF(AND(A67=INT(A67), LEN(A67)=3), 2,
                LEN(A67) - FIND(".", A67) + 2)
        )
    ),
"")</f>
        <v>0</v>
      </c>
      <c r="C67" s="42" t="s">
        <v>388</v>
      </c>
      <c r="D67" s="19" t="str">
        <f t="shared" si="5"/>
        <v>Capitalized Indirect Services Cost</v>
      </c>
      <c r="E67" s="19"/>
      <c r="F67" s="19"/>
      <c r="G67" s="99"/>
      <c r="H67" s="19"/>
      <c r="I67" s="19"/>
      <c r="J67" s="150"/>
      <c r="K67" s="33"/>
      <c r="L67" s="2"/>
      <c r="M67" s="2"/>
      <c r="N67" s="2"/>
      <c r="O67" s="2"/>
      <c r="P67" s="34"/>
      <c r="Q67" s="29"/>
      <c r="R67" s="4"/>
      <c r="S67" s="2"/>
      <c r="T67" s="2"/>
      <c r="U67" s="2"/>
      <c r="V67" s="2"/>
      <c r="W67" s="21"/>
      <c r="X67" s="30"/>
      <c r="Y67" s="30"/>
      <c r="Z67" s="21"/>
      <c r="AA67" s="22"/>
      <c r="AB67" s="22"/>
      <c r="AC67" s="21"/>
      <c r="AD67" s="22"/>
      <c r="AE67" s="22"/>
      <c r="AF67" s="22"/>
      <c r="AG67" s="21"/>
    </row>
    <row r="68" spans="1:33" ht="13.5" customHeight="1">
      <c r="A68" s="15">
        <v>40</v>
      </c>
      <c r="B68" s="18">
        <f t="shared" si="6"/>
        <v>0</v>
      </c>
      <c r="C68" s="42" t="s">
        <v>395</v>
      </c>
      <c r="D68" s="19" t="str">
        <f t="shared" si="5"/>
        <v>Capitalized training costs</v>
      </c>
      <c r="E68" s="19"/>
      <c r="F68" s="19"/>
      <c r="G68" s="99"/>
      <c r="H68" s="19"/>
      <c r="I68" s="19"/>
      <c r="J68" s="33"/>
      <c r="K68" s="33"/>
      <c r="L68" s="2"/>
      <c r="M68" s="2"/>
      <c r="N68" s="2"/>
      <c r="O68" s="2"/>
      <c r="P68" s="34"/>
      <c r="Q68" s="34"/>
      <c r="R68" s="2"/>
      <c r="S68" s="2"/>
      <c r="T68" s="2"/>
      <c r="U68" s="2"/>
      <c r="V68" s="2"/>
      <c r="W68" s="21"/>
      <c r="X68" s="30"/>
      <c r="Y68" s="30"/>
      <c r="Z68" s="21"/>
      <c r="AA68" s="22"/>
      <c r="AB68" s="22"/>
      <c r="AC68" s="21"/>
      <c r="AD68" s="22"/>
      <c r="AE68" s="22"/>
      <c r="AF68" s="22"/>
      <c r="AG68" s="21"/>
    </row>
    <row r="69" spans="1:33" ht="13.5" customHeight="1">
      <c r="A69" s="15">
        <v>41</v>
      </c>
      <c r="B69" s="18">
        <f t="shared" si="6"/>
        <v>1</v>
      </c>
      <c r="C69" s="42" t="s">
        <v>396</v>
      </c>
      <c r="D69" s="19" t="str">
        <f t="shared" si="5"/>
        <v xml:space="preserve">      staff recruitment and training</v>
      </c>
      <c r="E69" s="19" t="s">
        <v>35</v>
      </c>
      <c r="F69" s="19" t="s">
        <v>623</v>
      </c>
      <c r="G69" s="99">
        <v>1</v>
      </c>
      <c r="H69" s="19"/>
      <c r="I69" s="19"/>
      <c r="J69" s="26">
        <v>300000</v>
      </c>
      <c r="K69" s="26"/>
      <c r="L69" s="4"/>
      <c r="M69" s="32"/>
      <c r="N69" s="4"/>
      <c r="O69" s="4"/>
      <c r="P69" s="29"/>
      <c r="Q69" s="29">
        <v>2024</v>
      </c>
      <c r="R69" s="4" t="s">
        <v>53</v>
      </c>
      <c r="S69" s="32"/>
      <c r="T69" s="4"/>
      <c r="U69" s="4"/>
      <c r="V69" s="4"/>
      <c r="W69" s="21" t="s">
        <v>43</v>
      </c>
      <c r="X69" s="30">
        <f>0.9*$J69</f>
        <v>270000</v>
      </c>
      <c r="Y69" s="30">
        <f>1.5*J69</f>
        <v>450000</v>
      </c>
      <c r="Z69" s="21" t="s">
        <v>44</v>
      </c>
      <c r="AA69" s="22">
        <f>0.9*K69</f>
        <v>0</v>
      </c>
      <c r="AB69" s="22">
        <f>1.3*K69</f>
        <v>0</v>
      </c>
      <c r="AC69" s="21" t="s">
        <v>44</v>
      </c>
      <c r="AD69" s="22" t="s">
        <v>45</v>
      </c>
      <c r="AE69" s="22" t="s">
        <v>46</v>
      </c>
      <c r="AF69" s="22" t="s">
        <v>47</v>
      </c>
      <c r="AG69" s="21" t="s">
        <v>48</v>
      </c>
    </row>
    <row r="70" spans="1:33" ht="13.5" customHeight="1">
      <c r="A70" s="2">
        <v>60</v>
      </c>
      <c r="B70" s="18">
        <f t="shared" si="6"/>
        <v>0</v>
      </c>
      <c r="C70" s="42" t="s">
        <v>399</v>
      </c>
      <c r="D70" s="19" t="str">
        <f t="shared" si="5"/>
        <v xml:space="preserve">Capitalized Financial Costs </v>
      </c>
      <c r="E70" s="19"/>
      <c r="F70" s="19"/>
      <c r="G70" s="99"/>
      <c r="H70" s="19"/>
      <c r="I70" s="19"/>
      <c r="J70" s="20"/>
      <c r="K70" s="20"/>
      <c r="L70" s="18"/>
      <c r="M70" s="14"/>
      <c r="N70" s="18"/>
      <c r="O70" s="18"/>
      <c r="P70" s="20"/>
      <c r="Q70" s="20"/>
      <c r="R70" s="18"/>
      <c r="S70" s="14"/>
      <c r="T70" s="18"/>
      <c r="U70" s="18"/>
      <c r="V70" s="18"/>
      <c r="W70" s="21"/>
      <c r="X70" s="30"/>
      <c r="Y70" s="30"/>
      <c r="Z70" s="21"/>
      <c r="AA70" s="22"/>
      <c r="AB70" s="22"/>
      <c r="AC70" s="21"/>
      <c r="AD70" s="22"/>
      <c r="AE70" s="22"/>
      <c r="AF70" s="22"/>
      <c r="AG70" s="21"/>
    </row>
    <row r="71" spans="1:33" ht="13.5" customHeight="1">
      <c r="A71" s="15">
        <v>62</v>
      </c>
      <c r="B71" s="18">
        <f t="shared" si="6"/>
        <v>1</v>
      </c>
      <c r="C71" s="42" t="s">
        <v>400</v>
      </c>
      <c r="D71" s="19" t="str">
        <f t="shared" si="5"/>
        <v xml:space="preserve">      Interest</v>
      </c>
      <c r="E71" s="19"/>
      <c r="F71" s="19"/>
      <c r="G71" s="99"/>
      <c r="H71" s="19"/>
      <c r="I71" s="19"/>
      <c r="J71" s="26"/>
      <c r="K71" s="26"/>
      <c r="L71" s="4"/>
      <c r="M71" s="32"/>
      <c r="N71" s="4"/>
      <c r="O71" s="4"/>
      <c r="P71" s="29"/>
      <c r="Q71" s="29"/>
      <c r="R71" s="4"/>
      <c r="S71" s="32"/>
      <c r="T71" s="4"/>
      <c r="U71" s="4"/>
      <c r="V71" s="4"/>
      <c r="W71" s="21"/>
      <c r="X71" s="30"/>
      <c r="Y71" s="30"/>
      <c r="Z71" s="21"/>
      <c r="AA71" s="22"/>
      <c r="AB71" s="22"/>
      <c r="AC71" s="21"/>
      <c r="AD71" s="22"/>
      <c r="AE71" s="22"/>
      <c r="AF71" s="22"/>
      <c r="AG71" s="21"/>
    </row>
    <row r="72" spans="1:33" ht="13.5" customHeight="1">
      <c r="A72" s="15">
        <v>70</v>
      </c>
      <c r="B72" s="18">
        <f t="shared" si="6"/>
        <v>0</v>
      </c>
      <c r="C72" s="59" t="s">
        <v>401</v>
      </c>
      <c r="D72" s="19" t="str">
        <f t="shared" si="5"/>
        <v xml:space="preserve">Annualized O&amp;M Cost </v>
      </c>
      <c r="E72" s="19"/>
      <c r="F72" s="19"/>
      <c r="G72" s="99"/>
      <c r="H72" s="19"/>
      <c r="I72" s="19"/>
      <c r="J72" s="26"/>
      <c r="K72" s="26"/>
      <c r="L72" s="4"/>
      <c r="M72" s="32"/>
      <c r="N72" s="4"/>
      <c r="O72" s="4"/>
      <c r="P72" s="29"/>
      <c r="Q72" s="29"/>
      <c r="R72" s="4"/>
      <c r="S72" s="32"/>
      <c r="T72" s="32"/>
      <c r="U72" s="4"/>
      <c r="V72" s="4"/>
      <c r="W72" s="21"/>
      <c r="X72" s="30"/>
      <c r="Y72" s="30"/>
      <c r="Z72" s="21"/>
      <c r="AA72" s="22"/>
      <c r="AB72" s="22"/>
      <c r="AC72" s="21"/>
      <c r="AD72" s="22"/>
      <c r="AE72" s="22"/>
      <c r="AF72" s="22"/>
      <c r="AG72" s="21"/>
    </row>
    <row r="73" spans="1:33" ht="13.5" customHeight="1">
      <c r="A73" s="15">
        <v>71</v>
      </c>
      <c r="B73" s="18">
        <f t="shared" si="6"/>
        <v>1</v>
      </c>
      <c r="C73" s="42" t="s">
        <v>402</v>
      </c>
      <c r="D73" s="19" t="str">
        <f t="shared" si="5"/>
        <v xml:space="preserve">      O&amp;M Staff</v>
      </c>
      <c r="E73" s="19"/>
      <c r="F73" s="19"/>
      <c r="G73" s="99"/>
      <c r="H73" s="19"/>
      <c r="I73" s="19"/>
      <c r="J73" s="26"/>
      <c r="K73" s="26"/>
      <c r="L73" s="4"/>
      <c r="M73" s="32"/>
      <c r="N73" s="4"/>
      <c r="O73" s="4"/>
      <c r="P73" s="29"/>
      <c r="Q73" s="29"/>
      <c r="R73" s="4"/>
      <c r="S73" s="32"/>
      <c r="T73" s="32"/>
      <c r="U73" s="4"/>
      <c r="V73" s="4"/>
      <c r="W73" s="21"/>
      <c r="X73" s="30"/>
      <c r="Y73" s="30"/>
      <c r="Z73" s="21"/>
      <c r="AA73" s="22"/>
      <c r="AB73" s="22"/>
      <c r="AC73" s="21"/>
      <c r="AD73" s="22"/>
      <c r="AE73" s="22"/>
      <c r="AF73" s="22"/>
      <c r="AG73" s="21"/>
    </row>
    <row r="74" spans="1:33" ht="68.25" customHeight="1">
      <c r="A74" s="36">
        <v>711</v>
      </c>
      <c r="B74" s="18">
        <f t="shared" si="6"/>
        <v>2</v>
      </c>
      <c r="C74" s="42" t="s">
        <v>403</v>
      </c>
      <c r="D74" s="19" t="str">
        <f t="shared" si="5"/>
        <v xml:space="preserve">            Operators </v>
      </c>
      <c r="E74" s="19" t="s">
        <v>290</v>
      </c>
      <c r="F74" s="19"/>
      <c r="G74" s="99">
        <v>1</v>
      </c>
      <c r="H74" s="19"/>
      <c r="I74" s="19"/>
      <c r="J74" s="26"/>
      <c r="K74" s="26">
        <v>178500</v>
      </c>
      <c r="L74" s="4" t="s">
        <v>785</v>
      </c>
      <c r="M74" s="32" t="s">
        <v>786</v>
      </c>
      <c r="N74" s="4"/>
      <c r="O74" s="4"/>
      <c r="P74" s="29">
        <v>1</v>
      </c>
      <c r="Q74" s="29">
        <v>2024</v>
      </c>
      <c r="R74" s="4" t="s">
        <v>53</v>
      </c>
      <c r="S74" s="32"/>
      <c r="T74" s="32" t="s">
        <v>406</v>
      </c>
      <c r="U74" s="4"/>
      <c r="V74" s="4"/>
      <c r="W74" s="21" t="s">
        <v>43</v>
      </c>
      <c r="X74" s="30">
        <f t="shared" ref="X74:X80" si="7">0.9*$J74</f>
        <v>0</v>
      </c>
      <c r="Y74" s="30">
        <f t="shared" ref="Y74:Y80" si="8">1.5*J74</f>
        <v>0</v>
      </c>
      <c r="Z74" s="21" t="s">
        <v>44</v>
      </c>
      <c r="AA74" s="22">
        <f t="shared" ref="AA74:AA80" si="9">0.9*K74</f>
        <v>160650</v>
      </c>
      <c r="AB74" s="22">
        <f t="shared" ref="AB74:AB80" si="10">1.3*K74</f>
        <v>232050</v>
      </c>
      <c r="AC74" s="21" t="s">
        <v>44</v>
      </c>
      <c r="AD74" s="22" t="s">
        <v>45</v>
      </c>
      <c r="AE74" s="22" t="s">
        <v>46</v>
      </c>
      <c r="AF74" s="22" t="s">
        <v>47</v>
      </c>
      <c r="AG74" s="21" t="s">
        <v>48</v>
      </c>
    </row>
    <row r="75" spans="1:33" ht="68.25" customHeight="1">
      <c r="A75" s="36">
        <v>712</v>
      </c>
      <c r="B75" s="18">
        <f t="shared" si="6"/>
        <v>2</v>
      </c>
      <c r="C75" s="42" t="s">
        <v>407</v>
      </c>
      <c r="D75" s="19" t="str">
        <f t="shared" si="5"/>
        <v xml:space="preserve">            Remote Monitoring Technicians </v>
      </c>
      <c r="E75" s="19" t="s">
        <v>290</v>
      </c>
      <c r="F75" s="19" t="s">
        <v>410</v>
      </c>
      <c r="G75" s="99">
        <v>1</v>
      </c>
      <c r="H75" s="19"/>
      <c r="I75" s="19"/>
      <c r="J75" s="26"/>
      <c r="K75" s="26">
        <v>178500</v>
      </c>
      <c r="L75" s="4" t="s">
        <v>404</v>
      </c>
      <c r="M75" s="19" t="s">
        <v>757</v>
      </c>
      <c r="N75" s="4"/>
      <c r="O75" s="4"/>
      <c r="P75" s="4">
        <v>1</v>
      </c>
      <c r="Q75" s="29">
        <v>2024</v>
      </c>
      <c r="R75" s="4" t="s">
        <v>53</v>
      </c>
      <c r="S75" s="32"/>
      <c r="T75" s="32" t="s">
        <v>406</v>
      </c>
      <c r="U75" s="4"/>
      <c r="V75" s="4"/>
      <c r="W75" s="21" t="s">
        <v>43</v>
      </c>
      <c r="X75" s="30">
        <f t="shared" si="7"/>
        <v>0</v>
      </c>
      <c r="Y75" s="30">
        <f t="shared" si="8"/>
        <v>0</v>
      </c>
      <c r="Z75" s="21" t="s">
        <v>44</v>
      </c>
      <c r="AA75" s="22">
        <f t="shared" si="9"/>
        <v>160650</v>
      </c>
      <c r="AB75" s="22">
        <f t="shared" si="10"/>
        <v>232050</v>
      </c>
      <c r="AC75" s="21" t="s">
        <v>44</v>
      </c>
      <c r="AD75" s="22" t="s">
        <v>45</v>
      </c>
      <c r="AE75" s="22" t="s">
        <v>46</v>
      </c>
      <c r="AF75" s="22" t="s">
        <v>47</v>
      </c>
      <c r="AG75" s="21" t="s">
        <v>48</v>
      </c>
    </row>
    <row r="76" spans="1:33" ht="68.25" customHeight="1">
      <c r="A76" s="36">
        <v>713</v>
      </c>
      <c r="B76" s="18">
        <f t="shared" si="6"/>
        <v>2</v>
      </c>
      <c r="C76" s="42" t="s">
        <v>411</v>
      </c>
      <c r="D76" s="19" t="str">
        <f t="shared" si="5"/>
        <v xml:space="preserve">            Security Staff </v>
      </c>
      <c r="E76" s="19" t="s">
        <v>290</v>
      </c>
      <c r="F76" s="19" t="s">
        <v>787</v>
      </c>
      <c r="G76" s="99">
        <v>1</v>
      </c>
      <c r="H76" s="19"/>
      <c r="I76" s="19"/>
      <c r="J76" s="26"/>
      <c r="K76" s="26">
        <v>178500</v>
      </c>
      <c r="L76" s="4" t="s">
        <v>404</v>
      </c>
      <c r="M76" s="32" t="s">
        <v>788</v>
      </c>
      <c r="N76" s="4"/>
      <c r="O76" s="4"/>
      <c r="P76" s="4">
        <v>1</v>
      </c>
      <c r="Q76" s="29">
        <v>2024</v>
      </c>
      <c r="R76" s="4" t="s">
        <v>53</v>
      </c>
      <c r="S76" s="32"/>
      <c r="T76" s="32" t="s">
        <v>406</v>
      </c>
      <c r="U76" s="56"/>
      <c r="V76" s="4"/>
      <c r="W76" s="21" t="s">
        <v>43</v>
      </c>
      <c r="X76" s="30">
        <f t="shared" si="7"/>
        <v>0</v>
      </c>
      <c r="Y76" s="30">
        <f t="shared" si="8"/>
        <v>0</v>
      </c>
      <c r="Z76" s="21" t="s">
        <v>44</v>
      </c>
      <c r="AA76" s="22">
        <f t="shared" si="9"/>
        <v>160650</v>
      </c>
      <c r="AB76" s="22">
        <f t="shared" si="10"/>
        <v>232050</v>
      </c>
      <c r="AC76" s="21" t="s">
        <v>44</v>
      </c>
      <c r="AD76" s="22" t="s">
        <v>45</v>
      </c>
      <c r="AE76" s="22" t="s">
        <v>46</v>
      </c>
      <c r="AF76" s="22" t="s">
        <v>47</v>
      </c>
      <c r="AG76" s="21" t="s">
        <v>48</v>
      </c>
    </row>
    <row r="77" spans="1:33" ht="68.25" customHeight="1">
      <c r="A77" s="36">
        <v>714</v>
      </c>
      <c r="B77" s="18">
        <f t="shared" si="6"/>
        <v>2</v>
      </c>
      <c r="C77" s="42" t="s">
        <v>686</v>
      </c>
      <c r="D77" s="19" t="str">
        <f t="shared" si="5"/>
        <v xml:space="preserve">            Maintenance Staff</v>
      </c>
      <c r="E77" s="19" t="s">
        <v>290</v>
      </c>
      <c r="F77" s="19" t="s">
        <v>787</v>
      </c>
      <c r="G77" s="99">
        <v>1</v>
      </c>
      <c r="H77" s="19"/>
      <c r="I77" s="19"/>
      <c r="J77" s="26"/>
      <c r="K77" s="26">
        <v>178500</v>
      </c>
      <c r="L77" s="4" t="s">
        <v>404</v>
      </c>
      <c r="M77" s="32" t="s">
        <v>789</v>
      </c>
      <c r="N77" s="4"/>
      <c r="O77" s="4"/>
      <c r="P77" s="4">
        <v>1</v>
      </c>
      <c r="Q77" s="29">
        <v>2024</v>
      </c>
      <c r="R77" s="4" t="s">
        <v>53</v>
      </c>
      <c r="S77" s="32"/>
      <c r="T77" s="32" t="s">
        <v>406</v>
      </c>
      <c r="U77" s="56"/>
      <c r="V77" s="4"/>
      <c r="W77" s="21" t="s">
        <v>43</v>
      </c>
      <c r="X77" s="30">
        <f t="shared" si="7"/>
        <v>0</v>
      </c>
      <c r="Y77" s="30">
        <f t="shared" si="8"/>
        <v>0</v>
      </c>
      <c r="Z77" s="21" t="s">
        <v>44</v>
      </c>
      <c r="AA77" s="22">
        <f t="shared" si="9"/>
        <v>160650</v>
      </c>
      <c r="AB77" s="22">
        <f t="shared" si="10"/>
        <v>232050</v>
      </c>
      <c r="AC77" s="21" t="s">
        <v>44</v>
      </c>
      <c r="AD77" s="22" t="s">
        <v>45</v>
      </c>
      <c r="AE77" s="22" t="s">
        <v>46</v>
      </c>
      <c r="AF77" s="22" t="s">
        <v>47</v>
      </c>
      <c r="AG77" s="21" t="s">
        <v>48</v>
      </c>
    </row>
    <row r="78" spans="1:33" ht="23.25" customHeight="1">
      <c r="A78" s="36">
        <v>715</v>
      </c>
      <c r="B78" s="18">
        <f t="shared" si="6"/>
        <v>2</v>
      </c>
      <c r="C78" s="42" t="s">
        <v>790</v>
      </c>
      <c r="D78" s="19" t="str">
        <f t="shared" si="5"/>
        <v xml:space="preserve">            Engineering Staff</v>
      </c>
      <c r="E78" s="19" t="s">
        <v>290</v>
      </c>
      <c r="F78" s="19"/>
      <c r="G78" s="99"/>
      <c r="H78" s="19"/>
      <c r="I78" s="19"/>
      <c r="J78" s="26"/>
      <c r="K78" s="26">
        <v>200000</v>
      </c>
      <c r="L78" s="4" t="s">
        <v>404</v>
      </c>
      <c r="M78" s="151" t="s">
        <v>791</v>
      </c>
      <c r="N78" s="4"/>
      <c r="O78" s="4"/>
      <c r="P78" s="4"/>
      <c r="Q78" s="29">
        <v>2024</v>
      </c>
      <c r="R78" s="4" t="s">
        <v>53</v>
      </c>
      <c r="S78" s="32"/>
      <c r="T78" s="32"/>
      <c r="U78" s="56"/>
      <c r="V78" s="4"/>
      <c r="W78" s="21" t="s">
        <v>43</v>
      </c>
      <c r="X78" s="30">
        <f t="shared" si="7"/>
        <v>0</v>
      </c>
      <c r="Y78" s="30">
        <f t="shared" si="8"/>
        <v>0</v>
      </c>
      <c r="Z78" s="21" t="s">
        <v>44</v>
      </c>
      <c r="AA78" s="22">
        <f t="shared" si="9"/>
        <v>180000</v>
      </c>
      <c r="AB78" s="22">
        <f t="shared" si="10"/>
        <v>260000</v>
      </c>
      <c r="AC78" s="21" t="s">
        <v>44</v>
      </c>
      <c r="AD78" s="22" t="s">
        <v>45</v>
      </c>
      <c r="AE78" s="22" t="s">
        <v>46</v>
      </c>
      <c r="AF78" s="22" t="s">
        <v>47</v>
      </c>
      <c r="AG78" s="21" t="s">
        <v>48</v>
      </c>
    </row>
    <row r="79" spans="1:33" ht="13.5" customHeight="1">
      <c r="A79" s="36">
        <v>716</v>
      </c>
      <c r="B79" s="18">
        <f t="shared" si="6"/>
        <v>2</v>
      </c>
      <c r="C79" s="42" t="s">
        <v>690</v>
      </c>
      <c r="D79" s="19" t="str">
        <f t="shared" si="5"/>
        <v xml:space="preserve">            Continuing Education and Staff Retraining</v>
      </c>
      <c r="E79" s="19"/>
      <c r="F79" s="19"/>
      <c r="G79" s="99"/>
      <c r="H79" s="19"/>
      <c r="I79" s="19"/>
      <c r="J79" s="150"/>
      <c r="K79" s="26"/>
      <c r="L79" s="4"/>
      <c r="M79" s="32"/>
      <c r="N79" s="4"/>
      <c r="O79" s="4"/>
      <c r="P79" s="4"/>
      <c r="Q79" s="29"/>
      <c r="R79" s="4" t="s">
        <v>53</v>
      </c>
      <c r="S79" s="32"/>
      <c r="T79" s="32"/>
      <c r="U79" s="56"/>
      <c r="V79" s="4"/>
      <c r="W79" s="21" t="s">
        <v>43</v>
      </c>
      <c r="X79" s="30">
        <f t="shared" si="7"/>
        <v>0</v>
      </c>
      <c r="Y79" s="30">
        <f t="shared" si="8"/>
        <v>0</v>
      </c>
      <c r="Z79" s="21"/>
      <c r="AA79" s="22">
        <f t="shared" si="9"/>
        <v>0</v>
      </c>
      <c r="AB79" s="22">
        <f t="shared" si="10"/>
        <v>0</v>
      </c>
      <c r="AC79" s="21"/>
      <c r="AD79" s="22"/>
      <c r="AE79" s="22"/>
      <c r="AF79" s="22"/>
      <c r="AG79" s="21"/>
    </row>
    <row r="80" spans="1:33" ht="13.5" customHeight="1">
      <c r="A80" s="36">
        <v>717</v>
      </c>
      <c r="B80" s="18">
        <f t="shared" si="6"/>
        <v>2</v>
      </c>
      <c r="C80" s="42" t="s">
        <v>691</v>
      </c>
      <c r="D80" s="19" t="str">
        <f t="shared" si="5"/>
        <v xml:space="preserve">            Management Staff</v>
      </c>
      <c r="E80" s="19"/>
      <c r="F80" s="19"/>
      <c r="G80" s="99"/>
      <c r="H80" s="19"/>
      <c r="I80" s="19"/>
      <c r="J80" s="150"/>
      <c r="K80" s="26"/>
      <c r="L80" s="4"/>
      <c r="M80" s="32"/>
      <c r="N80" s="4"/>
      <c r="O80" s="4"/>
      <c r="P80" s="4"/>
      <c r="Q80" s="29"/>
      <c r="R80" s="4" t="s">
        <v>53</v>
      </c>
      <c r="S80" s="32"/>
      <c r="T80" s="32"/>
      <c r="U80" s="56"/>
      <c r="V80" s="4"/>
      <c r="W80" s="21" t="s">
        <v>43</v>
      </c>
      <c r="X80" s="30">
        <f t="shared" si="7"/>
        <v>0</v>
      </c>
      <c r="Y80" s="30">
        <f t="shared" si="8"/>
        <v>0</v>
      </c>
      <c r="Z80" s="21"/>
      <c r="AA80" s="22">
        <f t="shared" si="9"/>
        <v>0</v>
      </c>
      <c r="AB80" s="22">
        <f t="shared" si="10"/>
        <v>0</v>
      </c>
      <c r="AC80" s="21"/>
      <c r="AD80" s="22"/>
      <c r="AE80" s="22"/>
      <c r="AF80" s="22"/>
      <c r="AG80" s="21"/>
    </row>
    <row r="81" spans="1:33" ht="13.5" customHeight="1">
      <c r="A81" s="15">
        <v>74</v>
      </c>
      <c r="B81" s="18">
        <f t="shared" si="6"/>
        <v>1</v>
      </c>
      <c r="C81" s="42" t="s">
        <v>694</v>
      </c>
      <c r="D81" s="19" t="str">
        <f t="shared" si="5"/>
        <v xml:space="preserve">      Fixed O&amp;M Utilities and Materials </v>
      </c>
      <c r="E81" s="19"/>
      <c r="F81" s="19"/>
      <c r="G81" s="99"/>
      <c r="H81" s="19"/>
      <c r="I81" s="19"/>
      <c r="J81" s="26"/>
      <c r="K81" s="26"/>
      <c r="L81" s="4"/>
      <c r="M81" s="32"/>
      <c r="N81" s="4"/>
      <c r="O81" s="4"/>
      <c r="P81" s="29"/>
      <c r="Q81" s="29"/>
      <c r="R81" s="4"/>
      <c r="S81" s="32"/>
      <c r="T81" s="7"/>
      <c r="U81" s="56"/>
      <c r="V81" s="4"/>
      <c r="W81" s="21"/>
      <c r="X81" s="30"/>
      <c r="Y81" s="30"/>
      <c r="Z81" s="21"/>
      <c r="AA81" s="22"/>
      <c r="AB81" s="22"/>
      <c r="AC81" s="21"/>
      <c r="AD81" s="22"/>
      <c r="AE81" s="22"/>
      <c r="AF81" s="22"/>
      <c r="AG81" s="21"/>
    </row>
    <row r="82" spans="1:33" ht="13.5" customHeight="1">
      <c r="A82" s="15">
        <v>741</v>
      </c>
      <c r="B82" s="18">
        <f t="shared" si="6"/>
        <v>2</v>
      </c>
      <c r="C82" s="42" t="s">
        <v>792</v>
      </c>
      <c r="D82" s="19" t="str">
        <f t="shared" si="5"/>
        <v xml:space="preserve">            Operating Chemicals and Lubricants</v>
      </c>
      <c r="E82" s="19"/>
      <c r="F82" s="19"/>
      <c r="G82" s="99"/>
      <c r="H82" s="19"/>
      <c r="I82" s="19"/>
      <c r="J82" s="150"/>
      <c r="K82" s="26"/>
      <c r="L82" s="4"/>
      <c r="M82" s="32"/>
      <c r="N82" s="4"/>
      <c r="O82" s="4"/>
      <c r="P82" s="29"/>
      <c r="Q82" s="29"/>
      <c r="R82" s="4"/>
      <c r="S82" s="32"/>
      <c r="T82" s="7"/>
      <c r="U82" s="56"/>
      <c r="V82" s="4"/>
      <c r="W82" s="21" t="s">
        <v>43</v>
      </c>
      <c r="X82" s="30">
        <f>0.9*$J82</f>
        <v>0</v>
      </c>
      <c r="Y82" s="30">
        <f>1.5*J82</f>
        <v>0</v>
      </c>
      <c r="Z82" s="21"/>
      <c r="AA82" s="22">
        <f>0.9*K82</f>
        <v>0</v>
      </c>
      <c r="AB82" s="22">
        <f>1.3*K82</f>
        <v>0</v>
      </c>
      <c r="AC82" s="21"/>
      <c r="AD82" s="22"/>
      <c r="AE82" s="22"/>
      <c r="AF82" s="22"/>
      <c r="AG82" s="21"/>
    </row>
    <row r="83" spans="1:33" ht="13.5" customHeight="1">
      <c r="A83" s="15">
        <v>742</v>
      </c>
      <c r="B83" s="18">
        <f t="shared" si="6"/>
        <v>2</v>
      </c>
      <c r="C83" s="42" t="s">
        <v>793</v>
      </c>
      <c r="D83" s="19" t="str">
        <f t="shared" si="5"/>
        <v xml:space="preserve">            Spare Parts</v>
      </c>
      <c r="E83" s="19"/>
      <c r="F83" s="19"/>
      <c r="G83" s="99"/>
      <c r="H83" s="19"/>
      <c r="I83" s="19"/>
      <c r="J83" s="150"/>
      <c r="K83" s="26"/>
      <c r="L83" s="4"/>
      <c r="M83" s="32"/>
      <c r="N83" s="4"/>
      <c r="O83" s="4"/>
      <c r="P83" s="29"/>
      <c r="Q83" s="29"/>
      <c r="R83" s="4"/>
      <c r="S83" s="32"/>
      <c r="T83" s="7"/>
      <c r="U83" s="56"/>
      <c r="V83" s="4"/>
      <c r="W83" s="21" t="s">
        <v>43</v>
      </c>
      <c r="X83" s="30">
        <f>0.9*$J83</f>
        <v>0</v>
      </c>
      <c r="Y83" s="30">
        <f>1.5*J83</f>
        <v>0</v>
      </c>
      <c r="Z83" s="21"/>
      <c r="AA83" s="22">
        <f>0.9*K83</f>
        <v>0</v>
      </c>
      <c r="AB83" s="22">
        <f>1.3*K83</f>
        <v>0</v>
      </c>
      <c r="AC83" s="21"/>
      <c r="AD83" s="22"/>
      <c r="AE83" s="22"/>
      <c r="AF83" s="22"/>
      <c r="AG83" s="21"/>
    </row>
    <row r="84" spans="1:33" ht="23.25" customHeight="1">
      <c r="A84" s="15">
        <v>743</v>
      </c>
      <c r="B84" s="18">
        <f t="shared" si="6"/>
        <v>2</v>
      </c>
      <c r="C84" s="42" t="s">
        <v>697</v>
      </c>
      <c r="D84" s="19" t="str">
        <f t="shared" si="5"/>
        <v xml:space="preserve">            Utilities except electricity, Supplies, and Consumables</v>
      </c>
      <c r="E84" s="19"/>
      <c r="F84" s="19"/>
      <c r="G84" s="99"/>
      <c r="H84" s="19"/>
      <c r="I84" s="19"/>
      <c r="J84" s="150"/>
      <c r="K84" s="26"/>
      <c r="L84" s="4"/>
      <c r="M84" s="32"/>
      <c r="N84" s="4"/>
      <c r="O84" s="4"/>
      <c r="P84" s="29"/>
      <c r="Q84" s="29"/>
      <c r="R84" s="4"/>
      <c r="S84" s="32"/>
      <c r="T84" s="7"/>
      <c r="U84" s="56"/>
      <c r="V84" s="4"/>
      <c r="W84" s="21" t="s">
        <v>43</v>
      </c>
      <c r="X84" s="30">
        <f>0.9*$J84</f>
        <v>0</v>
      </c>
      <c r="Y84" s="30">
        <f>1.5*J84</f>
        <v>0</v>
      </c>
      <c r="Z84" s="21"/>
      <c r="AA84" s="22">
        <f>0.9*K84</f>
        <v>0</v>
      </c>
      <c r="AB84" s="22">
        <f>1.3*K84</f>
        <v>0</v>
      </c>
      <c r="AC84" s="21"/>
      <c r="AD84" s="22"/>
      <c r="AE84" s="22"/>
      <c r="AF84" s="22"/>
      <c r="AG84" s="21"/>
    </row>
    <row r="85" spans="1:33" ht="23.25" customHeight="1">
      <c r="A85" s="15">
        <v>744</v>
      </c>
      <c r="B85" s="18">
        <f t="shared" si="6"/>
        <v>2</v>
      </c>
      <c r="C85" s="42" t="s">
        <v>698</v>
      </c>
      <c r="D85" s="19" t="str">
        <f t="shared" si="5"/>
        <v xml:space="preserve">            Electricity</v>
      </c>
      <c r="E85" s="19" t="s">
        <v>290</v>
      </c>
      <c r="F85" s="19" t="s">
        <v>623</v>
      </c>
      <c r="G85" s="99">
        <v>1</v>
      </c>
      <c r="H85" s="19"/>
      <c r="I85" s="19"/>
      <c r="J85" s="26"/>
      <c r="K85" s="26">
        <v>90</v>
      </c>
      <c r="L85" s="4" t="s">
        <v>443</v>
      </c>
      <c r="M85" s="19" t="s">
        <v>794</v>
      </c>
      <c r="N85" s="4"/>
      <c r="O85" s="4"/>
      <c r="P85" s="29">
        <v>1</v>
      </c>
      <c r="Q85" s="29">
        <v>2025</v>
      </c>
      <c r="R85" s="4" t="s">
        <v>39</v>
      </c>
      <c r="S85" s="32"/>
      <c r="T85" s="7"/>
      <c r="U85" s="56"/>
      <c r="V85" s="4"/>
      <c r="W85" s="21" t="s">
        <v>43</v>
      </c>
      <c r="X85" s="30">
        <f>0.9*$J85</f>
        <v>0</v>
      </c>
      <c r="Y85" s="30">
        <f>1.5*J85</f>
        <v>0</v>
      </c>
      <c r="Z85" s="21" t="s">
        <v>44</v>
      </c>
      <c r="AA85" s="22">
        <f>0.9*K85</f>
        <v>81</v>
      </c>
      <c r="AB85" s="22">
        <f>1.3*K85</f>
        <v>117</v>
      </c>
      <c r="AC85" s="21" t="s">
        <v>44</v>
      </c>
      <c r="AD85" s="22" t="s">
        <v>45</v>
      </c>
      <c r="AE85" s="22" t="s">
        <v>46</v>
      </c>
      <c r="AF85" s="22" t="s">
        <v>47</v>
      </c>
      <c r="AG85" s="21" t="s">
        <v>48</v>
      </c>
    </row>
    <row r="86" spans="1:33" ht="13.5" customHeight="1">
      <c r="A86" s="15">
        <v>747.1</v>
      </c>
      <c r="B86" s="18">
        <f t="shared" si="6"/>
        <v>3</v>
      </c>
      <c r="C86" s="42" t="s">
        <v>702</v>
      </c>
      <c r="D86" s="19" t="str">
        <f t="shared" ref="D86:D90" si="11">REPT("   ", B86*2) &amp; C86</f>
        <v xml:space="preserve">                  Annualized Transportation Costs</v>
      </c>
      <c r="E86" s="19"/>
      <c r="F86" s="19"/>
      <c r="G86" s="99"/>
      <c r="H86" s="19"/>
      <c r="I86" s="19"/>
      <c r="J86" s="150"/>
      <c r="K86" s="26"/>
      <c r="L86" s="4"/>
      <c r="M86" s="32"/>
      <c r="N86" s="4"/>
      <c r="O86" s="4"/>
      <c r="P86" s="29"/>
      <c r="Q86" s="29"/>
      <c r="R86" s="4"/>
      <c r="S86" s="32"/>
      <c r="T86" s="7"/>
      <c r="U86" s="56"/>
      <c r="V86" s="4"/>
      <c r="W86" s="21" t="s">
        <v>43</v>
      </c>
      <c r="X86" s="30">
        <f>0.8*$I86</f>
        <v>0</v>
      </c>
      <c r="Y86" s="30">
        <f>2*J86</f>
        <v>0</v>
      </c>
      <c r="Z86" s="21"/>
      <c r="AA86" s="22">
        <f>0.8*K86</f>
        <v>0</v>
      </c>
      <c r="AB86" s="22">
        <f>2*K86</f>
        <v>0</v>
      </c>
      <c r="AC86" s="21"/>
      <c r="AD86" s="22"/>
      <c r="AE86" s="22"/>
      <c r="AF86" s="22"/>
      <c r="AG86" s="21"/>
    </row>
    <row r="87" spans="1:33" ht="13.5" customHeight="1">
      <c r="A87" s="15">
        <v>747.2</v>
      </c>
      <c r="B87" s="18">
        <f t="shared" si="6"/>
        <v>3</v>
      </c>
      <c r="C87" s="42" t="s">
        <v>795</v>
      </c>
      <c r="D87" s="19" t="str">
        <f t="shared" si="11"/>
        <v xml:space="preserve">                  Annualized Cask Replacements</v>
      </c>
      <c r="E87" s="19"/>
      <c r="F87" s="19"/>
      <c r="G87" s="99"/>
      <c r="H87" s="19"/>
      <c r="I87" s="19"/>
      <c r="J87" s="26"/>
      <c r="K87" s="26"/>
      <c r="L87" s="4"/>
      <c r="M87" s="32"/>
      <c r="N87" s="4"/>
      <c r="O87" s="4"/>
      <c r="P87" s="29"/>
      <c r="Q87" s="29"/>
      <c r="R87" s="4"/>
      <c r="S87" s="32"/>
      <c r="T87" s="7"/>
      <c r="U87" s="56"/>
      <c r="V87" s="4"/>
      <c r="W87" s="21"/>
      <c r="X87" s="30"/>
      <c r="Y87" s="30"/>
      <c r="Z87" s="21"/>
      <c r="AA87" s="22"/>
      <c r="AB87" s="22"/>
      <c r="AC87" s="21"/>
      <c r="AD87" s="22"/>
      <c r="AE87" s="22"/>
      <c r="AF87" s="22"/>
      <c r="AG87" s="21"/>
    </row>
    <row r="88" spans="1:33" ht="34.5" customHeight="1">
      <c r="A88" s="15">
        <v>747.21</v>
      </c>
      <c r="B88" s="18">
        <f t="shared" si="6"/>
        <v>4</v>
      </c>
      <c r="C88" s="42" t="s">
        <v>796</v>
      </c>
      <c r="D88" s="19" t="str">
        <f t="shared" si="11"/>
        <v xml:space="preserve">                        Used Fuel Cask</v>
      </c>
      <c r="E88" s="19" t="s">
        <v>35</v>
      </c>
      <c r="F88" s="19" t="s">
        <v>797</v>
      </c>
      <c r="G88" s="99">
        <v>1</v>
      </c>
      <c r="H88" s="19"/>
      <c r="I88" s="19"/>
      <c r="J88" s="26">
        <v>1159000</v>
      </c>
      <c r="K88" s="26"/>
      <c r="L88" s="4"/>
      <c r="M88" s="32"/>
      <c r="N88" s="4"/>
      <c r="O88" s="4"/>
      <c r="P88" s="29"/>
      <c r="Q88" s="29">
        <v>2023</v>
      </c>
      <c r="R88" s="4" t="s">
        <v>163</v>
      </c>
      <c r="S88" s="32" t="s">
        <v>798</v>
      </c>
      <c r="T88" s="7"/>
      <c r="U88" s="56"/>
      <c r="V88" s="4" t="s">
        <v>799</v>
      </c>
      <c r="W88" s="21" t="s">
        <v>43</v>
      </c>
      <c r="X88" s="30">
        <v>1008000</v>
      </c>
      <c r="Y88" s="30">
        <v>1310000</v>
      </c>
      <c r="Z88" s="21" t="s">
        <v>44</v>
      </c>
      <c r="AA88" s="22">
        <f>0.8*K88</f>
        <v>0</v>
      </c>
      <c r="AB88" s="22">
        <f>2*K88</f>
        <v>0</v>
      </c>
      <c r="AC88" s="21" t="s">
        <v>44</v>
      </c>
      <c r="AD88" s="22" t="s">
        <v>45</v>
      </c>
      <c r="AE88" s="22" t="s">
        <v>46</v>
      </c>
      <c r="AF88" s="22" t="s">
        <v>47</v>
      </c>
      <c r="AG88" s="21" t="s">
        <v>48</v>
      </c>
    </row>
    <row r="89" spans="1:33" ht="34.5" customHeight="1">
      <c r="A89" s="15">
        <v>747.22</v>
      </c>
      <c r="B89" s="18">
        <f t="shared" si="6"/>
        <v>4</v>
      </c>
      <c r="C89" s="42" t="s">
        <v>800</v>
      </c>
      <c r="D89" s="19" t="str">
        <f t="shared" si="11"/>
        <v xml:space="preserve">                        Reactor Transport Cask</v>
      </c>
      <c r="E89" s="19" t="s">
        <v>35</v>
      </c>
      <c r="F89" s="19" t="s">
        <v>801</v>
      </c>
      <c r="G89" s="99">
        <v>1</v>
      </c>
      <c r="H89" s="19"/>
      <c r="I89" s="19"/>
      <c r="J89" s="26">
        <f>J43</f>
        <v>10000000</v>
      </c>
      <c r="K89" s="26"/>
      <c r="L89" s="4"/>
      <c r="M89" s="32"/>
      <c r="N89" s="4"/>
      <c r="O89" s="4"/>
      <c r="P89" s="29"/>
      <c r="Q89" s="29">
        <f t="shared" ref="Q89:AG89" si="12">Q43</f>
        <v>2024</v>
      </c>
      <c r="R89" s="29" t="str">
        <f t="shared" si="12"/>
        <v>Lab and Mat and Equip</v>
      </c>
      <c r="S89" s="29" t="str">
        <f t="shared" si="12"/>
        <v>assumption</v>
      </c>
      <c r="T89" s="29">
        <f t="shared" si="12"/>
        <v>0</v>
      </c>
      <c r="U89" s="29">
        <f t="shared" si="12"/>
        <v>0</v>
      </c>
      <c r="V89" s="29">
        <f t="shared" si="12"/>
        <v>0</v>
      </c>
      <c r="W89" s="29" t="str">
        <f t="shared" si="12"/>
        <v>No Learning</v>
      </c>
      <c r="X89" s="167">
        <f t="shared" si="12"/>
        <v>0</v>
      </c>
      <c r="Y89" s="167">
        <f t="shared" si="12"/>
        <v>15000000</v>
      </c>
      <c r="Z89" s="29" t="str">
        <f t="shared" si="12"/>
        <v>Lognormal</v>
      </c>
      <c r="AA89" s="29">
        <f t="shared" si="12"/>
        <v>0</v>
      </c>
      <c r="AB89" s="29">
        <f t="shared" si="12"/>
        <v>0</v>
      </c>
      <c r="AC89" s="29" t="str">
        <f t="shared" si="12"/>
        <v>Lognormal</v>
      </c>
      <c r="AD89" s="29" t="str">
        <f t="shared" si="12"/>
        <v>0.1</v>
      </c>
      <c r="AE89" s="29" t="str">
        <f t="shared" si="12"/>
        <v>1</v>
      </c>
      <c r="AF89" s="29" t="str">
        <f t="shared" si="12"/>
        <v>0</v>
      </c>
      <c r="AG89" s="29" t="str">
        <f t="shared" si="12"/>
        <v>Truncated Normal</v>
      </c>
    </row>
    <row r="90" spans="1:33" ht="34.5" customHeight="1">
      <c r="A90" s="15">
        <v>747.23</v>
      </c>
      <c r="B90" s="18">
        <f t="shared" si="6"/>
        <v>4</v>
      </c>
      <c r="C90" s="42" t="s">
        <v>802</v>
      </c>
      <c r="D90" s="19" t="str">
        <f t="shared" si="11"/>
        <v xml:space="preserve">                        Radwaste Storage Cask</v>
      </c>
      <c r="E90" s="19" t="s">
        <v>35</v>
      </c>
      <c r="F90" s="19" t="s">
        <v>803</v>
      </c>
      <c r="G90" s="99">
        <v>1</v>
      </c>
      <c r="H90" s="19"/>
      <c r="I90" s="19"/>
      <c r="J90" s="26">
        <v>1159000</v>
      </c>
      <c r="K90" s="26"/>
      <c r="L90" s="4"/>
      <c r="M90" s="32"/>
      <c r="N90" s="4"/>
      <c r="O90" s="4"/>
      <c r="P90" s="29"/>
      <c r="Q90" s="29">
        <v>2023</v>
      </c>
      <c r="R90" s="4" t="s">
        <v>163</v>
      </c>
      <c r="S90" s="32" t="s">
        <v>798</v>
      </c>
      <c r="T90" s="7"/>
      <c r="U90" s="56"/>
      <c r="V90" s="4" t="s">
        <v>799</v>
      </c>
      <c r="W90" s="21" t="s">
        <v>43</v>
      </c>
      <c r="X90" s="30">
        <v>1008000</v>
      </c>
      <c r="Y90" s="30">
        <v>1310000</v>
      </c>
      <c r="Z90" s="21" t="s">
        <v>44</v>
      </c>
      <c r="AA90" s="22">
        <f>0.8*K90</f>
        <v>0</v>
      </c>
      <c r="AB90" s="22">
        <f>2*K90</f>
        <v>0</v>
      </c>
      <c r="AC90" s="21" t="s">
        <v>44</v>
      </c>
      <c r="AD90" s="22" t="s">
        <v>45</v>
      </c>
      <c r="AE90" s="22" t="s">
        <v>46</v>
      </c>
      <c r="AF90" s="22" t="s">
        <v>47</v>
      </c>
      <c r="AG90" s="21" t="s">
        <v>48</v>
      </c>
    </row>
    <row r="91" spans="1:33" ht="13.5" customHeight="1">
      <c r="A91" s="15">
        <v>747.24</v>
      </c>
      <c r="B91" s="18">
        <f>IF(ISNUMBER(A91),IF(AND(A91=INT(A91),MOD(A91,10)=0),0,IF(AND(A91=INT(A91),LEN(A91)=2),1,IF(AND(A91=INT(A91),LEN(A91)=3),2,LEN(A91)-FIND(".",A91)+2))),"")</f>
        <v>4</v>
      </c>
      <c r="C91" s="42" t="s">
        <v>804</v>
      </c>
      <c r="D91" s="19" t="str">
        <f>REPT("   ",B91*2)&amp;C91</f>
        <v xml:space="preserve">                        Used Fuel Storage Additional Overpacks</v>
      </c>
      <c r="E91" s="19" t="s">
        <v>35</v>
      </c>
      <c r="F91" s="19"/>
      <c r="G91" s="99"/>
      <c r="H91" s="19"/>
      <c r="I91" s="19"/>
      <c r="J91" s="26"/>
      <c r="K91" s="26">
        <v>200000</v>
      </c>
      <c r="L91" s="4" t="s">
        <v>729</v>
      </c>
      <c r="M91" s="32" t="s">
        <v>730</v>
      </c>
      <c r="N91" s="4">
        <v>1</v>
      </c>
      <c r="O91" s="4" t="s">
        <v>731</v>
      </c>
      <c r="P91" s="29">
        <v>1</v>
      </c>
      <c r="Q91" s="29">
        <v>2009</v>
      </c>
      <c r="R91" s="4" t="s">
        <v>163</v>
      </c>
      <c r="S91" s="32"/>
      <c r="T91" s="7"/>
      <c r="U91" s="56" t="s">
        <v>328</v>
      </c>
      <c r="V91" s="4"/>
      <c r="W91" s="21" t="s">
        <v>43</v>
      </c>
      <c r="X91" s="30">
        <v>0</v>
      </c>
      <c r="Y91" s="30">
        <v>0</v>
      </c>
      <c r="Z91" s="21" t="s">
        <v>44</v>
      </c>
      <c r="AA91" s="22">
        <f>0.8*K91</f>
        <v>160000</v>
      </c>
      <c r="AB91" s="22">
        <f>2*K91</f>
        <v>400000</v>
      </c>
      <c r="AC91" s="21" t="s">
        <v>44</v>
      </c>
      <c r="AD91" s="22">
        <v>0.1</v>
      </c>
      <c r="AE91" s="22">
        <v>1</v>
      </c>
      <c r="AF91" s="22">
        <v>0</v>
      </c>
      <c r="AG91" s="21" t="s">
        <v>48</v>
      </c>
    </row>
    <row r="92" spans="1:33" ht="45.75" customHeight="1">
      <c r="A92" s="15">
        <v>747.3</v>
      </c>
      <c r="B92" s="18">
        <f t="shared" ref="B92:B99" si="13">IF(ISNUMBER(A92),
    IF(AND(A92=INT(A92), MOD(A92, 10) = 0), 0,
        IF(AND(A92=INT(A92), LEN(A92)=2), 1,
            IF(AND(A92=INT(A92), LEN(A92)=3), 2,
                LEN(A92) - FIND(".", A92) + 2)
        )
    ),
"")</f>
        <v>3</v>
      </c>
      <c r="C92" s="42" t="s">
        <v>703</v>
      </c>
      <c r="D92" s="19" t="str">
        <f t="shared" ref="D92:D99" si="14">REPT("   ", B92*2) &amp; C92</f>
        <v xml:space="preserve">                  Annualized Helium Replenishment</v>
      </c>
      <c r="E92" s="19" t="s">
        <v>35</v>
      </c>
      <c r="F92" s="151" t="s">
        <v>623</v>
      </c>
      <c r="G92" s="99">
        <v>1</v>
      </c>
      <c r="H92" s="19"/>
      <c r="I92" s="19"/>
      <c r="J92" s="26"/>
      <c r="K92" s="26">
        <v>170</v>
      </c>
      <c r="L92" s="4" t="s">
        <v>196</v>
      </c>
      <c r="M92" s="32" t="s">
        <v>805</v>
      </c>
      <c r="N92" s="4"/>
      <c r="O92" s="4" t="s">
        <v>198</v>
      </c>
      <c r="P92" s="29"/>
      <c r="Q92" s="29">
        <v>2024</v>
      </c>
      <c r="R92" s="4" t="s">
        <v>163</v>
      </c>
      <c r="S92" s="32" t="s">
        <v>327</v>
      </c>
      <c r="T92" s="7" t="s">
        <v>327</v>
      </c>
      <c r="U92" s="56" t="s">
        <v>328</v>
      </c>
      <c r="V92" s="4" t="s">
        <v>329</v>
      </c>
      <c r="W92" s="21" t="s">
        <v>43</v>
      </c>
      <c r="X92" s="30">
        <v>0</v>
      </c>
      <c r="Y92" s="30">
        <v>0</v>
      </c>
      <c r="Z92" s="21" t="s">
        <v>44</v>
      </c>
      <c r="AA92" s="22">
        <f>0.9*K92</f>
        <v>153</v>
      </c>
      <c r="AB92" s="22">
        <f>1.3*K92</f>
        <v>221</v>
      </c>
      <c r="AC92" s="21" t="s">
        <v>44</v>
      </c>
      <c r="AD92" s="22" t="s">
        <v>45</v>
      </c>
      <c r="AE92" s="22" t="s">
        <v>46</v>
      </c>
      <c r="AF92" s="22" t="s">
        <v>47</v>
      </c>
      <c r="AG92" s="21" t="s">
        <v>48</v>
      </c>
    </row>
    <row r="93" spans="1:33" ht="13.5" customHeight="1">
      <c r="A93" s="15">
        <v>747.4</v>
      </c>
      <c r="B93" s="18">
        <f t="shared" si="13"/>
        <v>3</v>
      </c>
      <c r="C93" s="42" t="s">
        <v>705</v>
      </c>
      <c r="D93" s="19" t="str">
        <f t="shared" si="14"/>
        <v xml:space="preserve">                  Annualized Other Supplies and Utilities</v>
      </c>
      <c r="E93" s="19"/>
      <c r="F93" s="19"/>
      <c r="G93" s="99"/>
      <c r="H93" s="19"/>
      <c r="I93" s="19"/>
      <c r="J93" s="150"/>
      <c r="K93" s="26"/>
      <c r="L93" s="4"/>
      <c r="M93" s="32"/>
      <c r="N93" s="4"/>
      <c r="O93" s="4"/>
      <c r="P93" s="29"/>
      <c r="Q93" s="29"/>
      <c r="R93" s="4"/>
      <c r="S93" s="32"/>
      <c r="T93" s="7"/>
      <c r="U93" s="56"/>
      <c r="V93" s="4"/>
      <c r="W93" s="21"/>
      <c r="X93" s="30"/>
      <c r="Y93" s="30"/>
      <c r="Z93" s="21"/>
      <c r="AA93" s="22"/>
      <c r="AB93" s="22"/>
      <c r="AC93" s="21"/>
      <c r="AD93" s="22"/>
      <c r="AE93" s="22"/>
      <c r="AF93" s="22"/>
      <c r="AG93" s="21"/>
    </row>
    <row r="94" spans="1:33" ht="13.5" customHeight="1">
      <c r="A94" s="15">
        <v>747.5</v>
      </c>
      <c r="B94" s="18">
        <f t="shared" si="13"/>
        <v>3</v>
      </c>
      <c r="C94" s="42" t="s">
        <v>806</v>
      </c>
      <c r="D94" s="19" t="str">
        <f t="shared" si="14"/>
        <v xml:space="preserve">                  Servicing Vehicle O&amp;M</v>
      </c>
      <c r="E94" s="19"/>
      <c r="F94" s="19"/>
      <c r="G94" s="99"/>
      <c r="H94" s="19"/>
      <c r="I94" s="19"/>
      <c r="J94" s="150"/>
      <c r="K94" s="26"/>
      <c r="L94" s="4"/>
      <c r="M94" s="32"/>
      <c r="N94" s="4"/>
      <c r="O94" s="4"/>
      <c r="P94" s="29"/>
      <c r="Q94" s="29"/>
      <c r="R94" s="4"/>
      <c r="S94" s="32"/>
      <c r="T94" s="7"/>
      <c r="U94" s="56"/>
      <c r="V94" s="4"/>
      <c r="W94" s="21"/>
      <c r="X94" s="30"/>
      <c r="Y94" s="30"/>
      <c r="Z94" s="21"/>
      <c r="AA94" s="22"/>
      <c r="AB94" s="22"/>
      <c r="AC94" s="21"/>
      <c r="AD94" s="22"/>
      <c r="AE94" s="22"/>
      <c r="AF94" s="22"/>
      <c r="AG94" s="21"/>
    </row>
    <row r="95" spans="1:33" ht="23.25" customHeight="1">
      <c r="A95" s="15">
        <v>747.51</v>
      </c>
      <c r="B95" s="18">
        <f t="shared" si="13"/>
        <v>4</v>
      </c>
      <c r="C95" s="32" t="s">
        <v>807</v>
      </c>
      <c r="D95" s="19" t="str">
        <f t="shared" si="14"/>
        <v xml:space="preserve">                        Reactor Transport Vehicles O&amp;M</v>
      </c>
      <c r="E95" s="19" t="s">
        <v>35</v>
      </c>
      <c r="F95" s="19" t="s">
        <v>769</v>
      </c>
      <c r="G95" s="99">
        <v>1</v>
      </c>
      <c r="H95" s="19"/>
      <c r="I95" s="19"/>
      <c r="J95" s="150">
        <f>36*200000+1000000</f>
        <v>8200000</v>
      </c>
      <c r="K95" s="26"/>
      <c r="L95" s="4"/>
      <c r="M95" s="32"/>
      <c r="N95" s="4"/>
      <c r="O95" s="4"/>
      <c r="P95" s="29"/>
      <c r="Q95" s="29">
        <v>2024</v>
      </c>
      <c r="R95" s="4" t="s">
        <v>73</v>
      </c>
      <c r="S95" s="32"/>
      <c r="T95" s="7"/>
      <c r="U95" s="56"/>
      <c r="V95" s="4"/>
      <c r="W95" s="21" t="s">
        <v>43</v>
      </c>
      <c r="X95" s="30">
        <f>0.9*$J95</f>
        <v>7380000</v>
      </c>
      <c r="Y95" s="30">
        <f>1.5*J95</f>
        <v>12300000</v>
      </c>
      <c r="Z95" s="21" t="s">
        <v>44</v>
      </c>
      <c r="AA95" s="22">
        <f>0.9*K95</f>
        <v>0</v>
      </c>
      <c r="AB95" s="22">
        <f>1.3*K95</f>
        <v>0</v>
      </c>
      <c r="AC95" s="21" t="s">
        <v>44</v>
      </c>
      <c r="AD95" s="22" t="s">
        <v>45</v>
      </c>
      <c r="AE95" s="22" t="s">
        <v>46</v>
      </c>
      <c r="AF95" s="22" t="s">
        <v>47</v>
      </c>
      <c r="AG95" s="21" t="s">
        <v>48</v>
      </c>
    </row>
    <row r="96" spans="1:33" ht="23.25" customHeight="1">
      <c r="A96" s="15">
        <v>747.52</v>
      </c>
      <c r="B96" s="18">
        <f t="shared" si="13"/>
        <v>4</v>
      </c>
      <c r="C96" s="32" t="s">
        <v>808</v>
      </c>
      <c r="D96" s="19" t="str">
        <f t="shared" si="14"/>
        <v xml:space="preserve">                        Helium Transport Trucks O&amp;M</v>
      </c>
      <c r="E96" s="19" t="s">
        <v>35</v>
      </c>
      <c r="F96" s="19" t="s">
        <v>771</v>
      </c>
      <c r="G96" s="99">
        <v>1</v>
      </c>
      <c r="H96" s="19"/>
      <c r="I96" s="19"/>
      <c r="J96" s="150">
        <f>4*200000+500000</f>
        <v>1300000</v>
      </c>
      <c r="K96" s="26"/>
      <c r="L96" s="4"/>
      <c r="M96" s="32"/>
      <c r="N96" s="4"/>
      <c r="O96" s="4"/>
      <c r="P96" s="29"/>
      <c r="Q96" s="29">
        <v>2024</v>
      </c>
      <c r="R96" s="4" t="s">
        <v>73</v>
      </c>
      <c r="S96" s="32"/>
      <c r="T96" s="7"/>
      <c r="U96" s="56"/>
      <c r="V96" s="4"/>
      <c r="W96" s="21" t="s">
        <v>43</v>
      </c>
      <c r="X96" s="30">
        <f>0.9*$J96</f>
        <v>1170000</v>
      </c>
      <c r="Y96" s="30">
        <f>1.5*J96</f>
        <v>1950000</v>
      </c>
      <c r="Z96" s="21" t="s">
        <v>44</v>
      </c>
      <c r="AA96" s="22">
        <f>0.9*K96</f>
        <v>0</v>
      </c>
      <c r="AB96" s="22">
        <f>1.3*K96</f>
        <v>0</v>
      </c>
      <c r="AC96" s="21" t="s">
        <v>44</v>
      </c>
      <c r="AD96" s="22" t="s">
        <v>45</v>
      </c>
      <c r="AE96" s="22" t="s">
        <v>46</v>
      </c>
      <c r="AF96" s="22" t="s">
        <v>47</v>
      </c>
      <c r="AG96" s="21" t="s">
        <v>48</v>
      </c>
    </row>
    <row r="97" spans="1:33" ht="23.25" customHeight="1">
      <c r="A97" s="15">
        <v>747.53</v>
      </c>
      <c r="B97" s="18">
        <f t="shared" si="13"/>
        <v>4</v>
      </c>
      <c r="C97" s="32" t="s">
        <v>809</v>
      </c>
      <c r="D97" s="19" t="str">
        <f t="shared" si="14"/>
        <v xml:space="preserve">                        Water Tanker Trucks O&amp;M</v>
      </c>
      <c r="E97" s="19" t="s">
        <v>35</v>
      </c>
      <c r="F97" s="19" t="s">
        <v>773</v>
      </c>
      <c r="G97" s="99">
        <v>1</v>
      </c>
      <c r="H97" s="19"/>
      <c r="I97" s="19"/>
      <c r="J97" s="150">
        <f>4*200000+400000</f>
        <v>1200000</v>
      </c>
      <c r="K97" s="26"/>
      <c r="L97" s="4"/>
      <c r="M97" s="32"/>
      <c r="N97" s="4"/>
      <c r="O97" s="4"/>
      <c r="P97" s="29"/>
      <c r="Q97" s="29">
        <v>2024</v>
      </c>
      <c r="R97" s="4" t="s">
        <v>73</v>
      </c>
      <c r="S97" s="32"/>
      <c r="T97" s="7"/>
      <c r="U97" s="56"/>
      <c r="V97" s="4"/>
      <c r="W97" s="21" t="s">
        <v>43</v>
      </c>
      <c r="X97" s="30">
        <f>0.9*$J97</f>
        <v>1080000</v>
      </c>
      <c r="Y97" s="30">
        <f>1.5*J97</f>
        <v>1800000</v>
      </c>
      <c r="Z97" s="21" t="s">
        <v>44</v>
      </c>
      <c r="AA97" s="22">
        <f>0.9*K97</f>
        <v>0</v>
      </c>
      <c r="AB97" s="22">
        <f>1.3*K97</f>
        <v>0</v>
      </c>
      <c r="AC97" s="21" t="s">
        <v>44</v>
      </c>
      <c r="AD97" s="22" t="s">
        <v>45</v>
      </c>
      <c r="AE97" s="22" t="s">
        <v>46</v>
      </c>
      <c r="AF97" s="22" t="s">
        <v>47</v>
      </c>
      <c r="AG97" s="21" t="s">
        <v>48</v>
      </c>
    </row>
    <row r="98" spans="1:33" ht="23.25" customHeight="1">
      <c r="A98" s="15">
        <v>747.54</v>
      </c>
      <c r="B98" s="18">
        <f t="shared" si="13"/>
        <v>4</v>
      </c>
      <c r="C98" s="32" t="s">
        <v>810</v>
      </c>
      <c r="D98" s="19" t="str">
        <f t="shared" si="14"/>
        <v xml:space="preserve">                        Maintenance Trucks O&amp;M</v>
      </c>
      <c r="E98" s="19" t="s">
        <v>35</v>
      </c>
      <c r="F98" s="19" t="s">
        <v>775</v>
      </c>
      <c r="G98" s="99">
        <v>1</v>
      </c>
      <c r="H98" s="19"/>
      <c r="I98" s="19"/>
      <c r="J98" s="150">
        <f>10*2*200000+1000000</f>
        <v>5000000</v>
      </c>
      <c r="K98" s="26"/>
      <c r="L98" s="4"/>
      <c r="M98" s="32"/>
      <c r="N98" s="4"/>
      <c r="O98" s="4"/>
      <c r="P98" s="29"/>
      <c r="Q98" s="29">
        <v>2024</v>
      </c>
      <c r="R98" s="4" t="s">
        <v>73</v>
      </c>
      <c r="S98" s="32"/>
      <c r="T98" s="7"/>
      <c r="U98" s="56"/>
      <c r="V98" s="4"/>
      <c r="W98" s="21" t="s">
        <v>43</v>
      </c>
      <c r="X98" s="30">
        <f>0.9*$J98</f>
        <v>4500000</v>
      </c>
      <c r="Y98" s="30">
        <f>1.5*J98</f>
        <v>7500000</v>
      </c>
      <c r="Z98" s="21" t="s">
        <v>44</v>
      </c>
      <c r="AA98" s="22">
        <f>0.9*K98</f>
        <v>0</v>
      </c>
      <c r="AB98" s="22">
        <f>1.3*K98</f>
        <v>0</v>
      </c>
      <c r="AC98" s="21" t="s">
        <v>44</v>
      </c>
      <c r="AD98" s="22" t="s">
        <v>45</v>
      </c>
      <c r="AE98" s="22" t="s">
        <v>46</v>
      </c>
      <c r="AF98" s="22" t="s">
        <v>47</v>
      </c>
      <c r="AG98" s="21" t="s">
        <v>48</v>
      </c>
    </row>
    <row r="99" spans="1:33" ht="13.5" customHeight="1">
      <c r="A99" s="15">
        <v>75</v>
      </c>
      <c r="B99" s="18">
        <f t="shared" si="13"/>
        <v>1</v>
      </c>
      <c r="C99" s="42" t="s">
        <v>419</v>
      </c>
      <c r="D99" s="19" t="str">
        <f t="shared" si="14"/>
        <v xml:space="preserve">      Capital Plant Expenditures</v>
      </c>
      <c r="E99" s="19"/>
      <c r="F99" s="19"/>
      <c r="G99" s="156"/>
      <c r="H99" s="157"/>
      <c r="I99" s="157"/>
      <c r="J99" s="158"/>
      <c r="K99" s="159"/>
      <c r="L99" s="160"/>
      <c r="M99" s="160"/>
      <c r="N99" s="160"/>
      <c r="O99" s="160"/>
      <c r="P99" s="159"/>
      <c r="Q99" s="160"/>
      <c r="R99" s="160"/>
      <c r="S99" s="160"/>
      <c r="T99" s="160"/>
      <c r="U99" s="160"/>
      <c r="V99" s="160"/>
      <c r="W99" s="160"/>
      <c r="X99" s="159"/>
      <c r="Y99" s="159"/>
      <c r="Z99" s="160"/>
      <c r="AA99" s="159"/>
      <c r="AB99" s="159"/>
      <c r="AC99" s="160"/>
      <c r="AD99" s="159"/>
      <c r="AE99" s="159"/>
      <c r="AF99" s="159"/>
      <c r="AG99" s="160"/>
    </row>
    <row r="100" spans="1:33" ht="13.5" customHeight="1">
      <c r="A100" s="15">
        <v>78</v>
      </c>
      <c r="B100" s="18">
        <f>IF(ISNUMBER(A100),IF(AND(A100=INT(A100),MOD(A100,10)=0),0,IF(AND(A100=INT(A100),LEN(A100)=2),1,IF(AND(A100=INT(A100),LEN(A100)=3),2,LEN(A100)-FIND(".",A100)+2))),"")</f>
        <v>1</v>
      </c>
      <c r="C100" s="42" t="s">
        <v>437</v>
      </c>
      <c r="D100" s="19" t="str">
        <f>REPT("   ",B100*2)&amp;C100</f>
        <v xml:space="preserve">      Annualized Decommissioning Cost</v>
      </c>
      <c r="E100" s="19"/>
      <c r="F100" s="19"/>
      <c r="G100" s="156"/>
      <c r="H100" s="157"/>
      <c r="I100" s="157"/>
      <c r="J100" s="158"/>
      <c r="K100" s="159"/>
      <c r="L100" s="160"/>
      <c r="M100" s="160"/>
      <c r="N100" s="160"/>
      <c r="O100" s="160"/>
      <c r="P100" s="159"/>
      <c r="Q100" s="160"/>
      <c r="R100" s="160"/>
      <c r="S100" s="160"/>
      <c r="T100" s="160"/>
      <c r="U100" s="160"/>
      <c r="V100" s="160"/>
      <c r="W100" s="160"/>
      <c r="X100" s="159"/>
      <c r="Y100" s="159"/>
      <c r="Z100" s="160"/>
      <c r="AA100" s="159"/>
      <c r="AB100" s="159"/>
      <c r="AC100" s="160"/>
      <c r="AD100" s="159"/>
      <c r="AE100" s="159"/>
      <c r="AF100" s="159"/>
      <c r="AG100" s="160"/>
    </row>
  </sheetData>
  <mergeCells count="7">
    <mergeCell ref="T3:T4"/>
    <mergeCell ref="U3:U4"/>
    <mergeCell ref="T5:T6"/>
    <mergeCell ref="U5:U6"/>
    <mergeCell ref="S11:S12"/>
    <mergeCell ref="T11:T12"/>
    <mergeCell ref="U11:U12"/>
  </mergeCells>
  <conditionalFormatting sqref="A13:S13">
    <cfRule type="expression" dxfId="49" priority="19">
      <formula>$B13=3</formula>
    </cfRule>
    <cfRule type="expression" dxfId="48" priority="17">
      <formula>$B13&lt;2</formula>
    </cfRule>
    <cfRule type="expression" dxfId="47" priority="18">
      <formula>$B13=2</formula>
    </cfRule>
  </conditionalFormatting>
  <conditionalFormatting sqref="A24:S25">
    <cfRule type="expression" dxfId="46" priority="20">
      <formula>$B24&lt;2</formula>
    </cfRule>
  </conditionalFormatting>
  <conditionalFormatting sqref="A33:S34 A36:S36 A45:K45 A47:S49">
    <cfRule type="expression" dxfId="45" priority="24">
      <formula>$B33=2</formula>
    </cfRule>
    <cfRule type="expression" dxfId="44" priority="25">
      <formula>$B33=3</formula>
    </cfRule>
    <cfRule type="expression" dxfId="43" priority="23">
      <formula>$B33&lt;2</formula>
    </cfRule>
  </conditionalFormatting>
  <conditionalFormatting sqref="A2:AG12 A14:AG14 A15:R17 A18:AG23 A26:AG32 A35:AG35 A37:AG44 A46:AG46 A50:AG74 A75:J80 A81:AG99 T13:AG13 T15:AG17 T24:AG25 T33:AG34 T36:AG36 L45:AG45 T47:AG49 U75:AG80">
    <cfRule type="expression" dxfId="42" priority="48">
      <formula>$B2&lt;2</formula>
    </cfRule>
  </conditionalFormatting>
  <conditionalFormatting sqref="A2:AG12 T13:AG13 A14:AG14 A15:R17 T15:AG17 A18:AG23 T24:AG25 A26:AG32 T33:AG34 A35:AG35 T36:AG36 A37:AG44 L45:AG45 A46:AG46 T47:AG49 A50:AG62 A63:R65 T63:AG65 A66:AG74 A75:J80 U75:AG80 A81:AG99 A24:R25 N75:O80">
    <cfRule type="expression" dxfId="41" priority="49">
      <formula>$B2=2</formula>
    </cfRule>
  </conditionalFormatting>
  <conditionalFormatting sqref="A2:AG12 T13:AG13 A14:AG14 A15:R17 T15:AG17 A18:AG32 T33:AG34 A35:AG35 T36:AG36 A37:AG44 L45:AG45 A46:AG46 T47:AG49 A50:AG62 A63:R65 T63:AG65 A66:AG74 A75:J80 N75:O80 U75:AG80 A81:AG99">
    <cfRule type="expression" dxfId="40" priority="50">
      <formula>$B2=3</formula>
    </cfRule>
  </conditionalFormatting>
  <conditionalFormatting sqref="A2:AG100">
    <cfRule type="expression" dxfId="39" priority="13">
      <formula>$B2=0</formula>
    </cfRule>
  </conditionalFormatting>
  <conditionalFormatting sqref="C94:C98">
    <cfRule type="expression" dxfId="38" priority="8">
      <formula>$B94=0</formula>
    </cfRule>
  </conditionalFormatting>
  <conditionalFormatting sqref="F94:F98">
    <cfRule type="expression" dxfId="37" priority="7">
      <formula>$B94=0</formula>
    </cfRule>
  </conditionalFormatting>
  <conditionalFormatting sqref="J75:J80 J2:K74 J81:K99">
    <cfRule type="expression" dxfId="36" priority="47">
      <formula>AND(ISBLANK($J2),ISBLANK($K2),NOT(ISBLANK($E2)))</formula>
    </cfRule>
  </conditionalFormatting>
  <conditionalFormatting sqref="J79:J80">
    <cfRule type="expression" dxfId="35" priority="27">
      <formula>_xlfn.ISFORMULA(J79)</formula>
    </cfRule>
    <cfRule type="expression" dxfId="34" priority="28">
      <formula>$B79=0</formula>
    </cfRule>
  </conditionalFormatting>
  <conditionalFormatting sqref="J1:Q1048576 F91">
    <cfRule type="expression" dxfId="33" priority="26">
      <formula>_xlfn.ISFORMULA(F1)</formula>
    </cfRule>
  </conditionalFormatting>
  <conditionalFormatting sqref="K75:L76">
    <cfRule type="expression" dxfId="32" priority="36">
      <formula>$B76=3</formula>
    </cfRule>
    <cfRule type="expression" dxfId="31" priority="37">
      <formula>$B76=2</formula>
    </cfRule>
    <cfRule type="expression" dxfId="30" priority="38">
      <formula>$B76&lt;2</formula>
    </cfRule>
    <cfRule type="expression" dxfId="29" priority="39">
      <formula>$B76=0</formula>
    </cfRule>
  </conditionalFormatting>
  <conditionalFormatting sqref="K77:L80">
    <cfRule type="expression" dxfId="28" priority="34">
      <formula>$B77=2</formula>
    </cfRule>
    <cfRule type="expression" dxfId="27" priority="32">
      <formula>$B77=0</formula>
    </cfRule>
    <cfRule type="expression" dxfId="26" priority="33">
      <formula>$B77=3</formula>
    </cfRule>
    <cfRule type="expression" dxfId="25" priority="35">
      <formula>$B77&lt;2</formula>
    </cfRule>
  </conditionalFormatting>
  <conditionalFormatting sqref="K75:M80">
    <cfRule type="expression" dxfId="24" priority="40">
      <formula>$B75=3</formula>
    </cfRule>
    <cfRule type="expression" dxfId="23" priority="41">
      <formula>$B75=2</formula>
    </cfRule>
  </conditionalFormatting>
  <conditionalFormatting sqref="K75:O80">
    <cfRule type="expression" dxfId="22" priority="42">
      <formula>$B75&lt;2</formula>
    </cfRule>
  </conditionalFormatting>
  <conditionalFormatting sqref="M75">
    <cfRule type="expression" dxfId="21" priority="9">
      <formula>_xlfn.ISFORMULA(M75)</formula>
    </cfRule>
    <cfRule type="expression" dxfId="20" priority="10">
      <formula>$B75&lt;2</formula>
    </cfRule>
    <cfRule type="expression" dxfId="19" priority="11">
      <formula>$B75=2</formula>
    </cfRule>
    <cfRule type="expression" dxfId="18" priority="12">
      <formula>$B75=3</formula>
    </cfRule>
  </conditionalFormatting>
  <conditionalFormatting sqref="P75:T80">
    <cfRule type="expression" dxfId="17" priority="31">
      <formula>$B75&lt;2</formula>
    </cfRule>
    <cfRule type="expression" dxfId="16" priority="30">
      <formula>$B75=2</formula>
    </cfRule>
    <cfRule type="expression" dxfId="15" priority="29">
      <formula>$B75=3</formula>
    </cfRule>
  </conditionalFormatting>
  <conditionalFormatting sqref="R89:AG89">
    <cfRule type="expression" dxfId="14" priority="43">
      <formula>_xlfn.ISFORMULA(R89)</formula>
    </cfRule>
  </conditionalFormatting>
  <conditionalFormatting sqref="S15:S17">
    <cfRule type="expression" dxfId="13" priority="16">
      <formula>$B15=3</formula>
    </cfRule>
    <cfRule type="expression" dxfId="12" priority="14">
      <formula>$B15&lt;2</formula>
    </cfRule>
    <cfRule type="expression" dxfId="11" priority="15">
      <formula>$B15=2</formula>
    </cfRule>
  </conditionalFormatting>
  <conditionalFormatting sqref="S24:S25">
    <cfRule type="expression" dxfId="10" priority="51">
      <formula>$B24=2</formula>
    </cfRule>
  </conditionalFormatting>
  <conditionalFormatting sqref="S63:S65">
    <cfRule type="expression" dxfId="9" priority="22">
      <formula>$B63=3</formula>
    </cfRule>
    <cfRule type="expression" dxfId="8" priority="21">
      <formula>$B63=2</formula>
    </cfRule>
  </conditionalFormatting>
  <conditionalFormatting sqref="W86">
    <cfRule type="expression" dxfId="7" priority="5">
      <formula>$B86=0</formula>
    </cfRule>
  </conditionalFormatting>
  <conditionalFormatting sqref="W88">
    <cfRule type="expression" dxfId="6" priority="4">
      <formula>$B88=0</formula>
    </cfRule>
  </conditionalFormatting>
  <conditionalFormatting sqref="W90">
    <cfRule type="expression" dxfId="5" priority="3">
      <formula>$B90=0</formula>
    </cfRule>
  </conditionalFormatting>
  <conditionalFormatting sqref="W82:AG85">
    <cfRule type="expression" dxfId="4" priority="6">
      <formula>$B82=0</formula>
    </cfRule>
  </conditionalFormatting>
  <conditionalFormatting sqref="W94:AG98">
    <cfRule type="expression" dxfId="3" priority="2">
      <formula>$B94=0</formula>
    </cfRule>
  </conditionalFormatting>
  <conditionalFormatting sqref="X2:Z100">
    <cfRule type="expression" dxfId="2" priority="46">
      <formula>AND(ISBLANK($X2),ISBLANK($Y2),ISBLANK($Z2),NOT(ISBLANK($E2)))</formula>
    </cfRule>
  </conditionalFormatting>
  <conditionalFormatting sqref="AA2:AC100">
    <cfRule type="expression" dxfId="1" priority="45">
      <formula>AND(ISBLANK($AA2),ISBLANK($AB2),ISBLANK($AC2),NOT(ISBLANK($E2)))</formula>
    </cfRule>
  </conditionalFormatting>
  <conditionalFormatting sqref="AD2:AG100">
    <cfRule type="expression" dxfId="0" priority="44">
      <formula>AND(ISBLANK($AD2),ISBLANK($AE2),ISBLANK($AF2),NOT(ISBLANK($E2)))</formula>
    </cfRule>
  </conditionalFormatting>
  <dataValidations count="11">
    <dataValidation type="list" allowBlank="1" showInputMessage="1" showErrorMessage="1" sqref="E2:E100" xr:uid="{00000000-0002-0000-0600-000000000000}">
      <formula1>"standard,nonstandard"</formula1>
      <formula2>0</formula2>
    </dataValidation>
    <dataValidation type="list" allowBlank="1" showInputMessage="1" showErrorMessage="1" sqref="O2:O100" xr:uid="{00000000-0002-0000-0600-000001000000}">
      <formula1>"acres,MWe,m^3,MWt,Kg,Drums,kW,$,m^2,kg/s,Rx/yr"</formula1>
      <formula2>0</formula2>
    </dataValidation>
    <dataValidation type="list" allowBlank="1" showInputMessage="1" showErrorMessage="1" sqref="R2:R88 R90:R97" xr:uid="{00000000-0002-0000-0600-000002000000}">
      <formula1>"NA,General,Labor,Material,Equipment,Lab and Mat and Equip,'Lab and Equip"</formula1>
      <formula2>0</formula2>
    </dataValidation>
    <dataValidation type="decimal" allowBlank="1" showInputMessage="1" showErrorMessage="1" sqref="P75:P80" xr:uid="{00000000-0002-0000-0600-000003000000}">
      <formula1>0</formula1>
      <formula2>2</formula2>
    </dataValidation>
    <dataValidation type="list" allowBlank="1" showInputMessage="1" showErrorMessage="1" sqref="L75:L80" xr:uid="{00000000-0002-0000-0600-000004000000}">
      <formula1>"$/m^2,$/MWeHour,$/FTE,$/acres,$/MWe,$/m^3,$/MWt,$/Kg,$/Drum,$/(kg.sec),$/SWU,unitless,$/kWe"</formula1>
      <formula2>0</formula2>
    </dataValidation>
    <dataValidation type="list" allowBlank="1" showInputMessage="1" showErrorMessage="1" sqref="L2:L74 L81:L99" xr:uid="{00000000-0002-0000-0600-000005000000}">
      <formula1>"$/m^2,$/MWeHour,$/FTE,$/acres,$/MWe,$/m^3,$/MWt,$/Kg,$/Drum,$/(kg.sec),$/SWU,unitless,$/kWe,$/m,$/ft,Rx/yr"</formula1>
      <formula2>0</formula2>
    </dataValidation>
    <dataValidation type="whole" allowBlank="1" showInputMessage="1" showErrorMessage="1" sqref="Q2:Q105 R89:AG89 R98:R105" xr:uid="{00000000-0002-0000-0600-000006000000}">
      <formula1>1950</formula1>
      <formula2>2025</formula2>
    </dataValidation>
    <dataValidation type="decimal" operator="greaterThan" allowBlank="1" showInputMessage="1" showErrorMessage="1" sqref="K2:K9 N1:N1100 K33:K97 K11:K31" xr:uid="{00000000-0002-0000-0600-000007000000}">
      <formula1>0</formula1>
      <formula2>0</formula2>
    </dataValidation>
    <dataValidation type="list" allowBlank="1" showInputMessage="1" showErrorMessage="1" sqref="M272:M283" xr:uid="{00000000-0002-0000-0600-000008000000}">
      <formula1>"Land Area,Power MWe,Excavation Volume,Reactor Building Slab Roof Volume,	Reactor Building  Basement Volume,Reactor Building  Exterior Walls Volume,		Turbine Building Slab Roof Volume,	Turbine Building  Basement Volume,	Turbine Building  Exterior Wall"</formula1>
      <formula2>0</formula2>
    </dataValidation>
    <dataValidation type="list" allowBlank="1" showInputMessage="1" showErrorMessage="1" sqref="L1 L100:L1100" xr:uid="{00000000-0002-0000-0600-000009000000}">
      <formula1>"$/acres,$/MWe,$/m^3,$/MWt"</formula1>
      <formula2>0</formula2>
    </dataValidation>
    <dataValidation type="whole" allowBlank="1" showInputMessage="1" showErrorMessage="1" sqref="P100:P252" xr:uid="{00000000-0002-0000-0600-00000A000000}">
      <formula1>0</formula1>
      <formula2>2</formula2>
    </dataValidation>
  </dataValidations>
  <hyperlinks>
    <hyperlink ref="U3" r:id="rId1" xr:uid="{00000000-0004-0000-0600-000000000000}"/>
    <hyperlink ref="U28" r:id="rId2" xr:uid="{00000000-0004-0000-0600-000001000000}"/>
    <hyperlink ref="U39" r:id="rId3" xr:uid="{00000000-0004-0000-0600-000002000000}"/>
    <hyperlink ref="U41" r:id="rId4" xr:uid="{00000000-0004-0000-0600-000003000000}"/>
  </hyperlinks>
  <pageMargins left="0.7" right="0.7" top="0.75" bottom="0.75" header="0.3" footer="0.3"/>
  <drawing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Cost Database</vt:lpstr>
      <vt:lpstr>MARVEL_Cost</vt:lpstr>
      <vt:lpstr>Design Variables</vt:lpstr>
      <vt:lpstr>Inflation Adjustment</vt:lpstr>
      <vt:lpstr>Economics Parameters</vt:lpstr>
      <vt:lpstr>Manufacturing Campus Database</vt:lpstr>
      <vt:lpstr>Servicing Campus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Jakub Toman</cp:lastModifiedBy>
  <dcterms:created xsi:type="dcterms:W3CDTF">2026-09-24T21:14:13Z</dcterms:created>
  <dcterms:modified xsi:type="dcterms:W3CDTF">2026-09-24T21:24:32Z</dcterms:modified>
</cp:coreProperties>
</file>