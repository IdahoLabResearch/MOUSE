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7.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comments4.xml" ContentType="application/vnd.openxmlformats-officedocument.spreadsheetml.comments+xml"/>
  <Override PartName="/xl/theme/theme1.xml" ContentType="application/vnd.openxmlformats-officedocument.theme+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drawing1.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workbook.xml" ContentType="application/vnd.openxmlformats-officedocument.spreadsheetml.sheet.main+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st Database" sheetId="1" state="visible" r:id="rId3"/>
    <sheet name="MARVEL_Cost" sheetId="2" state="visible" r:id="rId4"/>
    <sheet name="Design Variables" sheetId="3" state="visible" r:id="rId5"/>
    <sheet name="Inflation Adjustment" sheetId="4" state="visible" r:id="rId6"/>
    <sheet name="Economics Parameters" sheetId="5" state="visible" r:id="rId7"/>
    <sheet name="Manufacturing Campus Database" sheetId="6" state="visible" r:id="rId8"/>
    <sheet name="Servicing Campus Database" sheetId="7" state="visible" r:id="rId9"/>
  </sheets>
  <definedNames>
    <definedName function="false" hidden="false" name="CRF" vbProcedure="false">#ref!</definedName>
    <definedName function="false" hidden="false" name="DiscountRate" vbProcedure="false">#ref!</definedName>
    <definedName function="false" hidden="false" name="FacilityLifetime" vbProcedure="false">#ref!</definedName>
    <definedName function="false" hidden="false" name="GeneralDataManufacturingLocations" vbProcedure="false">#ref!</definedName>
    <definedName function="false" hidden="false" name="MaterialData316SSStandardDensity" vbProcedure="false">#ref!</definedName>
    <definedName function="false" hidden="false" name="MaterialDataA36CSStandardDensity" vbProcedure="false">#ref!</definedName>
    <definedName function="false" hidden="false" name="MaterialDataB4CNaturalTheoreticalDensity" vbProcedure="false">#ref!</definedName>
    <definedName function="false" hidden="false" name="MaterialDataConcreteNominalSolidDensity" vbProcedure="false">#ref!</definedName>
    <definedName function="false" hidden="false" name="MaterialDataGeneralInsulationStandardDensity" vbProcedure="false">#ref!</definedName>
    <definedName function="false" hidden="false" name="MaterialDataGR22StandardDensity" vbProcedure="false">#ref!</definedName>
    <definedName function="false" hidden="false" name="MaterialDataInconel718StandardDensity" vbProcedure="false">#ref!</definedName>
    <definedName function="false" hidden="false" name="UC_m_in" vbProcedure="false">#ref!</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tc={14B9AD5A-4980-0741-8976-E2B49F6BC03E}</author>
  </authors>
  <commentList>
    <comment ref="A2"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r>
      </text>
      <mc:AlternateContent>
        <mc:Choice Requires="v2">
          <commentPr autoFill="true" autoScale="false" colHidden="false" locked="false" rowHidden="false" textHAlign="justify" textVAlign="top">
            <anchor moveWithCells="false" sizeWithCells="false">
              <xdr:from>
                <xdr:col>0</xdr:col>
                <xdr:colOff>15</xdr:colOff>
                <xdr:row>1</xdr:row>
                <xdr:rowOff>2</xdr:rowOff>
              </xdr:from>
              <xdr:to>
                <xdr:col>5</xdr:col>
                <xdr:colOff>15</xdr:colOff>
                <xdr:row>21</xdr:row>
                <xdr:rowOff>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tc={0D27F3AA-38CC-DB4F-AC46-7D5540427668}</author>
    <author>tc={1451C5AC-86F9-9D4C-ADB7-F5287324A13C}</author>
    <author>tc={16341CCD-5222-FC40-8EBB-593EC0FFF72E}</author>
    <author>tc={1C878FC3-0C22-684D-A4EA-C16FEF511196}</author>
    <author>tc={1F5B41FD-B8FA-3344-AB56-3A82A0AC634A}</author>
    <author>tc={33147556-F71F-7A43-971C-9B8F006567B7}</author>
    <author>tc={437E448C-B153-DF4D-8B36-7B4214F8C9F3}</author>
    <author>tc={48DF5501-B371-7E41-90FF-D81D54A249F2}</author>
    <author>tc={49B63920-8E43-C046-B216-2C01BA9CE7A0}</author>
    <author>tc={70E9F01D-2BEC-9B46-A224-A418B36BD6CE}</author>
    <author>tc={806AF0A4-3C68-E146-B5C0-D43CE320EB2F}</author>
    <author>tc={841BB18A-10BB-C449-896A-170D65AA9EC4}</author>
    <author>tc={85BD6978-DC7A-F447-9579-DA811C96A522}</author>
    <author>tc={9EDD4E9A-2FB7-4A42-9935-F81FB339B754}</author>
    <author>tc={9FBD0A37-C76D-6349-A76E-48D6929A0DF4}</author>
    <author>tc={ABD35BF5-1223-2A41-9141-B2F65B4B5936}</author>
    <author>tc={CD071524-0D2D-5740-9CA2-6D5016623B2D}</author>
    <author>tc={D3E4FAF8-F186-F242-81DE-8ABCC981E10E}</author>
    <author>tc={D75E3E48-A60A-AD43-88F8-01198D38080D}</author>
    <author>tc={DE759A45-C01A-A84F-A3F1-21F5CBF9CA1F}</author>
    <author>tc={E0FA3B8C-0C66-5649-B827-96667637FB12}</author>
    <author>tc={E952D9A1-B772-A443-8512-7233EC4484C6}</author>
    <author>tc={EC46ECDF-4166-1042-8714-CC863AB4C9DC}</author>
    <author>tc={F07104D1-80C1-1B4A-9262-11D29360C7DF}</author>
    <author>tc={F15FDEF3-AC54-6846-AEB6-C531CF049D15}</author>
  </authors>
  <commentList>
    <comment ref="C26" authorId="1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r>
      </text>
      <mc:AlternateContent>
        <mc:Choice Requires="v2">
          <commentPr autoFill="true" autoScale="false" colHidden="false" locked="false" rowHidden="false" textHAlign="justify" textVAlign="top">
            <anchor moveWithCells="false" sizeWithCells="false">
              <xdr:from>
                <xdr:col>2</xdr:col>
                <xdr:colOff>15</xdr:colOff>
                <xdr:row>25</xdr:row>
                <xdr:rowOff>2</xdr:rowOff>
              </xdr:from>
              <xdr:to>
                <xdr:col>7</xdr:col>
                <xdr:colOff>15</xdr:colOff>
                <xdr:row>47</xdr:row>
                <xdr:rowOff>46</xdr:rowOff>
              </xdr:to>
            </anchor>
          </commentPr>
        </mc:Choice>
        <mc:Fallback/>
      </mc:AlternateContent>
    </comment>
    <comment ref="C68" authorId="2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r>
      </text>
      <mc:AlternateContent>
        <mc:Choice Requires="v2">
          <commentPr autoFill="true" autoScale="false" colHidden="false" locked="false" rowHidden="false" textHAlign="justify" textVAlign="top">
            <anchor moveWithCells="false" sizeWithCells="false">
              <xdr:from>
                <xdr:col>2</xdr:col>
                <xdr:colOff>15</xdr:colOff>
                <xdr:row>67</xdr:row>
                <xdr:rowOff>2</xdr:rowOff>
              </xdr:from>
              <xdr:to>
                <xdr:col>7</xdr:col>
                <xdr:colOff>15</xdr:colOff>
                <xdr:row>87</xdr:row>
                <xdr:rowOff>6</xdr:rowOff>
              </xdr:to>
            </anchor>
          </commentPr>
        </mc:Choice>
        <mc:Fallback/>
      </mc:AlternateContent>
    </comment>
    <comment ref="E1"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r>
      </text>
      <mc:AlternateContent>
        <mc:Choice Requires="v2">
          <commentPr autoFill="true" autoScale="false" colHidden="false" locked="false" rowHidden="false" textHAlign="justify" textVAlign="top">
            <anchor moveWithCells="false" sizeWithCells="false">
              <xdr:from>
                <xdr:col>4</xdr:col>
                <xdr:colOff>15</xdr:colOff>
                <xdr:row>0</xdr:row>
                <xdr:rowOff>2</xdr:rowOff>
              </xdr:from>
              <xdr:to>
                <xdr:col>9</xdr:col>
                <xdr:colOff>15</xdr:colOff>
                <xdr:row>24</xdr:row>
                <xdr:rowOff>40</xdr:rowOff>
              </xdr:to>
            </anchor>
          </commentPr>
        </mc:Choice>
        <mc:Fallback/>
      </mc:AlternateContent>
    </comment>
    <comment ref="E4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Should this be Standard?</t>
        </r>
      </text>
      <mc:AlternateContent>
        <mc:Choice Requires="v2">
          <commentPr autoFill="true" autoScale="false" colHidden="false" locked="false" rowHidden="false" textHAlign="justify" textVAlign="top">
            <anchor moveWithCells="false" sizeWithCells="false">
              <xdr:from>
                <xdr:col>4</xdr:col>
                <xdr:colOff>15</xdr:colOff>
                <xdr:row>47</xdr:row>
                <xdr:rowOff>2</xdr:rowOff>
              </xdr:from>
              <xdr:to>
                <xdr:col>9</xdr:col>
                <xdr:colOff>15</xdr:colOff>
                <xdr:row>75</xdr:row>
                <xdr:rowOff>1</xdr:rowOff>
              </xdr:to>
            </anchor>
          </commentPr>
        </mc:Choice>
        <mc:Fallback/>
      </mc:AlternateContent>
    </comment>
    <comment ref="F1" authorId="1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r>
      </text>
      <mc:AlternateContent>
        <mc:Choice Requires="v2">
          <commentPr autoFill="true" autoScale="false" colHidden="false" locked="false" rowHidden="false" textHAlign="justify" textVAlign="top">
            <anchor moveWithCells="false" sizeWithCells="false">
              <xdr:from>
                <xdr:col>5</xdr:col>
                <xdr:colOff>15</xdr:colOff>
                <xdr:row>0</xdr:row>
                <xdr:rowOff>2</xdr:rowOff>
              </xdr:from>
              <xdr:to>
                <xdr:col>10</xdr:col>
                <xdr:colOff>15</xdr:colOff>
                <xdr:row>24</xdr:row>
                <xdr:rowOff>40</xdr:rowOff>
              </xdr:to>
            </anchor>
          </commentPr>
        </mc:Choice>
        <mc:Fallback/>
      </mc:AlternateContent>
    </comment>
    <comment ref="G1" authorId="1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r>
      </text>
      <mc:AlternateContent>
        <mc:Choice Requires="v2">
          <commentPr autoFill="true" autoScale="false" colHidden="false" locked="false" rowHidden="false" textHAlign="justify" textVAlign="top">
            <anchor moveWithCells="false" sizeWithCells="false">
              <xdr:from>
                <xdr:col>6</xdr:col>
                <xdr:colOff>15</xdr:colOff>
                <xdr:row>0</xdr:row>
                <xdr:rowOff>2</xdr:rowOff>
              </xdr:from>
              <xdr:to>
                <xdr:col>11</xdr:col>
                <xdr:colOff>15</xdr:colOff>
                <xdr:row>24</xdr:row>
                <xdr:rowOff>40</xdr:rowOff>
              </xdr:to>
            </anchor>
          </commentPr>
        </mc:Choice>
        <mc:Fallback/>
      </mc:AlternateContent>
    </comment>
    <comment ref="H1" authorId="1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r>
      </text>
      <mc:AlternateContent>
        <mc:Choice Requires="v2">
          <commentPr autoFill="true" autoScale="false" colHidden="false" locked="false" rowHidden="false" textHAlign="justify" textVAlign="top">
            <anchor moveWithCells="false" sizeWithCells="false">
              <xdr:from>
                <xdr:col>7</xdr:col>
                <xdr:colOff>15</xdr:colOff>
                <xdr:row>0</xdr:row>
                <xdr:rowOff>2</xdr:rowOff>
              </xdr:from>
              <xdr:to>
                <xdr:col>12</xdr:col>
                <xdr:colOff>15</xdr:colOff>
                <xdr:row>24</xdr:row>
                <xdr:rowOff>40</xdr:rowOff>
              </xdr:to>
            </anchor>
          </commentPr>
        </mc:Choice>
        <mc:Fallback/>
      </mc:AlternateContent>
    </comment>
    <comment ref="J1"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Fixed Cost per Count</t>
        </r>
      </text>
      <mc:AlternateContent>
        <mc:Choice Requires="v2">
          <commentPr autoFill="true" autoScale="false" colHidden="false" locked="false" rowHidden="false" textHAlign="justify" textVAlign="top">
            <anchor moveWithCells="false" sizeWithCells="false">
              <xdr:from>
                <xdr:col>9</xdr:col>
                <xdr:colOff>15</xdr:colOff>
                <xdr:row>0</xdr:row>
                <xdr:rowOff>2</xdr:rowOff>
              </xdr:from>
              <xdr:to>
                <xdr:col>14</xdr:col>
                <xdr:colOff>15</xdr:colOff>
                <xdr:row>24</xdr:row>
                <xdr:rowOff>40</xdr:rowOff>
              </xdr:to>
            </anchor>
          </commentPr>
        </mc:Choice>
        <mc:Fallback/>
      </mc:AlternateContent>
    </comment>
    <comment ref="J5" authorId="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r>
      </text>
      <mc:AlternateContent>
        <mc:Choice Requires="v2">
          <commentPr autoFill="true" autoScale="false" colHidden="false" locked="false" rowHidden="false" textHAlign="justify" textVAlign="top">
            <anchor moveWithCells="false" sizeWithCells="false">
              <xdr:from>
                <xdr:col>9</xdr:col>
                <xdr:colOff>15</xdr:colOff>
                <xdr:row>4</xdr:row>
                <xdr:rowOff>2</xdr:rowOff>
              </xdr:from>
              <xdr:to>
                <xdr:col>14</xdr:col>
                <xdr:colOff>15</xdr:colOff>
                <xdr:row>26</xdr:row>
                <xdr:rowOff>18</xdr:rowOff>
              </xdr:to>
            </anchor>
          </commentPr>
        </mc:Choice>
        <mc:Fallback/>
      </mc:AlternateContent>
    </comment>
    <comment ref="J59" authorId="2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r>
      </text>
      <mc:AlternateContent>
        <mc:Choice Requires="v2">
          <commentPr autoFill="true" autoScale="false" colHidden="false" locked="false" rowHidden="false" textHAlign="justify" textVAlign="top">
            <anchor moveWithCells="false" sizeWithCells="false">
              <xdr:from>
                <xdr:col>9</xdr:col>
                <xdr:colOff>15</xdr:colOff>
                <xdr:row>58</xdr:row>
                <xdr:rowOff>2</xdr:rowOff>
              </xdr:from>
              <xdr:to>
                <xdr:col>14</xdr:col>
                <xdr:colOff>15</xdr:colOff>
                <xdr:row>80</xdr:row>
                <xdr:rowOff>6</xdr:rowOff>
              </xdr:to>
            </anchor>
          </commentPr>
        </mc:Choice>
        <mc:Fallback/>
      </mc:AlternateContent>
    </comment>
    <comment ref="J68"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r>
      </text>
      <mc:AlternateContent>
        <mc:Choice Requires="v2">
          <commentPr autoFill="true" autoScale="false" colHidden="false" locked="false" rowHidden="false" textHAlign="justify" textVAlign="top">
            <anchor moveWithCells="false" sizeWithCells="false">
              <xdr:from>
                <xdr:col>9</xdr:col>
                <xdr:colOff>15</xdr:colOff>
                <xdr:row>67</xdr:row>
                <xdr:rowOff>2</xdr:rowOff>
              </xdr:from>
              <xdr:to>
                <xdr:col>14</xdr:col>
                <xdr:colOff>15</xdr:colOff>
                <xdr:row>87</xdr:row>
                <xdr:rowOff>6</xdr:rowOff>
              </xdr:to>
            </anchor>
          </commentPr>
        </mc:Choice>
        <mc:Fallback/>
      </mc:AlternateContent>
    </comment>
    <comment ref="J69" authorId="2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r>
      </text>
      <mc:AlternateContent>
        <mc:Choice Requires="v2">
          <commentPr autoFill="true" autoScale="false" colHidden="false" locked="false" rowHidden="false" textHAlign="justify" textVAlign="top">
            <anchor moveWithCells="false" sizeWithCells="false">
              <xdr:from>
                <xdr:col>9</xdr:col>
                <xdr:colOff>15</xdr:colOff>
                <xdr:row>68</xdr:row>
                <xdr:rowOff>2</xdr:rowOff>
              </xdr:from>
              <xdr:to>
                <xdr:col>14</xdr:col>
                <xdr:colOff>15</xdr:colOff>
                <xdr:row>88</xdr:row>
                <xdr:rowOff>4</xdr:rowOff>
              </xdr:to>
            </anchor>
          </commentPr>
        </mc:Choice>
        <mc:Fallback/>
      </mc:AlternateContent>
    </comment>
    <comment ref="K1" authorId="1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r>
      </text>
      <mc:AlternateContent>
        <mc:Choice Requires="v2">
          <commentPr autoFill="true" autoScale="false" colHidden="false" locked="false" rowHidden="false" textHAlign="justify" textVAlign="top">
            <anchor moveWithCells="false" sizeWithCells="false">
              <xdr:from>
                <xdr:col>10</xdr:col>
                <xdr:colOff>15</xdr:colOff>
                <xdr:row>0</xdr:row>
                <xdr:rowOff>2</xdr:rowOff>
              </xdr:from>
              <xdr:to>
                <xdr:col>15</xdr:col>
                <xdr:colOff>15</xdr:colOff>
                <xdr:row>24</xdr:row>
                <xdr:rowOff>40</xdr:rowOff>
              </xdr:to>
            </anchor>
          </commentPr>
        </mc:Choice>
        <mc:Fallback/>
      </mc:AlternateContent>
    </comment>
    <comment ref="K37" authorId="1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r>
      </text>
      <mc:AlternateContent>
        <mc:Choice Requires="v2">
          <commentPr autoFill="true" autoScale="false" colHidden="false" locked="false" rowHidden="false" textHAlign="justify" textVAlign="top">
            <anchor moveWithCells="false" sizeWithCells="false">
              <xdr:from>
                <xdr:col>10</xdr:col>
                <xdr:colOff>15</xdr:colOff>
                <xdr:row>36</xdr:row>
                <xdr:rowOff>2</xdr:rowOff>
              </xdr:from>
              <xdr:to>
                <xdr:col>15</xdr:col>
                <xdr:colOff>15</xdr:colOff>
                <xdr:row>59</xdr:row>
                <xdr:rowOff>2</xdr:rowOff>
              </xdr:to>
            </anchor>
          </commentPr>
        </mc:Choice>
        <mc:Fallback/>
      </mc:AlternateContent>
    </comment>
    <comment ref="L21"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$/(RX/yr)</t>
        </r>
      </text>
      <mc:AlternateContent>
        <mc:Choice Requires="v2">
          <commentPr autoFill="true" autoScale="false" colHidden="false" locked="false" rowHidden="false" textHAlign="justify" textVAlign="top">
            <anchor moveWithCells="false" sizeWithCells="false">
              <xdr:from>
                <xdr:col>11</xdr:col>
                <xdr:colOff>15</xdr:colOff>
                <xdr:row>20</xdr:row>
                <xdr:rowOff>2</xdr:rowOff>
              </xdr:from>
              <xdr:to>
                <xdr:col>16</xdr:col>
                <xdr:colOff>15</xdr:colOff>
                <xdr:row>45</xdr:row>
                <xdr:rowOff>12</xdr:rowOff>
              </xdr:to>
            </anchor>
          </commentPr>
        </mc:Choice>
        <mc:Fallback/>
      </mc:AlternateContent>
    </comment>
    <comment ref="L22" authorId="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$/(RX/yr)</t>
        </r>
      </text>
      <mc:AlternateContent>
        <mc:Choice Requires="v2">
          <commentPr autoFill="true" autoScale="false" colHidden="false" locked="false" rowHidden="false" textHAlign="justify" textVAlign="top">
            <anchor moveWithCells="false" sizeWithCells="false">
              <xdr:from>
                <xdr:col>11</xdr:col>
                <xdr:colOff>15</xdr:colOff>
                <xdr:row>21</xdr:row>
                <xdr:rowOff>2</xdr:rowOff>
              </xdr:from>
              <xdr:to>
                <xdr:col>16</xdr:col>
                <xdr:colOff>15</xdr:colOff>
                <xdr:row>46</xdr:row>
                <xdr:rowOff>12</xdr:rowOff>
              </xdr:to>
            </anchor>
          </commentPr>
        </mc:Choice>
        <mc:Fallback/>
      </mc:AlternateContent>
    </comment>
    <comment ref="M11" authorId="1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r>
      </text>
      <mc:AlternateContent>
        <mc:Choice Requires="v2">
          <commentPr autoFill="true" autoScale="false" colHidden="false" locked="false" rowHidden="false" textHAlign="justify" textVAlign="top">
            <anchor moveWithCells="false" sizeWithCells="false">
              <xdr:from>
                <xdr:col>12</xdr:col>
                <xdr:colOff>15</xdr:colOff>
                <xdr:row>10</xdr:row>
                <xdr:rowOff>2</xdr:rowOff>
              </xdr:from>
              <xdr:to>
                <xdr:col>17</xdr:col>
                <xdr:colOff>15</xdr:colOff>
                <xdr:row>32</xdr:row>
                <xdr:rowOff>3</xdr:rowOff>
              </xdr:to>
            </anchor>
          </commentPr>
        </mc:Choice>
        <mc:Fallback/>
      </mc:AlternateContent>
    </comment>
    <comment ref="O13" authorId="2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 meter as an option for unit</t>
        </r>
      </text>
      <mc:AlternateContent>
        <mc:Choice Requires="v2">
          <commentPr autoFill="true" autoScale="false" colHidden="false" locked="false" rowHidden="false" textHAlign="justify" textVAlign="top">
            <anchor moveWithCells="false" sizeWithCells="false">
              <xdr:from>
                <xdr:col>14</xdr:col>
                <xdr:colOff>15</xdr:colOff>
                <xdr:row>12</xdr:row>
                <xdr:rowOff>2</xdr:rowOff>
              </xdr:from>
              <xdr:to>
                <xdr:col>19</xdr:col>
                <xdr:colOff>15</xdr:colOff>
                <xdr:row>36</xdr:row>
                <xdr:rowOff>54</xdr:rowOff>
              </xdr:to>
            </anchor>
          </commentPr>
        </mc:Choice>
        <mc:Fallback/>
      </mc:AlternateContent>
    </comment>
    <comment ref="P21" authorId="1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improved</t>
        </r>
      </text>
      <mc:AlternateContent>
        <mc:Choice Requires="v2">
          <commentPr autoFill="true" autoScale="false" colHidden="false" locked="false" rowHidden="false" textHAlign="justify" textVAlign="top">
            <anchor moveWithCells="false" sizeWithCells="false">
              <xdr:from>
                <xdr:col>15</xdr:col>
                <xdr:colOff>15</xdr:colOff>
                <xdr:row>20</xdr:row>
                <xdr:rowOff>2</xdr:rowOff>
              </xdr:from>
              <xdr:to>
                <xdr:col>20</xdr:col>
                <xdr:colOff>15</xdr:colOff>
                <xdr:row>45</xdr:row>
                <xdr:rowOff>12</xdr:rowOff>
              </xdr:to>
            </anchor>
          </commentPr>
        </mc:Choice>
        <mc:Fallback/>
      </mc:AlternateContent>
    </comment>
    <comment ref="P22" authorId="1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improved</t>
        </r>
      </text>
      <mc:AlternateContent>
        <mc:Choice Requires="v2">
          <commentPr autoFill="true" autoScale="false" colHidden="false" locked="false" rowHidden="false" textHAlign="justify" textVAlign="top">
            <anchor moveWithCells="false" sizeWithCells="false">
              <xdr:from>
                <xdr:col>15</xdr:col>
                <xdr:colOff>15</xdr:colOff>
                <xdr:row>21</xdr:row>
                <xdr:rowOff>2</xdr:rowOff>
              </xdr:from>
              <xdr:to>
                <xdr:col>20</xdr:col>
                <xdr:colOff>15</xdr:colOff>
                <xdr:row>46</xdr:row>
                <xdr:rowOff>12</xdr:rowOff>
              </xdr:to>
            </anchor>
          </commentPr>
        </mc:Choice>
        <mc:Fallback/>
      </mc:AlternateContent>
    </comment>
    <comment ref="Q1" authorId="1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Base Year before Escalation</t>
        </r>
      </text>
      <mc:AlternateContent>
        <mc:Choice Requires="v2">
          <commentPr autoFill="true" autoScale="false" colHidden="false" locked="false" rowHidden="false" textHAlign="justify" textVAlign="top">
            <anchor moveWithCells="false" sizeWithCells="false">
              <xdr:from>
                <xdr:col>16</xdr:col>
                <xdr:colOff>15</xdr:colOff>
                <xdr:row>0</xdr:row>
                <xdr:rowOff>2</xdr:rowOff>
              </xdr:from>
              <xdr:to>
                <xdr:col>21</xdr:col>
                <xdr:colOff>15</xdr:colOff>
                <xdr:row>24</xdr:row>
                <xdr:rowOff>40</xdr:rowOff>
              </xdr:to>
            </anchor>
          </commentPr>
        </mc:Choice>
        <mc:Fallback/>
      </mc:AlternateContent>
    </comment>
    <comment ref="R1" authorId="2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r>
      </text>
      <mc:AlternateContent>
        <mc:Choice Requires="v2">
          <commentPr autoFill="true" autoScale="false" colHidden="false" locked="false" rowHidden="false" textHAlign="justify" textVAlign="top">
            <anchor moveWithCells="false" sizeWithCells="false">
              <xdr:from>
                <xdr:col>17</xdr:col>
                <xdr:colOff>15</xdr:colOff>
                <xdr:row>0</xdr:row>
                <xdr:rowOff>2</xdr:rowOff>
              </xdr:from>
              <xdr:to>
                <xdr:col>22</xdr:col>
                <xdr:colOff>15</xdr:colOff>
                <xdr:row>24</xdr:row>
                <xdr:rowOff>40</xdr:rowOff>
              </xdr:to>
            </anchor>
          </commentPr>
        </mc:Choice>
        <mc:Fallback/>
      </mc:AlternateContent>
    </comment>
    <comment ref="W1" authorId="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r>
      </text>
      <mc:AlternateContent>
        <mc:Choice Requires="v2">
          <commentPr autoFill="true" autoScale="false" colHidden="false" locked="false" rowHidden="false" textHAlign="justify" textVAlign="top">
            <anchor moveWithCells="false" sizeWithCells="false">
              <xdr:from>
                <xdr:col>22</xdr:col>
                <xdr:colOff>15</xdr:colOff>
                <xdr:row>0</xdr:row>
                <xdr:rowOff>2</xdr:rowOff>
              </xdr:from>
              <xdr:to>
                <xdr:col>27</xdr:col>
                <xdr:colOff>15</xdr:colOff>
                <xdr:row>24</xdr:row>
                <xdr:rowOff>40</xdr:rowOff>
              </xdr:to>
            </anchor>
          </commentPr>
        </mc:Choice>
        <mc:Fallback/>
      </mc:AlternateContent>
    </comment>
    <comment ref="X1" authorId="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r>
      </text>
      <mc:AlternateContent>
        <mc:Choice Requires="v2">
          <commentPr autoFill="true" autoScale="false" colHidden="false" locked="false" rowHidden="false" textHAlign="justify" textVAlign="top">
            <anchor moveWithCells="false" sizeWithCells="false">
              <xdr:from>
                <xdr:col>23</xdr:col>
                <xdr:colOff>15</xdr:colOff>
                <xdr:row>0</xdr:row>
                <xdr:rowOff>2</xdr:rowOff>
              </xdr:from>
              <xdr:to>
                <xdr:col>28</xdr:col>
                <xdr:colOff>15</xdr:colOff>
                <xdr:row>24</xdr:row>
                <xdr:rowOff>40</xdr:rowOff>
              </xdr:to>
            </anchor>
          </commentPr>
        </mc:Choice>
        <mc:Fallback/>
      </mc:AlternateContent>
    </comment>
    <comment ref="AA1"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r>
      </text>
      <mc:AlternateContent>
        <mc:Choice Requires="v2">
          <commentPr autoFill="true" autoScale="false" colHidden="false" locked="false" rowHidden="false" textHAlign="justify" textVAlign="top">
            <anchor moveWithCells="false" sizeWithCells="false">
              <xdr:from>
                <xdr:col>26</xdr:col>
                <xdr:colOff>15</xdr:colOff>
                <xdr:row>0</xdr:row>
                <xdr:rowOff>2</xdr:rowOff>
              </xdr:from>
              <xdr:to>
                <xdr:col>31</xdr:col>
                <xdr:colOff>15</xdr:colOff>
                <xdr:row>24</xdr:row>
                <xdr:rowOff>40</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tc={00CAA713-9512-5445-90A4-5D27383117B3}</author>
    <author>tc={01D910D6-D0EF-B64E-AB1A-798C5EAAE77D}</author>
    <author>tc={150700D9-DE03-5A4A-9F48-0320DBEB5C8B}</author>
    <author>tc={1622A235-B716-BC47-94B3-551C20F87DE9}</author>
    <author>tc={1B5C92AE-DE6B-3F4C-AFA9-C968755E97AB}</author>
    <author>tc={22EA1450-731C-6944-B891-9A8D84A5802D}</author>
    <author>tc={46F76420-F647-5548-BAD6-9921DBCA32F7}</author>
    <author>tc={4739994C-9A88-DC4E-AFA3-C0D7631DBB1C}</author>
    <author>tc={4FD8D647-2C74-FD4E-B5AC-2661DA9F6A09}</author>
    <author>tc={53C43D05-92B8-9F48-939B-F3FBE16A5817}</author>
    <author>tc={5FCBCCF5-4602-2F44-8FF0-272E5BD75B13}</author>
    <author>tc={896F2DD5-33DE-5C40-B1CB-3BBF5687AD91}</author>
    <author>tc={9DADA3C6-CD31-E24A-882A-11BA227AC95D}</author>
    <author>tc={9F67DBF5-6CC3-0E42-A35A-602F07FF75D2}</author>
    <author>tc={A23BB27C-8A83-1145-A8C6-4542F1B37F4B}</author>
    <author>tc={A7F6B025-DF75-1B4D-BB6E-78D7BDF89D61}</author>
    <author>tc={AB5F9B1D-5CEA-0748-9C9C-08F49EF9D82D}</author>
    <author>tc={B277A2D1-32F8-E64E-BAF9-E26A832BF4BA}</author>
    <author>tc={B319B878-16C2-E748-BF12-825CD47D15A7}</author>
    <author>tc={BE5735B6-19F9-2D4D-85A4-72EC1F2550FD}</author>
    <author>tc={C62007AF-D4CE-3C4A-9750-66C61B4C214D}</author>
    <author>tc={CEE90A41-0E60-8B43-96B8-62267258F84F}</author>
    <author>tc={D28B59D1-CF3C-C84E-9126-C142D72CABF1}</author>
    <author>tc={D2D3A3B9-FDE8-6246-971B-A939B6A538BC}</author>
    <author>tc={D6C35B5A-ACF3-C041-BC35-B58887848BE5}</author>
    <author>tc={D6E9C969-8971-D34E-8111-1B0774F0B5EE}</author>
    <author>tc={E2026613-98C6-E24B-B1FF-E32D689F264B}</author>
    <author>tc={E2226D40-FDD4-9D4D-ACC0-32E3A2C81741}</author>
    <author>tc={E616E209-0C4E-BF43-B848-297779CFC43B}</author>
    <author>tc={EB0DDE92-CDBB-7B41-807A-4B8D0391610E}</author>
    <author>tc={FD2A8D91-2C6F-CF41-BA10-C8F0BF664466}</author>
    <author>tc={FEA175E2-EA97-2545-882D-C0FA555D98B9}</author>
  </authors>
  <commentList>
    <comment ref="C37" authorId="2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r>
      </text>
      <mc:AlternateContent>
        <mc:Choice Requires="v2">
          <commentPr autoFill="true" autoScale="false" colHidden="false" locked="false" rowHidden="false" textHAlign="justify" textVAlign="top">
            <anchor moveWithCells="false" sizeWithCells="false">
              <xdr:from>
                <xdr:col>2</xdr:col>
                <xdr:colOff>15</xdr:colOff>
                <xdr:row>36</xdr:row>
                <xdr:rowOff>2</xdr:rowOff>
              </xdr:from>
              <xdr:to>
                <xdr:col>7</xdr:col>
                <xdr:colOff>15</xdr:colOff>
                <xdr:row>61</xdr:row>
                <xdr:rowOff>48</xdr:rowOff>
              </xdr:to>
            </anchor>
          </commentPr>
        </mc:Choice>
        <mc:Fallback/>
      </mc:AlternateContent>
    </comment>
    <comment ref="C38" authorId="1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r>
      </text>
      <mc:AlternateContent>
        <mc:Choice Requires="v2">
          <commentPr autoFill="true" autoScale="false" colHidden="false" locked="false" rowHidden="false" textHAlign="justify" textVAlign="top">
            <anchor moveWithCells="false" sizeWithCells="false">
              <xdr:from>
                <xdr:col>2</xdr:col>
                <xdr:colOff>15</xdr:colOff>
                <xdr:row>37</xdr:row>
                <xdr:rowOff>2</xdr:rowOff>
              </xdr:from>
              <xdr:to>
                <xdr:col>7</xdr:col>
                <xdr:colOff>15</xdr:colOff>
                <xdr:row>62</xdr:row>
                <xdr:rowOff>22</xdr:rowOff>
              </xdr:to>
            </anchor>
          </commentPr>
        </mc:Choice>
        <mc:Fallback/>
      </mc:AlternateContent>
    </comment>
    <comment ref="C40"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r>
      </text>
      <mc:AlternateContent>
        <mc:Choice Requires="v2">
          <commentPr autoFill="true" autoScale="false" colHidden="false" locked="false" rowHidden="false" textHAlign="justify" textVAlign="top">
            <anchor moveWithCells="false" sizeWithCells="false">
              <xdr:from>
                <xdr:col>2</xdr:col>
                <xdr:colOff>15</xdr:colOff>
                <xdr:row>39</xdr:row>
                <xdr:rowOff>2</xdr:rowOff>
              </xdr:from>
              <xdr:to>
                <xdr:col>7</xdr:col>
                <xdr:colOff>15</xdr:colOff>
                <xdr:row>62</xdr:row>
                <xdr:rowOff>39</xdr:rowOff>
              </xdr:to>
            </anchor>
          </commentPr>
        </mc:Choice>
        <mc:Fallback/>
      </mc:AlternateContent>
    </comment>
    <comment ref="C98" authorId="2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r>
      </text>
      <mc:AlternateContent>
        <mc:Choice Requires="v2">
          <commentPr autoFill="true" autoScale="false" colHidden="false" locked="false" rowHidden="false" textHAlign="justify" textVAlign="top">
            <anchor moveWithCells="false" sizeWithCells="false">
              <xdr:from>
                <xdr:col>2</xdr:col>
                <xdr:colOff>15</xdr:colOff>
                <xdr:row>97</xdr:row>
                <xdr:rowOff>2</xdr:rowOff>
              </xdr:from>
              <xdr:to>
                <xdr:col>7</xdr:col>
                <xdr:colOff>15</xdr:colOff>
                <xdr:row>117</xdr:row>
                <xdr:rowOff>12</xdr:rowOff>
              </xdr:to>
            </anchor>
          </commentPr>
        </mc:Choice>
        <mc:Fallback/>
      </mc:AlternateContent>
    </comment>
    <comment ref="E1" authorId="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r>
      </text>
      <mc:AlternateContent>
        <mc:Choice Requires="v2">
          <commentPr autoFill="true" autoScale="false" colHidden="false" locked="false" rowHidden="false" textHAlign="justify" textVAlign="top">
            <anchor moveWithCells="false" sizeWithCells="false">
              <xdr:from>
                <xdr:col>4</xdr:col>
                <xdr:colOff>15</xdr:colOff>
                <xdr:row>0</xdr:row>
                <xdr:rowOff>2</xdr:rowOff>
              </xdr:from>
              <xdr:to>
                <xdr:col>9</xdr:col>
                <xdr:colOff>15</xdr:colOff>
                <xdr:row>22</xdr:row>
                <xdr:rowOff>14</xdr:rowOff>
              </xdr:to>
            </anchor>
          </commentPr>
        </mc:Choice>
        <mc:Fallback/>
      </mc:AlternateContent>
    </comment>
    <comment ref="F1"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r>
      </text>
      <mc:AlternateContent>
        <mc:Choice Requires="v2">
          <commentPr autoFill="true" autoScale="false" colHidden="false" locked="false" rowHidden="false" textHAlign="justify" textVAlign="top">
            <anchor moveWithCells="false" sizeWithCells="false">
              <xdr:from>
                <xdr:col>5</xdr:col>
                <xdr:colOff>15</xdr:colOff>
                <xdr:row>0</xdr:row>
                <xdr:rowOff>2</xdr:rowOff>
              </xdr:from>
              <xdr:to>
                <xdr:col>10</xdr:col>
                <xdr:colOff>15</xdr:colOff>
                <xdr:row>22</xdr:row>
                <xdr:rowOff>14</xdr:rowOff>
              </xdr:to>
            </anchor>
          </commentPr>
        </mc:Choice>
        <mc:Fallback/>
      </mc:AlternateContent>
    </comment>
    <comment ref="F88" authorId="2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r>
      </text>
      <mc:AlternateContent>
        <mc:Choice Requires="v2">
          <commentPr autoFill="true" autoScale="false" colHidden="false" locked="false" rowHidden="false" textHAlign="justify" textVAlign="top">
            <anchor moveWithCells="false" sizeWithCells="false">
              <xdr:from>
                <xdr:col>5</xdr:col>
                <xdr:colOff>15</xdr:colOff>
                <xdr:row>87</xdr:row>
                <xdr:rowOff>2</xdr:rowOff>
              </xdr:from>
              <xdr:to>
                <xdr:col>10</xdr:col>
                <xdr:colOff>15</xdr:colOff>
                <xdr:row>110</xdr:row>
                <xdr:rowOff>8</xdr:rowOff>
              </xdr:to>
            </anchor>
          </commentPr>
        </mc:Choice>
        <mc:Fallback/>
      </mc:AlternateContent>
    </comment>
    <comment ref="G1" authorId="2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r>
      </text>
      <mc:AlternateContent>
        <mc:Choice Requires="v2">
          <commentPr autoFill="true" autoScale="false" colHidden="false" locked="false" rowHidden="false" textHAlign="justify" textVAlign="top">
            <anchor moveWithCells="false" sizeWithCells="false">
              <xdr:from>
                <xdr:col>6</xdr:col>
                <xdr:colOff>15</xdr:colOff>
                <xdr:row>0</xdr:row>
                <xdr:rowOff>2</xdr:rowOff>
              </xdr:from>
              <xdr:to>
                <xdr:col>11</xdr:col>
                <xdr:colOff>15</xdr:colOff>
                <xdr:row>22</xdr:row>
                <xdr:rowOff>14</xdr:rowOff>
              </xdr:to>
            </anchor>
          </commentPr>
        </mc:Choice>
        <mc:Fallback/>
      </mc:AlternateContent>
    </comment>
    <comment ref="H1"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r>
      </text>
      <mc:AlternateContent>
        <mc:Choice Requires="v2">
          <commentPr autoFill="true" autoScale="false" colHidden="false" locked="false" rowHidden="false" textHAlign="justify" textVAlign="top">
            <anchor moveWithCells="false" sizeWithCells="false">
              <xdr:from>
                <xdr:col>7</xdr:col>
                <xdr:colOff>15</xdr:colOff>
                <xdr:row>0</xdr:row>
                <xdr:rowOff>2</xdr:rowOff>
              </xdr:from>
              <xdr:to>
                <xdr:col>12</xdr:col>
                <xdr:colOff>15</xdr:colOff>
                <xdr:row>22</xdr:row>
                <xdr:rowOff>14</xdr:rowOff>
              </xdr:to>
            </anchor>
          </commentPr>
        </mc:Choice>
        <mc:Fallback/>
      </mc:AlternateContent>
    </comment>
    <comment ref="J1" authorId="1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Fixed Cost per Count</t>
        </r>
      </text>
      <mc:AlternateContent>
        <mc:Choice Requires="v2">
          <commentPr autoFill="true" autoScale="false" colHidden="false" locked="false" rowHidden="false" textHAlign="justify" textVAlign="top">
            <anchor moveWithCells="false" sizeWithCells="false">
              <xdr:from>
                <xdr:col>9</xdr:col>
                <xdr:colOff>15</xdr:colOff>
                <xdr:row>0</xdr:row>
                <xdr:rowOff>2</xdr:rowOff>
              </xdr:from>
              <xdr:to>
                <xdr:col>14</xdr:col>
                <xdr:colOff>15</xdr:colOff>
                <xdr:row>22</xdr:row>
                <xdr:rowOff>14</xdr:rowOff>
              </xdr:to>
            </anchor>
          </commentPr>
        </mc:Choice>
        <mc:Fallback/>
      </mc:AlternateContent>
    </comment>
    <comment ref="J5" authorId="3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average of two values in the NRC website</t>
        </r>
      </text>
      <mc:AlternateContent>
        <mc:Choice Requires="v2">
          <commentPr autoFill="true" autoScale="false" colHidden="false" locked="false" rowHidden="false" textHAlign="justify" textVAlign="top">
            <anchor moveWithCells="false" sizeWithCells="false">
              <xdr:from>
                <xdr:col>9</xdr:col>
                <xdr:colOff>15</xdr:colOff>
                <xdr:row>4</xdr:row>
                <xdr:rowOff>2</xdr:rowOff>
              </xdr:from>
              <xdr:to>
                <xdr:col>14</xdr:col>
                <xdr:colOff>15</xdr:colOff>
                <xdr:row>25</xdr:row>
                <xdr:rowOff>11</xdr:rowOff>
              </xdr:to>
            </anchor>
          </commentPr>
        </mc:Choice>
        <mc:Fallback/>
      </mc:AlternateContent>
    </comment>
    <comment ref="J83" authorId="2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r>
      </text>
      <mc:AlternateContent>
        <mc:Choice Requires="v2">
          <commentPr autoFill="true" autoScale="false" colHidden="false" locked="false" rowHidden="false" textHAlign="justify" textVAlign="top">
            <anchor moveWithCells="false" sizeWithCells="false">
              <xdr:from>
                <xdr:col>9</xdr:col>
                <xdr:colOff>15</xdr:colOff>
                <xdr:row>82</xdr:row>
                <xdr:rowOff>2</xdr:rowOff>
              </xdr:from>
              <xdr:to>
                <xdr:col>14</xdr:col>
                <xdr:colOff>15</xdr:colOff>
                <xdr:row>106</xdr:row>
                <xdr:rowOff>7</xdr:rowOff>
              </xdr:to>
            </anchor>
          </commentPr>
        </mc:Choice>
        <mc:Fallback/>
      </mc:AlternateContent>
    </comment>
    <comment ref="J98" authorId="1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r>
      </text>
      <mc:AlternateContent>
        <mc:Choice Requires="v2">
          <commentPr autoFill="true" autoScale="false" colHidden="false" locked="false" rowHidden="false" textHAlign="justify" textVAlign="top">
            <anchor moveWithCells="false" sizeWithCells="false">
              <xdr:from>
                <xdr:col>9</xdr:col>
                <xdr:colOff>15</xdr:colOff>
                <xdr:row>97</xdr:row>
                <xdr:rowOff>2</xdr:rowOff>
              </xdr:from>
              <xdr:to>
                <xdr:col>14</xdr:col>
                <xdr:colOff>15</xdr:colOff>
                <xdr:row>117</xdr:row>
                <xdr:rowOff>12</xdr:rowOff>
              </xdr:to>
            </anchor>
          </commentPr>
        </mc:Choice>
        <mc:Fallback/>
      </mc:AlternateContent>
    </comment>
    <comment ref="J99" authorId="1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r>
      </text>
      <mc:AlternateContent>
        <mc:Choice Requires="v2">
          <commentPr autoFill="true" autoScale="false" colHidden="false" locked="false" rowHidden="false" textHAlign="justify" textVAlign="top">
            <anchor moveWithCells="false" sizeWithCells="false">
              <xdr:from>
                <xdr:col>9</xdr:col>
                <xdr:colOff>15</xdr:colOff>
                <xdr:row>98</xdr:row>
                <xdr:rowOff>2</xdr:rowOff>
              </xdr:from>
              <xdr:to>
                <xdr:col>14</xdr:col>
                <xdr:colOff>15</xdr:colOff>
                <xdr:row>118</xdr:row>
                <xdr:rowOff>6</xdr:rowOff>
              </xdr:to>
            </anchor>
          </commentPr>
        </mc:Choice>
        <mc:Fallback/>
      </mc:AlternateContent>
    </comment>
    <comment ref="K1" authorId="2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r>
      </text>
      <mc:AlternateContent>
        <mc:Choice Requires="v2">
          <commentPr autoFill="true" autoScale="false" colHidden="false" locked="false" rowHidden="false" textHAlign="justify" textVAlign="top">
            <anchor moveWithCells="false" sizeWithCells="false">
              <xdr:from>
                <xdr:col>10</xdr:col>
                <xdr:colOff>15</xdr:colOff>
                <xdr:row>0</xdr:row>
                <xdr:rowOff>2</xdr:rowOff>
              </xdr:from>
              <xdr:to>
                <xdr:col>15</xdr:col>
                <xdr:colOff>15</xdr:colOff>
                <xdr:row>22</xdr:row>
                <xdr:rowOff>14</xdr:rowOff>
              </xdr:to>
            </anchor>
          </commentPr>
        </mc:Choice>
        <mc:Fallback/>
      </mc:AlternateContent>
    </comment>
    <comment ref="K39" authorId="2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r>
      </text>
      <mc:AlternateContent>
        <mc:Choice Requires="v2">
          <commentPr autoFill="true" autoScale="false" colHidden="false" locked="false" rowHidden="false" textHAlign="justify" textVAlign="top">
            <anchor moveWithCells="false" sizeWithCells="false">
              <xdr:from>
                <xdr:col>10</xdr:col>
                <xdr:colOff>15</xdr:colOff>
                <xdr:row>38</xdr:row>
                <xdr:rowOff>2</xdr:rowOff>
              </xdr:from>
              <xdr:to>
                <xdr:col>15</xdr:col>
                <xdr:colOff>15</xdr:colOff>
                <xdr:row>62</xdr:row>
                <xdr:rowOff>36</xdr:rowOff>
              </xdr:to>
            </anchor>
          </commentPr>
        </mc:Choice>
        <mc:Fallback/>
      </mc:AlternateContent>
    </comment>
    <comment ref="K62" authorId="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r>
      </text>
      <mc:AlternateContent>
        <mc:Choice Requires="v2">
          <commentPr autoFill="true" autoScale="false" colHidden="false" locked="false" rowHidden="false" textHAlign="justify" textVAlign="top">
            <anchor moveWithCells="false" sizeWithCells="false">
              <xdr:from>
                <xdr:col>10</xdr:col>
                <xdr:colOff>15</xdr:colOff>
                <xdr:row>61</xdr:row>
                <xdr:rowOff>2</xdr:rowOff>
              </xdr:from>
              <xdr:to>
                <xdr:col>15</xdr:col>
                <xdr:colOff>15</xdr:colOff>
                <xdr:row>84</xdr:row>
                <xdr:rowOff>5</xdr:rowOff>
              </xdr:to>
            </anchor>
          </commentPr>
        </mc:Choice>
        <mc:Fallback/>
      </mc:AlternateContent>
    </comment>
    <comment ref="L33" authorId="1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Unit not available ($/(Rx/yr))</t>
        </r>
      </text>
      <mc:AlternateContent>
        <mc:Choice Requires="v2">
          <commentPr autoFill="true" autoScale="false" colHidden="false" locked="false" rowHidden="false" textHAlign="justify" textVAlign="top">
            <anchor moveWithCells="false" sizeWithCells="false">
              <xdr:from>
                <xdr:col>11</xdr:col>
                <xdr:colOff>15</xdr:colOff>
                <xdr:row>32</xdr:row>
                <xdr:rowOff>2</xdr:rowOff>
              </xdr:from>
              <xdr:to>
                <xdr:col>16</xdr:col>
                <xdr:colOff>15</xdr:colOff>
                <xdr:row>57</xdr:row>
                <xdr:rowOff>10</xdr:rowOff>
              </xdr:to>
            </anchor>
          </commentPr>
        </mc:Choice>
        <mc:Fallback/>
      </mc:AlternateContent>
    </comment>
    <comment ref="L34" authorId="1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Unit not available ($/(Rx/yr))</t>
        </r>
      </text>
      <mc:AlternateContent>
        <mc:Choice Requires="v2">
          <commentPr autoFill="true" autoScale="false" colHidden="false" locked="false" rowHidden="false" textHAlign="justify" textVAlign="top">
            <anchor moveWithCells="false" sizeWithCells="false">
              <xdr:from>
                <xdr:col>11</xdr:col>
                <xdr:colOff>15</xdr:colOff>
                <xdr:row>33</xdr:row>
                <xdr:rowOff>2</xdr:rowOff>
              </xdr:from>
              <xdr:to>
                <xdr:col>16</xdr:col>
                <xdr:colOff>15</xdr:colOff>
                <xdr:row>57</xdr:row>
                <xdr:rowOff>16</xdr:rowOff>
              </xdr:to>
            </anchor>
          </commentPr>
        </mc:Choice>
        <mc:Fallback/>
      </mc:AlternateContent>
    </comment>
    <comment ref="L39" authorId="2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Unit of $/(kg/s) not available</t>
        </r>
      </text>
      <mc:AlternateContent>
        <mc:Choice Requires="v2">
          <commentPr autoFill="true" autoScale="false" colHidden="false" locked="false" rowHidden="false" textHAlign="justify" textVAlign="top">
            <anchor moveWithCells="false" sizeWithCells="false">
              <xdr:from>
                <xdr:col>11</xdr:col>
                <xdr:colOff>15</xdr:colOff>
                <xdr:row>38</xdr:row>
                <xdr:rowOff>2</xdr:rowOff>
              </xdr:from>
              <xdr:to>
                <xdr:col>16</xdr:col>
                <xdr:colOff>15</xdr:colOff>
                <xdr:row>62</xdr:row>
                <xdr:rowOff>36</xdr:rowOff>
              </xdr:to>
            </anchor>
          </commentPr>
        </mc:Choice>
        <mc:Fallback/>
      </mc:AlternateContent>
    </comment>
    <comment ref="M11"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r>
      </text>
      <mc:AlternateContent>
        <mc:Choice Requires="v2">
          <commentPr autoFill="true" autoScale="false" colHidden="false" locked="false" rowHidden="false" textHAlign="justify" textVAlign="top">
            <anchor moveWithCells="false" sizeWithCells="false">
              <xdr:from>
                <xdr:col>12</xdr:col>
                <xdr:colOff>15</xdr:colOff>
                <xdr:row>10</xdr:row>
                <xdr:rowOff>2</xdr:rowOff>
              </xdr:from>
              <xdr:to>
                <xdr:col>17</xdr:col>
                <xdr:colOff>15</xdr:colOff>
                <xdr:row>33</xdr:row>
                <xdr:rowOff>19</xdr:rowOff>
              </xdr:to>
            </anchor>
          </commentPr>
        </mc:Choice>
        <mc:Fallback/>
      </mc:AlternateContent>
    </comment>
    <comment ref="N20" authorId="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r>
      </text>
      <mc:AlternateContent>
        <mc:Choice Requires="v2">
          <commentPr autoFill="true" autoScale="false" colHidden="false" locked="false" rowHidden="false" textHAlign="justify" textVAlign="top">
            <anchor moveWithCells="false" sizeWithCells="false">
              <xdr:from>
                <xdr:col>13</xdr:col>
                <xdr:colOff>15</xdr:colOff>
                <xdr:row>19</xdr:row>
                <xdr:rowOff>2</xdr:rowOff>
              </xdr:from>
              <xdr:to>
                <xdr:col>18</xdr:col>
                <xdr:colOff>15</xdr:colOff>
                <xdr:row>41</xdr:row>
                <xdr:rowOff>26</xdr:rowOff>
              </xdr:to>
            </anchor>
          </commentPr>
        </mc:Choice>
        <mc:Fallback/>
      </mc:AlternateContent>
    </comment>
    <comment ref="N22" authorId="1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r>
      </text>
      <mc:AlternateContent>
        <mc:Choice Requires="v2">
          <commentPr autoFill="true" autoScale="false" colHidden="false" locked="false" rowHidden="false" textHAlign="justify" textVAlign="top">
            <anchor moveWithCells="false" sizeWithCells="false">
              <xdr:from>
                <xdr:col>13</xdr:col>
                <xdr:colOff>15</xdr:colOff>
                <xdr:row>21</xdr:row>
                <xdr:rowOff>2</xdr:rowOff>
              </xdr:from>
              <xdr:to>
                <xdr:col>18</xdr:col>
                <xdr:colOff>15</xdr:colOff>
                <xdr:row>44</xdr:row>
                <xdr:rowOff>46</xdr:rowOff>
              </xdr:to>
            </anchor>
          </commentPr>
        </mc:Choice>
        <mc:Fallback/>
      </mc:AlternateContent>
    </comment>
    <comment ref="O13" authorId="1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 meter as an option for unit</t>
        </r>
      </text>
      <mc:AlternateContent>
        <mc:Choice Requires="v2">
          <commentPr autoFill="true" autoScale="false" colHidden="false" locked="false" rowHidden="false" textHAlign="justify" textVAlign="top">
            <anchor moveWithCells="false" sizeWithCells="false">
              <xdr:from>
                <xdr:col>14</xdr:col>
                <xdr:colOff>15</xdr:colOff>
                <xdr:row>12</xdr:row>
                <xdr:rowOff>2</xdr:rowOff>
              </xdr:from>
              <xdr:to>
                <xdr:col>19</xdr:col>
                <xdr:colOff>15</xdr:colOff>
                <xdr:row>33</xdr:row>
                <xdr:rowOff>55</xdr:rowOff>
              </xdr:to>
            </anchor>
          </commentPr>
        </mc:Choice>
        <mc:Fallback/>
      </mc:AlternateContent>
    </comment>
    <comment ref="P20" authorId="2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r>
      </text>
      <mc:AlternateContent>
        <mc:Choice Requires="v2">
          <commentPr autoFill="true" autoScale="false" colHidden="false" locked="false" rowHidden="false" textHAlign="justify" textVAlign="top">
            <anchor moveWithCells="false" sizeWithCells="false">
              <xdr:from>
                <xdr:col>15</xdr:col>
                <xdr:colOff>15</xdr:colOff>
                <xdr:row>19</xdr:row>
                <xdr:rowOff>2</xdr:rowOff>
              </xdr:from>
              <xdr:to>
                <xdr:col>20</xdr:col>
                <xdr:colOff>15</xdr:colOff>
                <xdr:row>41</xdr:row>
                <xdr:rowOff>26</xdr:rowOff>
              </xdr:to>
            </anchor>
          </commentPr>
        </mc:Choice>
        <mc:Fallback/>
      </mc:AlternateContent>
    </comment>
    <comment ref="P22" authorId="1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r>
      </text>
      <mc:AlternateContent>
        <mc:Choice Requires="v2">
          <commentPr autoFill="true" autoScale="false" colHidden="false" locked="false" rowHidden="false" textHAlign="justify" textVAlign="top">
            <anchor moveWithCells="false" sizeWithCells="false">
              <xdr:from>
                <xdr:col>15</xdr:col>
                <xdr:colOff>15</xdr:colOff>
                <xdr:row>21</xdr:row>
                <xdr:rowOff>2</xdr:rowOff>
              </xdr:from>
              <xdr:to>
                <xdr:col>20</xdr:col>
                <xdr:colOff>15</xdr:colOff>
                <xdr:row>44</xdr:row>
                <xdr:rowOff>46</xdr:rowOff>
              </xdr:to>
            </anchor>
          </commentPr>
        </mc:Choice>
        <mc:Fallback/>
      </mc:AlternateContent>
    </comment>
    <comment ref="P39" authorId="1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 to revisit, just from search</t>
        </r>
      </text>
      <mc:AlternateContent>
        <mc:Choice Requires="v2">
          <commentPr autoFill="true" autoScale="false" colHidden="false" locked="false" rowHidden="false" textHAlign="justify" textVAlign="top">
            <anchor moveWithCells="false" sizeWithCells="false">
              <xdr:from>
                <xdr:col>15</xdr:col>
                <xdr:colOff>15</xdr:colOff>
                <xdr:row>38</xdr:row>
                <xdr:rowOff>2</xdr:rowOff>
              </xdr:from>
              <xdr:to>
                <xdr:col>20</xdr:col>
                <xdr:colOff>15</xdr:colOff>
                <xdr:row>62</xdr:row>
                <xdr:rowOff>36</xdr:rowOff>
              </xdr:to>
            </anchor>
          </commentPr>
        </mc:Choice>
        <mc:Fallback/>
      </mc:AlternateContent>
    </comment>
    <comment ref="Q1" authorId="3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Base Year before Escalation</t>
        </r>
      </text>
      <mc:AlternateContent>
        <mc:Choice Requires="v2">
          <commentPr autoFill="true" autoScale="false" colHidden="false" locked="false" rowHidden="false" textHAlign="justify" textVAlign="top">
            <anchor moveWithCells="false" sizeWithCells="false">
              <xdr:from>
                <xdr:col>16</xdr:col>
                <xdr:colOff>15</xdr:colOff>
                <xdr:row>0</xdr:row>
                <xdr:rowOff>2</xdr:rowOff>
              </xdr:from>
              <xdr:to>
                <xdr:col>21</xdr:col>
                <xdr:colOff>15</xdr:colOff>
                <xdr:row>22</xdr:row>
                <xdr:rowOff>14</xdr:rowOff>
              </xdr:to>
            </anchor>
          </commentPr>
        </mc:Choice>
        <mc:Fallback/>
      </mc:AlternateContent>
    </comment>
    <comment ref="R1"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r>
      </text>
      <mc:AlternateContent>
        <mc:Choice Requires="v2">
          <commentPr autoFill="true" autoScale="false" colHidden="false" locked="false" rowHidden="false" textHAlign="justify" textVAlign="top">
            <anchor moveWithCells="false" sizeWithCells="false">
              <xdr:from>
                <xdr:col>17</xdr:col>
                <xdr:colOff>15</xdr:colOff>
                <xdr:row>0</xdr:row>
                <xdr:rowOff>2</xdr:rowOff>
              </xdr:from>
              <xdr:to>
                <xdr:col>22</xdr:col>
                <xdr:colOff>15</xdr:colOff>
                <xdr:row>22</xdr:row>
                <xdr:rowOff>14</xdr:rowOff>
              </xdr:to>
            </anchor>
          </commentPr>
        </mc:Choice>
        <mc:Fallback/>
      </mc:AlternateContent>
    </comment>
    <comment ref="W1" authorId="2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r>
      </text>
      <mc:AlternateContent>
        <mc:Choice Requires="v2">
          <commentPr autoFill="true" autoScale="false" colHidden="false" locked="false" rowHidden="false" textHAlign="justify" textVAlign="top">
            <anchor moveWithCells="false" sizeWithCells="false">
              <xdr:from>
                <xdr:col>22</xdr:col>
                <xdr:colOff>15</xdr:colOff>
                <xdr:row>0</xdr:row>
                <xdr:rowOff>2</xdr:rowOff>
              </xdr:from>
              <xdr:to>
                <xdr:col>27</xdr:col>
                <xdr:colOff>15</xdr:colOff>
                <xdr:row>22</xdr:row>
                <xdr:rowOff>14</xdr:rowOff>
              </xdr:to>
            </anchor>
          </commentPr>
        </mc:Choice>
        <mc:Fallback/>
      </mc:AlternateContent>
    </comment>
    <comment ref="X1" authorId="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r>
      </text>
      <mc:AlternateContent>
        <mc:Choice Requires="v2">
          <commentPr autoFill="true" autoScale="false" colHidden="false" locked="false" rowHidden="false" textHAlign="justify" textVAlign="top">
            <anchor moveWithCells="false" sizeWithCells="false">
              <xdr:from>
                <xdr:col>23</xdr:col>
                <xdr:colOff>15</xdr:colOff>
                <xdr:row>0</xdr:row>
                <xdr:rowOff>2</xdr:rowOff>
              </xdr:from>
              <xdr:to>
                <xdr:col>28</xdr:col>
                <xdr:colOff>15</xdr:colOff>
                <xdr:row>22</xdr:row>
                <xdr:rowOff>14</xdr:rowOff>
              </xdr:to>
            </anchor>
          </commentPr>
        </mc:Choice>
        <mc:Fallback/>
      </mc:AlternateContent>
    </comment>
    <comment ref="AA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r>
      </text>
      <mc:AlternateContent>
        <mc:Choice Requires="v2">
          <commentPr autoFill="true" autoScale="false" colHidden="false" locked="false" rowHidden="false" textHAlign="justify" textVAlign="top">
            <anchor moveWithCells="false" sizeWithCells="false">
              <xdr:from>
                <xdr:col>26</xdr:col>
                <xdr:colOff>15</xdr:colOff>
                <xdr:row>0</xdr:row>
                <xdr:rowOff>2</xdr:rowOff>
              </xdr:from>
              <xdr:to>
                <xdr:col>31</xdr:col>
                <xdr:colOff>15</xdr:colOff>
                <xdr:row>22</xdr:row>
                <xdr:rowOff>14</xdr:rowOff>
              </xdr:to>
            </anchor>
          </commentPr>
        </mc:Choice>
        <mc:Fallback/>
      </mc:AlternateContent>
    </comment>
  </commentList>
</comments>
</file>

<file path=xl/sharedStrings.xml><?xml version="1.0" encoding="utf-8"?>
<sst xmlns="http://schemas.openxmlformats.org/spreadsheetml/2006/main" count="3760" uniqueCount="823">
  <si>
    <t xml:space="preserve">Account</t>
  </si>
  <si>
    <t xml:space="preserve">Level</t>
  </si>
  <si>
    <t xml:space="preserve">Account Name</t>
  </si>
  <si>
    <t xml:space="preserve">Account Title</t>
  </si>
  <si>
    <t xml:space="preserve">Standard Cost Equation?</t>
  </si>
  <si>
    <t xml:space="preserve">Optional Variable</t>
  </si>
  <si>
    <t xml:space="preserve">Optional Value</t>
  </si>
  <si>
    <t xml:space="preserve">Sec Optional Variable</t>
  </si>
  <si>
    <t xml:space="preserve">Sec Optional Value</t>
  </si>
  <si>
    <t xml:space="preserve">Fixed Cost ($)</t>
  </si>
  <si>
    <t xml:space="preserve">Unit Cost</t>
  </si>
  <si>
    <t xml:space="preserve">Unit Cost (units)</t>
  </si>
  <si>
    <t xml:space="preserve">Scaling Variable</t>
  </si>
  <si>
    <t xml:space="preserve">Scaling Variable Ref Value</t>
  </si>
  <si>
    <t xml:space="preserve">Units</t>
  </si>
  <si>
    <t xml:space="preserve">Exponent</t>
  </si>
  <si>
    <t xml:space="preserve">Dollar Year</t>
  </si>
  <si>
    <t xml:space="preserve">Type</t>
  </si>
  <si>
    <t xml:space="preserve">Source</t>
  </si>
  <si>
    <t xml:space="preserve">Ref</t>
  </si>
  <si>
    <t xml:space="preserve">Link</t>
  </si>
  <si>
    <t xml:space="preserve">Notes</t>
  </si>
  <si>
    <t xml:space="preserve">FOAK to NOAK Multiplier Type</t>
  </si>
  <si>
    <t xml:space="preserve">Fixed Cost Low End</t>
  </si>
  <si>
    <t xml:space="preserve">Fixed Cost High End</t>
  </si>
  <si>
    <t xml:space="preserve">Fixed Cost Distribution</t>
  </si>
  <si>
    <t xml:space="preserve">Unit Cost Low End</t>
  </si>
  <si>
    <t xml:space="preserve">Unit Cost High End</t>
  </si>
  <si>
    <t xml:space="preserve">Unit Cost Distribution</t>
  </si>
  <si>
    <t xml:space="preserve">Exponent std</t>
  </si>
  <si>
    <t xml:space="preserve">Exponent Max</t>
  </si>
  <si>
    <t xml:space="preserve">Exponent Min</t>
  </si>
  <si>
    <t xml:space="preserve">Exponent Distribution</t>
  </si>
  <si>
    <t xml:space="preserve">Capitalized Pre-Construction Costs</t>
  </si>
  <si>
    <t xml:space="preserve">Land Cost</t>
  </si>
  <si>
    <t xml:space="preserve">standard</t>
  </si>
  <si>
    <t xml:space="preserve">$/acres</t>
  </si>
  <si>
    <t xml:space="preserve">Land Area</t>
  </si>
  <si>
    <t xml:space="preserve">acres</t>
  </si>
  <si>
    <t xml:space="preserve">General</t>
  </si>
  <si>
    <t xml:space="preserve">The average cost per acre for rural land in 2022 from the US Department of Agriculture</t>
  </si>
  <si>
    <t xml:space="preserve">Abou-Jaoude, A., Lohse, C. S., Larsen, L. M., Guaita, N., Trivedi, I., Joseck, F. C., ... &amp; Stein, A. (2024). Meta-analysis of advanced nuclear reactor cost estimations (No. INL/RPT-24-77048-Rev001). Idaho National Laboratory (INL), Idaho Falls, ID (United States).</t>
  </si>
  <si>
    <t xml:space="preserve">https://inldigitallibrary.inl.gov/sites/sti/sti/Sort_107010.pdf</t>
  </si>
  <si>
    <t xml:space="preserve">No Learning</t>
  </si>
  <si>
    <t xml:space="preserve">Lognormal</t>
  </si>
  <si>
    <t xml:space="preserve">0.1</t>
  </si>
  <si>
    <t xml:space="preserve">1</t>
  </si>
  <si>
    <t xml:space="preserve">0</t>
  </si>
  <si>
    <t xml:space="preserve">Truncated Normal</t>
  </si>
  <si>
    <t xml:space="preserve">Site Permits</t>
  </si>
  <si>
    <t xml:space="preserve">$/MWe</t>
  </si>
  <si>
    <t xml:space="preserve">Power MWe</t>
  </si>
  <si>
    <t xml:space="preserve">MWe</t>
  </si>
  <si>
    <t xml:space="preserve">Labor</t>
  </si>
  <si>
    <t xml:space="preserve">Data from SMR MHTGRs</t>
  </si>
  <si>
    <t xml:space="preserve">Plant Licensing</t>
  </si>
  <si>
    <t xml:space="preserve">NRC Website</t>
  </si>
  <si>
    <t xml:space="preserve">According to NRC, the number of hours range from 108K to 257K hours https://www.nrc.gov/docs/ML2301/ML23018A174.pdf
For the hourly rate: 154$/hour
https://www.federalregister.gov/documents/2026/06/16/2026-12067/fee-schedules-fee-recovery-for-fiscal-year-2026</t>
  </si>
  <si>
    <t xml:space="preserve">https://art.inl.gov/NGNP/INL%20Documents/Year%202012/Assessment%20of%20High%20Temperature%20Gas-Cooled%20Reactor%20-%20HTGR%20-%20Capital%20and%20Operating%20Costs.pdf</t>
  </si>
  <si>
    <t xml:space="preserve">Licensing Learning</t>
  </si>
  <si>
    <t xml:space="preserve">Uniform</t>
  </si>
  <si>
    <t xml:space="preserve">Plant Permits</t>
  </si>
  <si>
    <t xml:space="preserve">NGNP project</t>
  </si>
  <si>
    <t xml:space="preserve">Gandrik, A., B. Wallace, L. Demick, S. Melancon and M. Patterson (2011). "Assessment of high temperature gas-cooled reactor (HTGR) capital and operating costs." Idaho National Laboratory, TEV-1196, Idaho Falls, ID.</t>
  </si>
  <si>
    <t xml:space="preserve">Plant Studies</t>
  </si>
  <si>
    <t xml:space="preserve">MARVEL Project (Labor-adjusted Cost)</t>
  </si>
  <si>
    <t xml:space="preserve">Hanna, B. N., Gonzaga de Oliveira, R. G., Mohammad Al Dawood, K. A., Patterson, M. D., Abou Jaoude, A., &amp; Garcia, S. (2024). Technoeconomic Evaluation of Microreactor Using Detailed Bottom-up Estimate (No. INL/RPT-24-80433-Rev000). Idaho National Laboratory (INL), Idaho Falls, ID (United States).</t>
  </si>
  <si>
    <t xml:space="preserve">https://inldigitallibrary.inl.gov/sites/sti/sti/Sort_129862.pdf</t>
  </si>
  <si>
    <t xml:space="preserve">MARVEL's data were updated</t>
  </si>
  <si>
    <t xml:space="preserve">Capitalized Direct Costs</t>
  </si>
  <si>
    <t xml:space="preserve">Structures and Improvements</t>
  </si>
  <si>
    <t xml:space="preserve">Site Preparation/ Yard Work</t>
  </si>
  <si>
    <t xml:space="preserve">Cleaning and Grubbing</t>
  </si>
  <si>
    <t xml:space="preserve">Lab and Equip</t>
  </si>
  <si>
    <t xml:space="preserve">RSMeans software: a tool that primarily provides costs for non-nuclear work
Nuclear Multiplier have been applied to adjust the costs for nuclear-site-related work</t>
  </si>
  <si>
    <t xml:space="preserve">GORDIAN. (2024). "RSMeans data. 
&amp;
Delene, J. G. and I. Hudson, C. R. (1993). Cost estimate guidelines for advanced nuclear power technologies. United States, Oak Ridge National Lab. (ORNL), Oak Ridge, TN (United States): Medium: ED; Size: 159 p.</t>
  </si>
  <si>
    <t xml:space="preserve">https://www.rsmeans.com/
&amp;
https://www.osti.gov/biblio/10176857</t>
  </si>
  <si>
    <t xml:space="preserve">Onsite Learning</t>
  </si>
  <si>
    <t xml:space="preserve">Stripping Topsoil</t>
  </si>
  <si>
    <t xml:space="preserve">Excavation</t>
  </si>
  <si>
    <t xml:space="preserve">$/m^3</t>
  </si>
  <si>
    <t xml:space="preserve">Excavation Volume</t>
  </si>
  <si>
    <t xml:space="preserve">m^3</t>
  </si>
  <si>
    <t xml:space="preserve">Roads</t>
  </si>
  <si>
    <t xml:space="preserve">$/m</t>
  </si>
  <si>
    <t xml:space="preserve">GEN Road Length</t>
  </si>
  <si>
    <t xml:space="preserve">m</t>
  </si>
  <si>
    <t xml:space="preserve">MC30 Cost Estimation of Microreactor Facilities Inital Draft 5-6-2026.pdf, less 30%</t>
  </si>
  <si>
    <t xml:space="preserve">Security Fencing</t>
  </si>
  <si>
    <t xml:space="preserve">Security Fencing Limited</t>
  </si>
  <si>
    <t xml:space="preserve">Limited Perimeter</t>
  </si>
  <si>
    <t xml:space="preserve">Security Fencing Protected</t>
  </si>
  <si>
    <t xml:space="preserve">Protected Perimeter</t>
  </si>
  <si>
    <t xml:space="preserve">Reactor Island Civil Structures</t>
  </si>
  <si>
    <t xml:space="preserve">Reactor Building Slab Roof</t>
  </si>
  <si>
    <t xml:space="preserve">Reactor Building Slab Roof Volume</t>
  </si>
  <si>
    <t xml:space="preserve">Lab and Mat and Equip</t>
  </si>
  <si>
    <t xml:space="preserve">Reactor Building Basement</t>
  </si>
  <si>
    <t xml:space="preserve">Reactor Building Basement Volume</t>
  </si>
  <si>
    <t xml:space="preserve">Reactor Building Walls</t>
  </si>
  <si>
    <t xml:space="preserve">Reactor Building Exterior Walls Volume</t>
  </si>
  <si>
    <t xml:space="preserve">Reactor Building Liner</t>
  </si>
  <si>
    <t xml:space="preserve">$/m^2</t>
  </si>
  <si>
    <t xml:space="preserve">Reactor Building Superstructure Area</t>
  </si>
  <si>
    <t xml:space="preserve">m^2</t>
  </si>
  <si>
    <t xml:space="preserve">Stewart W.R., Shirvan K., "Capital cost estimation for advanced nuclear power plants," Renewable and Sustainable Energy Reviews, Nov. 2021, 111880</t>
  </si>
  <si>
    <t xml:space="preserve">https://doi.org/10.1016/j.rser.2021.111880</t>
  </si>
  <si>
    <t xml:space="preserve">Reactor Building HVAC</t>
  </si>
  <si>
    <t xml:space="preserve">$/MWt</t>
  </si>
  <si>
    <t xml:space="preserve">Power MWt</t>
  </si>
  <si>
    <t xml:space="preserve">MWt</t>
  </si>
  <si>
    <t xml:space="preserve">Main Function Buildings</t>
  </si>
  <si>
    <t xml:space="preserve">Energy conversion Building</t>
  </si>
  <si>
    <t xml:space="preserve">Energy Conversion Building Slab Roof</t>
  </si>
  <si>
    <t xml:space="preserve">Turbine Building Slab Roof Volume</t>
  </si>
  <si>
    <t xml:space="preserve">RSMeans software: a tool that primarily provides costs for non-nuclear work
</t>
  </si>
  <si>
    <t xml:space="preserve">Energy Conversion Building Basement</t>
  </si>
  <si>
    <t xml:space="preserve">Turbine Building Basement Volume</t>
  </si>
  <si>
    <t xml:space="preserve">Energy Conversion Building Walls</t>
  </si>
  <si>
    <t xml:space="preserve">Turbine Building Exterior Walls Volume</t>
  </si>
  <si>
    <t xml:space="preserve">Control building</t>
  </si>
  <si>
    <t xml:space="preserve">Control Building Slab Roof</t>
  </si>
  <si>
    <t xml:space="preserve">Control Building Slab Roof Volume</t>
  </si>
  <si>
    <t xml:space="preserve">Control Building Basement</t>
  </si>
  <si>
    <t xml:space="preserve">Control Building Basement Volume</t>
  </si>
  <si>
    <t xml:space="preserve">Control Building Walls</t>
  </si>
  <si>
    <t xml:space="preserve">Control Building Exterior Walls Volume</t>
  </si>
  <si>
    <t xml:space="preserve">Integrated Heat Exchanger Building</t>
  </si>
  <si>
    <t xml:space="preserve">reactor type</t>
  </si>
  <si>
    <t xml:space="preserve">GCMR</t>
  </si>
  <si>
    <t xml:space="preserve">Integrated Heat Exchanger Building Slab Roof</t>
  </si>
  <si>
    <t xml:space="preserve">Integrated Heat Exchanger Building Slab Roof Volume</t>
  </si>
  <si>
    <t xml:space="preserve">Integrated Heat Exchanger Building Basement</t>
  </si>
  <si>
    <t xml:space="preserve">Integrated Heat Exchanger Building Basement Volume</t>
  </si>
  <si>
    <t xml:space="preserve">Integrated Heat Exchanger Building Walls</t>
  </si>
  <si>
    <t xml:space="preserve">Integrated Heat Exchanger Building Exterior Walls Volume</t>
  </si>
  <si>
    <t xml:space="preserve">Integrated Heat Exchanger Building Liner</t>
  </si>
  <si>
    <t xml:space="preserve">Integrated Heat Exchanger Building Superstructure Area</t>
  </si>
  <si>
    <t xml:space="preserve">Buildings to Support Main Function </t>
  </si>
  <si>
    <t xml:space="preserve">Fuel Management Buildings</t>
  </si>
  <si>
    <t xml:space="preserve">Refueling Building</t>
  </si>
  <si>
    <t xml:space="preserve">Refueling Building Slab Roof</t>
  </si>
  <si>
    <t xml:space="preserve">Refueling Building Slab Roof Volume</t>
  </si>
  <si>
    <t xml:space="preserve">Refueling Building Basement</t>
  </si>
  <si>
    <t xml:space="preserve">Refueling Building Basement Volume</t>
  </si>
  <si>
    <t xml:space="preserve">Refueling Building Walls</t>
  </si>
  <si>
    <t xml:space="preserve">Refueling Building Exterior Walls Volume</t>
  </si>
  <si>
    <t xml:space="preserve">Spent Fuel Building</t>
  </si>
  <si>
    <t xml:space="preserve">Spent Fuel Building Slab Roof</t>
  </si>
  <si>
    <t xml:space="preserve">Spent Fuel Building Slab Roof Volume</t>
  </si>
  <si>
    <t xml:space="preserve">Spent Fuel Building Basement</t>
  </si>
  <si>
    <t xml:space="preserve">Spent Fuel Building Basement Volume</t>
  </si>
  <si>
    <t xml:space="preserve">Spent Fuel Building Walls</t>
  </si>
  <si>
    <t xml:space="preserve">Spent Fuel Building Exterior Walls Volume</t>
  </si>
  <si>
    <t xml:space="preserve">Emergency and Start-up Power Systems Building</t>
  </si>
  <si>
    <t xml:space="preserve">Emergency Building</t>
  </si>
  <si>
    <t xml:space="preserve">Emergency Building Slab Roof</t>
  </si>
  <si>
    <t xml:space="preserve">Emergency Building Slab Roof Volume</t>
  </si>
  <si>
    <t xml:space="preserve">Emergency Building Basement</t>
  </si>
  <si>
    <t xml:space="preserve">Emergency Building Basement Volume</t>
  </si>
  <si>
    <t xml:space="preserve">Emergency Building Walls</t>
  </si>
  <si>
    <t xml:space="preserve">Emergency Building Exterior Walls Volume</t>
  </si>
  <si>
    <t xml:space="preserve">Diesel Generator</t>
  </si>
  <si>
    <t xml:space="preserve">Equipment</t>
  </si>
  <si>
    <t xml:space="preserve">MARVEL (for the cost of the diesel generator) 
The exponent is based on the work by Koruoush considering cost scaling from nuclear ad non nuclear power plants. When using the power as scaling variable, the exponent ranges between 0..6 and 0.8 so 0.7 is used here</t>
  </si>
  <si>
    <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</si>
  <si>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 xml:space="preserve">https://inldigitallibrary.inl.gov/sites/sti/sti/Sort_129862.pdf
https://www.sciencedirect.com/science/article/pii/S1364032121011473</t>
  </si>
  <si>
    <t xml:space="preserve">Factory Other</t>
  </si>
  <si>
    <t xml:space="preserve">Auxilliary Building</t>
  </si>
  <si>
    <t xml:space="preserve">Maniplator Building</t>
  </si>
  <si>
    <t xml:space="preserve">Manipulator Building Slab Roof</t>
  </si>
  <si>
    <t xml:space="preserve">Manipulator Building Slab Roof Volume</t>
  </si>
  <si>
    <t xml:space="preserve">Added a custom building for GCMR based on CAD drawing</t>
  </si>
  <si>
    <t xml:space="preserve">ManipulatorBuilding Basement</t>
  </si>
  <si>
    <t xml:space="preserve">Manipulator Building Basement Volume</t>
  </si>
  <si>
    <t xml:space="preserve">Manipulator Building Exterior Walls</t>
  </si>
  <si>
    <t xml:space="preserve">Manipulator Building Exterior Walls Volume</t>
  </si>
  <si>
    <t xml:space="preserve">Supply Chain Buildings</t>
  </si>
  <si>
    <t xml:space="preserve">Storage Building</t>
  </si>
  <si>
    <t xml:space="preserve">Storage Building Slab Roof</t>
  </si>
  <si>
    <t xml:space="preserve">Storage Building Slab Roof Volume</t>
  </si>
  <si>
    <t xml:space="preserve">Storage Building Basement</t>
  </si>
  <si>
    <t xml:space="preserve">Storage Building Basement Volume</t>
  </si>
  <si>
    <t xml:space="preserve">Storage Building Walls</t>
  </si>
  <si>
    <t xml:space="preserve">Storage Building Exterior Walls Volume</t>
  </si>
  <si>
    <t xml:space="preserve">Radwaste Building</t>
  </si>
  <si>
    <t xml:space="preserve">Radwaste Building Slab Roof</t>
  </si>
  <si>
    <t xml:space="preserve">Radwaste Building Slab Roof Volume</t>
  </si>
  <si>
    <t xml:space="preserve">Radwaste Building Basement</t>
  </si>
  <si>
    <t xml:space="preserve">Radwaste Building Basement Volume</t>
  </si>
  <si>
    <t xml:space="preserve">Radwaste Building Walls</t>
  </si>
  <si>
    <t xml:space="preserve">Radwaste Building Exterior Walls Volume</t>
  </si>
  <si>
    <t xml:space="preserve">Reactor System</t>
  </si>
  <si>
    <t xml:space="preserve">Reactor Components</t>
  </si>
  <si>
    <t xml:space="preserve">Reactor Vessel and Accessories</t>
  </si>
  <si>
    <t xml:space="preserve">Reactor Support</t>
  </si>
  <si>
    <t xml:space="preserve">$/Kg</t>
  </si>
  <si>
    <t xml:space="preserve">Total Vessels Mass</t>
  </si>
  <si>
    <t xml:space="preserve">Kg</t>
  </si>
  <si>
    <t xml:space="preserve">PWR12-ME</t>
  </si>
  <si>
    <t xml:space="preserve">Unit cost is the cost of support structure divided by the cost of guard vessel plus PCS</t>
  </si>
  <si>
    <t xml:space="preserve">Factory Primary Structure</t>
  </si>
  <si>
    <t xml:space="preserve">Outer Vessel Structure</t>
  </si>
  <si>
    <t xml:space="preserve">Guard Vessel Material</t>
  </si>
  <si>
    <t xml:space="preserve">stainless_steel</t>
  </si>
  <si>
    <t xml:space="preserve">Guard Vessel Mass</t>
  </si>
  <si>
    <t xml:space="preserve">Ganda et al., 2018</t>
  </si>
  <si>
    <t xml:space="preserve">Ganda, F., Hoffman, E., Taiwo, T. A., Kim, T. K., &amp; Hansen, J. (2019). Report on the ACCERT cost algorithms tool (No. ANL/NSE-19/10). Argonne National Lab.(ANL), Argonne, IL (United States).</t>
  </si>
  <si>
    <t xml:space="preserve">low_alloy_steel</t>
  </si>
  <si>
    <t xml:space="preserve">incoloy</t>
  </si>
  <si>
    <t xml:space="preserve">Inner Vessel Structure</t>
  </si>
  <si>
    <t xml:space="preserve">Vessel Material</t>
  </si>
  <si>
    <t xml:space="preserve">Vessel Mass</t>
  </si>
  <si>
    <t xml:space="preserve">Unit cost if the PCS cost (in MARVEL) divided by the PCS mass in MARVEL</t>
  </si>
  <si>
    <t xml:space="preserve">Reactor Control Devices</t>
  </si>
  <si>
    <t xml:space="preserve">Reactivity Control System </t>
  </si>
  <si>
    <t xml:space="preserve">Reactivity Control System Fabrication</t>
  </si>
  <si>
    <t xml:space="preserve">$/Drum</t>
  </si>
  <si>
    <t xml:space="preserve">Drum Count</t>
  </si>
  <si>
    <t xml:space="preserve">MARVEL Project </t>
  </si>
  <si>
    <t xml:space="preserve">Updated MARVEL Cost Estimate + Communication with MARVEL Team</t>
  </si>
  <si>
    <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</si>
  <si>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 xml:space="preserve">The scaling variable here is the total mass of all the control drums</t>
  </si>
  <si>
    <t xml:space="preserve">Factory Drums</t>
  </si>
  <si>
    <t xml:space="preserve">Installation</t>
  </si>
  <si>
    <t xml:space="preserve">Control Drums Materials (Absorber)</t>
  </si>
  <si>
    <t xml:space="preserve">Control Drum Absorber</t>
  </si>
  <si>
    <t xml:space="preserve">B4C_natural</t>
  </si>
  <si>
    <t xml:space="preserve">Control Drum Absorber Mass</t>
  </si>
  <si>
    <t xml:space="preserve">Material</t>
  </si>
  <si>
    <t xml:space="preserve">B4C_enriched</t>
  </si>
  <si>
    <t xml:space="preserve">Prosser et al., 2023</t>
  </si>
  <si>
    <t xml:space="preserve">Control Drums Materials (Reflector)</t>
  </si>
  <si>
    <t xml:space="preserve">Control Drum Reflector</t>
  </si>
  <si>
    <t xml:space="preserve">BeO</t>
  </si>
  <si>
    <t xml:space="preserve">Control Drum Reflector Mass</t>
  </si>
  <si>
    <t xml:space="preserve">Factory BeO</t>
  </si>
  <si>
    <t xml:space="preserve">Be</t>
  </si>
  <si>
    <t xml:space="preserve">Factory Be</t>
  </si>
  <si>
    <t xml:space="preserve">Graphite</t>
  </si>
  <si>
    <t xml:space="preserve">Naranjo de Candido and Shirvan, 2022</t>
  </si>
  <si>
    <t xml:space="preserve">Naranjo De Candido and Shirvan. (2022). Graphite Life-Cycle Cost Model for HTGRs, International High-Level Radioactive Waste Management Conference</t>
  </si>
  <si>
    <t xml:space="preserve">Control System Drive Mechanism</t>
  </si>
  <si>
    <t xml:space="preserve">First-Principles Cost Estimation of a Sodium Fast  Reactor Nuclear Plant. INL/RPT-23-74316
Table 38, 39</t>
  </si>
  <si>
    <t xml:space="preserve">Bottom-up Estimation of components with nuclear escalation + contingency</t>
  </si>
  <si>
    <t xml:space="preserve">Shutdown Rod Absorber Material</t>
  </si>
  <si>
    <t xml:space="preserve">Shutdown Rod Absorber</t>
  </si>
  <si>
    <t xml:space="preserve">Shutdown Rod Absorber Mass</t>
  </si>
  <si>
    <t xml:space="preserve">Existing MARVEL natural-B4C cost retained unchanged for shutdown-rod material costing.</t>
  </si>
  <si>
    <t xml:space="preserve">First-Principles Cost Estimation of a Sodium Fast Reactor Nuclear Plant. INL/RPT-23-74316</t>
  </si>
  <si>
    <t xml:space="preserve">Existing enriched-B4C cost retained unchanged for shutdown-rod material costing.</t>
  </si>
  <si>
    <t xml:space="preserve">Shutdown Rod Cladding Material</t>
  </si>
  <si>
    <t xml:space="preserve">Shutdown Rod Cladding</t>
  </si>
  <si>
    <t xml:space="preserve">SS304</t>
  </si>
  <si>
    <t xml:space="preserve">Shutdown Rod Cladding Mass</t>
  </si>
  <si>
    <t xml:space="preserve">Ganda, F., Hoffman, E., Taiwo, T. A., Kim, T. K., &amp; Hansen, J. (2019). Report on the ACCERT cost algorithms tool (No. ANL/NSE-19/10).</t>
  </si>
  <si>
    <t xml:space="preserve">Ganda stainless_steel cost used as a proxy for SS304 shutdown-rod cladding.</t>
  </si>
  <si>
    <t xml:space="preserve">Non-Fuel Core Internals</t>
  </si>
  <si>
    <t xml:space="preserve">Reflector</t>
  </si>
  <si>
    <t xml:space="preserve">Radial Reflector</t>
  </si>
  <si>
    <t xml:space="preserve">Radial Reflector Mass</t>
  </si>
  <si>
    <t xml:space="preserve">Axial Reflector</t>
  </si>
  <si>
    <t xml:space="preserve">Axial Reflector Mass</t>
  </si>
  <si>
    <t xml:space="preserve">Al2O3</t>
  </si>
  <si>
    <t xml:space="preserve">NTRD-FCO-2018-000439</t>
  </si>
  <si>
    <t xml:space="preserve">Shield</t>
  </si>
  <si>
    <t xml:space="preserve">In Vessel Shield Materials</t>
  </si>
  <si>
    <t xml:space="preserve">In Vessel Shield Material</t>
  </si>
  <si>
    <t xml:space="preserve">In Vessel Shield Mass</t>
  </si>
  <si>
    <t xml:space="preserve">Out The Vessel Shield Materials</t>
  </si>
  <si>
    <t xml:space="preserve">Out Of Vessel Shield Material</t>
  </si>
  <si>
    <t xml:space="preserve">WEP</t>
  </si>
  <si>
    <t xml:space="preserve">Out Of Vessel Shield Mass</t>
  </si>
  <si>
    <t xml:space="preserve">Moderator</t>
  </si>
  <si>
    <t xml:space="preserve">Moderator Mass</t>
  </si>
  <si>
    <t xml:space="preserve">monolith_graphite</t>
  </si>
  <si>
    <t xml:space="preserve">Monolith graphite is expected to be more expensive so I multiplied the graphite cost by two</t>
  </si>
  <si>
    <t xml:space="preserve">ZrH</t>
  </si>
  <si>
    <t xml:space="preserve">the Fuel SA&amp;I Cost Basis Report</t>
  </si>
  <si>
    <t xml:space="preserve">Abou-Jaoude, A., C. S. Lohse, L. M. Larsen, N. Guaita, I. Trivedi, F. C. Joseck, E. Hoffman, N. Stauff, K. Shirvan and A. Stein (2024). Meta-Analysis of Advanced Nuclear Reactor Cost Estimations, Idaho National Laboratory (INL), Idaho Falls, ID (United States).</t>
  </si>
  <si>
    <t xml:space="preserve">YHx</t>
  </si>
  <si>
    <t xml:space="preserve">We do not know the cost of Yhx. This is just a placeholder for now (assumed to be the same as ZrH)</t>
  </si>
  <si>
    <t xml:space="preserve">Moderator (Booster)</t>
  </si>
  <si>
    <t xml:space="preserve">Moderator Booster Materials</t>
  </si>
  <si>
    <t xml:space="preserve">Moderator Booster Mass Graphite</t>
  </si>
  <si>
    <t xml:space="preserve">Moderator Booster Mass YHx</t>
  </si>
  <si>
    <t xml:space="preserve">Moderator Booster Mass ZrH</t>
  </si>
  <si>
    <t xml:space="preserve">Main Heat Transport System</t>
  </si>
  <si>
    <t xml:space="preserve">Fluid Circulation Drive System</t>
  </si>
  <si>
    <t xml:space="preserve">Primary Pump</t>
  </si>
  <si>
    <t xml:space="preserve">nonstandard</t>
  </si>
  <si>
    <t xml:space="preserve">Yes</t>
  </si>
  <si>
    <t xml:space="preserve">$/(kg.sec)</t>
  </si>
  <si>
    <t xml:space="preserve">Primary Pump Mechanical Power</t>
  </si>
  <si>
    <t xml:space="preserve">Data from non-nuclear power plant + Ratio of safety grade pump nomalized cost compared to non-safety grade pump is btween 10 and 15 (12.5 ratio was used, from the EEDB (Ganda 2019, Figure 23)</t>
  </si>
  <si>
    <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</si>
  <si>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 xml:space="preserve">https://www.sciencedirect.com/science/article/pii/S1290072903000218
https://publications.anl.gov/anlpubs/2019/06/152862.pdf</t>
  </si>
  <si>
    <t xml:space="preserve">Secondary Pump</t>
  </si>
  <si>
    <t xml:space="preserve">Secondary Pump Mechanical Power</t>
  </si>
  <si>
    <t xml:space="preserve">Data from non-nuclear power plant</t>
  </si>
  <si>
    <t xml:space="preserve">Compressor</t>
  </si>
  <si>
    <t xml:space="preserve">unitless</t>
  </si>
  <si>
    <t xml:space="preserve">ANL/NSE-20/28</t>
  </si>
  <si>
    <t xml:space="preserve">Hoffman et al. (2020). Improvement of ACCERT Algorithm - FY20 (No. ANL/NSE-20/28). Argonne National Laboratory.(ANL), Argonne, IL (United States).</t>
  </si>
  <si>
    <t xml:space="preserve">Implemented on the python side. 
Chosen over default due to uncertainty in compressor Pressure Ratio changes based on reactor TH</t>
  </si>
  <si>
    <t xml:space="preserve">Reactor Heat Transfer Piping System</t>
  </si>
  <si>
    <t xml:space="preserve">From EEBD</t>
  </si>
  <si>
    <t xml:space="preserve">LTMR</t>
  </si>
  <si>
    <t xml:space="preserve">HPMR</t>
  </si>
  <si>
    <t xml:space="preserve">$/heatpipe</t>
  </si>
  <si>
    <t xml:space="preserve">Number of Heatpipes</t>
  </si>
  <si>
    <t xml:space="preserve">https://inldigitallibrary.inl.gov/sites/sti/sti/Sort_46104.pdf</t>
  </si>
  <si>
    <t xml:space="preserve">Heat Exchangers</t>
  </si>
  <si>
    <t xml:space="preserve">Primary Heat Exchanger</t>
  </si>
  <si>
    <t xml:space="preserve">HX Material</t>
  </si>
  <si>
    <t xml:space="preserve">SS316</t>
  </si>
  <si>
    <t xml:space="preserve">Primary HX Mass</t>
  </si>
  <si>
    <t xml:space="preserve">Non Nuclear Plants</t>
  </si>
  <si>
    <t xml:space="preserve">Gezelius, K. (2004). Design of compact intermediate heat exchangers for gas cooled fast reactors, Massachusetts Institute of Technology.</t>
  </si>
  <si>
    <t xml:space="preserve">800H</t>
  </si>
  <si>
    <t xml:space="preserve">Yoon, S.-J., P. Sabharwall and E.-S. Kim (2013). Analytical study on thermal and mechanical design of printed circuit heat exchanger, Idaho National Lab.(INL), Idaho Falls, ID (United States).</t>
  </si>
  <si>
    <t xml:space="preserve">Secondary Heat Exchanger</t>
  </si>
  <si>
    <t xml:space="preserve">Secondary HX Mass</t>
  </si>
  <si>
    <t xml:space="preserve">Initial Coolant Inventory</t>
  </si>
  <si>
    <t xml:space="preserve">Coolant</t>
  </si>
  <si>
    <t xml:space="preserve">Helium</t>
  </si>
  <si>
    <t xml:space="preserve">Onsite Coolant Inventory</t>
  </si>
  <si>
    <t xml:space="preserve">Fernandez de Losada. (2024). Assessment of the Lifecycle Cost of Nuclear-Grade Coolants for Advanced Reactors. ETHzurich. Swiss.</t>
  </si>
  <si>
    <t xml:space="preserve">https://doi.org/10.3929/ethz-b-000709311</t>
  </si>
  <si>
    <t xml:space="preserve">Vendor Quoate (Linde) for 3000 cylinders of 99.999% purity Helium. 3000 cylinders correspond to ~4 MT of He.</t>
  </si>
  <si>
    <t xml:space="preserve">NaK</t>
  </si>
  <si>
    <t xml:space="preserve">Integrated Heat Transfer Vessel</t>
  </si>
  <si>
    <t xml:space="preserve">Integrated Heat Transfer Vessel Mass</t>
  </si>
  <si>
    <t xml:space="preserve">Custom Accounts to model the vessel that houses the PCHE, Circulator, and Pipe Connections. These are assumed to be SA508 for now but use the same unit-cost as SS PCHE</t>
  </si>
  <si>
    <t xml:space="preserve">Integrated Heat Transfer System Support</t>
  </si>
  <si>
    <t xml:space="preserve">Safety Systems</t>
  </si>
  <si>
    <t xml:space="preserve">Reactor Cavity Cooling System (Rvacs)</t>
  </si>
  <si>
    <t xml:space="preserve">Rvacs (Cooling Vessel)</t>
  </si>
  <si>
    <t xml:space="preserve">Cooling Vessel Mass</t>
  </si>
  <si>
    <t xml:space="preserve">Rvacs (Intake Vessel)</t>
  </si>
  <si>
    <t xml:space="preserve">Intake Vessel Mass</t>
  </si>
  <si>
    <t xml:space="preserve">Other Reactor Plant Equipment</t>
  </si>
  <si>
    <t xml:space="preserve">MARVEL</t>
  </si>
  <si>
    <t xml:space="preserve">Primary Loop Mass Flow Rate</t>
  </si>
  <si>
    <t xml:space="preserve">kg/s</t>
  </si>
  <si>
    <t xml:space="preserve">DOE-ET-34222-T1</t>
  </si>
  <si>
    <t xml:space="preserve">1170 MWt HTGR Steamer Cogeneration Plant Design and Cost Study, United Engineers &amp; Constructors Inc. Philadelphia, Pennsylvania. 1980]</t>
  </si>
  <si>
    <t xml:space="preserve">https://www.osti.gov/servlets/purl/5084245</t>
  </si>
  <si>
    <t xml:space="preserve">Cost scalated based on Park et al., 2024 - Bottom-up ….</t>
  </si>
  <si>
    <t xml:space="preserve">Reactor Instrumentation and Control (I&amp;C)</t>
  </si>
  <si>
    <t xml:space="preserve">Shirvan et al., 2023</t>
  </si>
  <si>
    <t xml:space="preserve">Shirvan et al,. (2023). UO2-fueled microreactors: Near-term solutions to emerging marktets. Nuclear Engineering and Design. </t>
  </si>
  <si>
    <t xml:space="preserve">https://doi.org/10.1016/j.nucengdes.2023.112470</t>
  </si>
  <si>
    <t xml:space="preserve">Cost based on FOAK Digital I&amp;C with 2-out-of-4 voting logic</t>
  </si>
  <si>
    <t xml:space="preserve">Non-nuclear off-the-shelf</t>
  </si>
  <si>
    <t xml:space="preserve">Reactor Plant Miscellaneous Items</t>
  </si>
  <si>
    <t xml:space="preserve">Energy Conversion System </t>
  </si>
  <si>
    <t xml:space="preserve">Energy Applications</t>
  </si>
  <si>
    <t xml:space="preserve">Electricity Generation Systems</t>
  </si>
  <si>
    <t xml:space="preserve">$/kWe</t>
  </si>
  <si>
    <t xml:space="preserve">BoP Power kWe</t>
  </si>
  <si>
    <t xml:space="preserve">INL/RPT-24-80433 Rev.1</t>
  </si>
  <si>
    <t xml:space="preserve">https://www.osti.gov/biblio/2447366</t>
  </si>
  <si>
    <t xml:space="preserve">Common Instrumentation &amp; Controls</t>
  </si>
  <si>
    <t xml:space="preserve">Electrical Equipment</t>
  </si>
  <si>
    <t xml:space="preserve">Switchgear</t>
  </si>
  <si>
    <t xml:space="preserve">EEDB PWR12-ME + Stewart and Shirvan (2022)
Scales PWR12-ME costs with simplifications based on Stewart and Srhivan (2022)</t>
  </si>
  <si>
    <t xml:space="preserve">Stewart, W. R., &amp; Shirvan, K. (2022). Capital cost estimation for advanced nuclear power plants. Renewable and Sustainable Energy Reviews, 155, 111880.</t>
  </si>
  <si>
    <t xml:space="preserve">Station Service Equipment</t>
  </si>
  <si>
    <t xml:space="preserve">Switchboards</t>
  </si>
  <si>
    <t xml:space="preserve">Protective Equipment</t>
  </si>
  <si>
    <t xml:space="preserve">Electrical Structure &amp; Wiring Container</t>
  </si>
  <si>
    <t xml:space="preserve">Power &amp; Control Wiring</t>
  </si>
  <si>
    <t xml:space="preserve">Initial Fuel Inventory</t>
  </si>
  <si>
    <t xml:space="preserve">First Core Mining</t>
  </si>
  <si>
    <t xml:space="preserve">Natural Uranium Mass</t>
  </si>
  <si>
    <t xml:space="preserve">INL Cost Basis Report &amp; Meta analysis for the nuclear reactor costs
UO2-fueled microreactors: Near-term solutions to emerging markets</t>
  </si>
  <si>
    <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</si>
  <si>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 xml:space="preserve">First Core Conversion </t>
  </si>
  <si>
    <t xml:space="preserve">First Core Enrichment </t>
  </si>
  <si>
    <t xml:space="preserve">$/SWU</t>
  </si>
  <si>
    <t xml:space="preserve">SWU</t>
  </si>
  <si>
    <t xml:space="preserve">First Core Fuel Assembly Fabrication </t>
  </si>
  <si>
    <t xml:space="preserve">TRISO Fueled</t>
  </si>
  <si>
    <t xml:space="preserve">No</t>
  </si>
  <si>
    <t xml:space="preserve">Fuel</t>
  </si>
  <si>
    <t xml:space="preserve">TRIGA_fuel</t>
  </si>
  <si>
    <t xml:space="preserve">Uranium Mass</t>
  </si>
  <si>
    <t xml:space="preserve"> UO2</t>
  </si>
  <si>
    <t xml:space="preserve">Miscellaneous Equipment (Cranes)</t>
  </si>
  <si>
    <t xml:space="preserve">A study for the mass manufacruing and factory fabrication of microreactors</t>
  </si>
  <si>
    <t xml:space="preserve">Abou-Jaoude, A., Arafat, Yasir, Foss, Andrew Wilkin, and Dixon, Brent W (2021). An Economics-by-Design Approach Applied to a Heat Pipe Microreactor Concept. 2021. Idaho National Laboratory: Idaho Falls, ID, Idaho National Laboratory.</t>
  </si>
  <si>
    <t xml:space="preserve">Capitalized Indirect Services Cost</t>
  </si>
  <si>
    <t xml:space="preserve">Factory &amp; field indirect costs</t>
  </si>
  <si>
    <t xml:space="preserve">Factory and construction supervision</t>
  </si>
  <si>
    <t xml:space="preserve">Startup Costs</t>
  </si>
  <si>
    <t xml:space="preserve">Shipping and Transportation Costs</t>
  </si>
  <si>
    <t xml:space="preserve">Engineering Services</t>
  </si>
  <si>
    <t xml:space="preserve">PM/CM Services</t>
  </si>
  <si>
    <t xml:space="preserve">Capitalized training costs</t>
  </si>
  <si>
    <t xml:space="preserve">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</si>
  <si>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</si>
  <si>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 xml:space="preserve">https://papers.ssrn.com/sol3/papers.cfm?abstract_id=5163464</t>
  </si>
  <si>
    <t xml:space="preserve">Capitalized Financial Costs </t>
  </si>
  <si>
    <t xml:space="preserve">Interest</t>
  </si>
  <si>
    <t xml:space="preserve">Annualized O&amp;M Cost </t>
  </si>
  <si>
    <t xml:space="preserve">O&amp;M Staff</t>
  </si>
  <si>
    <t xml:space="preserve">Operators </t>
  </si>
  <si>
    <t xml:space="preserve">$/FTE</t>
  </si>
  <si>
    <t xml:space="preserve">Number of On-Site Operators per Shift</t>
  </si>
  <si>
    <t xml:space="preserve">de Candido, I., A. Al Rashdan, A. Abou-Jaoude, and J. Buongiorno. 2024. “Assessment of Technoeconomic Opportunities in Automation for Nuclear Microreactors.” Nuclear Science and Engineering, 1–20. https://doi.org/10.1080/00295639.2024.2372511.</t>
  </si>
  <si>
    <t xml:space="preserve">Remote Monitoring Technicians </t>
  </si>
  <si>
    <t xml:space="preserve">Operation Mode</t>
  </si>
  <si>
    <t xml:space="preserve">Remotely Monitored</t>
  </si>
  <si>
    <t xml:space="preserve">Reactors Monitored Per Operator</t>
  </si>
  <si>
    <t xml:space="preserve">Security Staff </t>
  </si>
  <si>
    <t xml:space="preserve">Security Staff Per Shift</t>
  </si>
  <si>
    <t xml:space="preserve">Variable Non-Fuel Costs</t>
  </si>
  <si>
    <t xml:space="preserve">Replacement Coolant Inventory</t>
  </si>
  <si>
    <t xml:space="preserve">MARVEL Project (communication with MARVEL Team)</t>
  </si>
  <si>
    <t xml:space="preserve">Vendor Quotes</t>
  </si>
  <si>
    <t xml:space="preserve">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</si>
  <si>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</si>
  <si>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 xml:space="preserve">https://www.federalregister.gov/documents/2025/02/19/2025-02779/fee-schedules-fee-recovery-for-fiscal-year-2025</t>
  </si>
  <si>
    <t xml:space="preserve">Capital Plant Expenditures</t>
  </si>
  <si>
    <t xml:space="preserve">Venneri, (2023) and INL/EXT-21-63067</t>
  </si>
  <si>
    <t xml:space="preserve">Implemented on non_direct_cost.py
Cost is scaled as a fraction of CAPEX unless specific parameters are added to indicate more/less frequent replacements (e.g. GCMR)</t>
  </si>
  <si>
    <t xml:space="preserve">Annualized Outer Vessel Structure Replacements</t>
  </si>
  <si>
    <t xml:space="preserve">Annualized Inner Vessel Structure Replacements</t>
  </si>
  <si>
    <t xml:space="preserve">Annualized Moderator Replacements</t>
  </si>
  <si>
    <t xml:space="preserve">Annualized Reflector Replacements</t>
  </si>
  <si>
    <t xml:space="preserve">Annualized Reactor Control Devices Replacements</t>
  </si>
  <si>
    <t xml:space="preserve">Annualized Integrated Heat Transfer Vessel Replacements</t>
  </si>
  <si>
    <t xml:space="preserve">            Annualized Integrated Heat Transfer Vessel Replacements</t>
  </si>
  <si>
    <t xml:space="preserve">Annualized Moderator Booster Replacements</t>
  </si>
  <si>
    <t xml:space="preserve">Annualized Plant Maintenance (Misc.)</t>
  </si>
  <si>
    <t xml:space="preserve">Annualized Building and Structural Maintenance (Accounts 212–215)</t>
  </si>
  <si>
    <t xml:space="preserve">Annualized Main Heat Transport System Maintenance (Accounts 222.1–222.3 and 222.6)</t>
  </si>
  <si>
    <t xml:space="preserve">Annualized Safety System Maintenance (Account 223)</t>
  </si>
  <si>
    <t xml:space="preserve">Annualized Reactor Plant Equipment Maintenance (Accounts 221.11, 226, and 228)</t>
  </si>
  <si>
    <t xml:space="preserve">Annualized Reactor I&amp;C Maintenance (Account 227)</t>
  </si>
  <si>
    <t xml:space="preserve">Annualized Energy Conversion System Maintenance (Account 23)</t>
  </si>
  <si>
    <t xml:space="preserve">Annualized Electrical Equipment Maintenance (Account 24)</t>
  </si>
  <si>
    <t xml:space="preserve">Annualized Miscellaneous Equipment Maintenance (Account 26)</t>
  </si>
  <si>
    <t xml:space="preserve">Annualized Decommissioning Cost</t>
  </si>
  <si>
    <t xml:space="preserve">Implemented on non_direct_cost.py
The cost is scaled as a fraction of CAPEX (15%)</t>
  </si>
  <si>
    <t xml:space="preserve">Annualized Fuel Cost</t>
  </si>
  <si>
    <t xml:space="preserve">Refueling Operations</t>
  </si>
  <si>
    <t xml:space="preserve">Additional Nuclear Fuel</t>
  </si>
  <si>
    <t xml:space="preserve">Spent Fuel Management</t>
  </si>
  <si>
    <t xml:space="preserve">$/MWeHour</t>
  </si>
  <si>
    <t xml:space="preserve">Annual Electricity Production</t>
  </si>
  <si>
    <t xml:space="preserve">Account ID</t>
  </si>
  <si>
    <t xml:space="preserve">TOTAL COST (2024 USD)</t>
  </si>
  <si>
    <t xml:space="preserve">Site Preparation/Yard Work</t>
  </si>
  <si>
    <t xml:space="preserve">Emergency and Start-up Power Systems</t>
  </si>
  <si>
    <t xml:space="preserve">Miscellaneous Other Structures</t>
  </si>
  <si>
    <t xml:space="preserve">Reactor vessel and accessories</t>
  </si>
  <si>
    <t xml:space="preserve">Reactor support</t>
  </si>
  <si>
    <t xml:space="preserve">Outer vessel structure</t>
  </si>
  <si>
    <t xml:space="preserve">Inner vessel structure</t>
  </si>
  <si>
    <t xml:space="preserve">Reactor control devices</t>
  </si>
  <si>
    <t xml:space="preserve">Reactivity control system</t>
  </si>
  <si>
    <t xml:space="preserve">Non-fuel core internals</t>
  </si>
  <si>
    <t xml:space="preserve">Reflector (Materials: BeO)</t>
  </si>
  <si>
    <t xml:space="preserve">Reflector (Materials: Be Metal)</t>
  </si>
  <si>
    <t xml:space="preserve">Reflector (installation</t>
  </si>
  <si>
    <t xml:space="preserve">222</t>
  </si>
  <si>
    <t xml:space="preserve">Fluid circulation drive system</t>
  </si>
  <si>
    <t xml:space="preserve">Reactor Heat Hransfer Piping System</t>
  </si>
  <si>
    <t xml:space="preserve">Reactor Heat Hransfer Piping System (Mat)</t>
  </si>
  <si>
    <t xml:space="preserve">Reactor Heat Hransfer Piping System (Fabrication)</t>
  </si>
  <si>
    <t xml:space="preserve">Reactor Heat Hransfer Piping System (Installation)</t>
  </si>
  <si>
    <t xml:space="preserve">Pressurizer System</t>
  </si>
  <si>
    <t xml:space="preserve">Initial Heat Transfer Fluid Inventory</t>
  </si>
  <si>
    <t xml:space="preserve">224</t>
  </si>
  <si>
    <t xml:space="preserve">Radioactive Byproduct Processing Systems</t>
  </si>
  <si>
    <t xml:space="preserve">226</t>
  </si>
  <si>
    <t xml:space="preserve">227</t>
  </si>
  <si>
    <t xml:space="preserve">228</t>
  </si>
  <si>
    <t xml:space="preserve">Energy Conversion System</t>
  </si>
  <si>
    <t xml:space="preserve">244</t>
  </si>
  <si>
    <t xml:space="preserve">Protective Systems Equipment</t>
  </si>
  <si>
    <t xml:space="preserve">245</t>
  </si>
  <si>
    <t xml:space="preserve">Electrical Raceway Systems</t>
  </si>
  <si>
    <t xml:space="preserve">246</t>
  </si>
  <si>
    <t xml:space="preserve">Power and Control Cables and Wiring</t>
  </si>
  <si>
    <t xml:space="preserve">254 </t>
  </si>
  <si>
    <t xml:space="preserve">Miscellaneous Equipment</t>
  </si>
  <si>
    <t xml:space="preserve">Factory &amp; Field Indirect Costs </t>
  </si>
  <si>
    <t xml:space="preserve">Field Shops</t>
  </si>
  <si>
    <t xml:space="preserve">Commissioning and Trial Test Runs</t>
  </si>
  <si>
    <t xml:space="preserve">Initial Fuel Loading Operations</t>
  </si>
  <si>
    <t xml:space="preserve">Test Runs</t>
  </si>
  <si>
    <t xml:space="preserve">Fuel Shipping and Transportation </t>
  </si>
  <si>
    <t xml:space="preserve">Other Shipping and Transportation Costs</t>
  </si>
  <si>
    <t xml:space="preserve">Off-Site</t>
  </si>
  <si>
    <t xml:space="preserve">On-Site</t>
  </si>
  <si>
    <t xml:space="preserve">Capitalized Training Costs</t>
  </si>
  <si>
    <t xml:space="preserve">Staff Recruitment and Training</t>
  </si>
  <si>
    <t xml:space="preserve">Capitalized Supplementary Costs</t>
  </si>
  <si>
    <t xml:space="preserve">Decommissioning</t>
  </si>
  <si>
    <t xml:space="preserve">Escalation</t>
  </si>
  <si>
    <t xml:space="preserve">Non-Recurrung Costs</t>
  </si>
  <si>
    <t xml:space="preserve">Variable</t>
  </si>
  <si>
    <t xml:space="preserve">Value</t>
  </si>
  <si>
    <t xml:space="preserve">Description</t>
  </si>
  <si>
    <t xml:space="preserve">Overall System</t>
  </si>
  <si>
    <t xml:space="preserve">Thermal power</t>
  </si>
  <si>
    <t xml:space="preserve">kWth</t>
  </si>
  <si>
    <t xml:space="preserve"> —</t>
  </si>
  <si>
    <t xml:space="preserve">Electric Power</t>
  </si>
  <si>
    <t xml:space="preserve">kWe</t>
  </si>
  <si>
    <t xml:space="preserve">Core outer radius</t>
  </si>
  <si>
    <t xml:space="preserve">inches</t>
  </si>
  <si>
    <t xml:space="preserve">Reflector outer radius</t>
  </si>
  <si>
    <t xml:space="preserve">Fuel mass</t>
  </si>
  <si>
    <t xml:space="preserve">kg</t>
  </si>
  <si>
    <t xml:space="preserve">UZrH</t>
  </si>
  <si>
    <t xml:space="preserve">U Weight fraction</t>
  </si>
  <si>
    <t xml:space="preserve">wt%</t>
  </si>
  <si>
    <t xml:space="preserve">U/UZrH</t>
  </si>
  <si>
    <t xml:space="preserve">U enrichment</t>
  </si>
  <si>
    <t xml:space="preserve">High-assay low-enriched uranium (HALEU)</t>
  </si>
  <si>
    <t xml:space="preserve">Pins</t>
  </si>
  <si>
    <t xml:space="preserve">#</t>
  </si>
  <si>
    <t xml:space="preserve">Outer reflector material</t>
  </si>
  <si>
    <t xml:space="preserve">99% theoretical density</t>
  </si>
  <si>
    <t xml:space="preserve">Elements</t>
  </si>
  <si>
    <t xml:space="preserve">Quarter plates</t>
  </si>
  <si>
    <t xml:space="preserve">Reflector plate thickness</t>
  </si>
  <si>
    <t xml:space="preserve">Reflector plate volume</t>
  </si>
  <si>
    <t xml:space="preserve">cm3/plate</t>
  </si>
  <si>
    <t xml:space="preserve">Mass of BeO reflector</t>
  </si>
  <si>
    <t xml:space="preserve">Insert volume</t>
  </si>
  <si>
    <t xml:space="preserve">Mass of Be-metal reflector</t>
  </si>
  <si>
    <t xml:space="preserve">MT</t>
  </si>
  <si>
    <t xml:space="preserve">Control Elements</t>
  </si>
  <si>
    <t xml:space="preserve">Control drums</t>
  </si>
  <si>
    <t xml:space="preserve">Shutdown rods</t>
  </si>
  <si>
    <t xml:space="preserve">Control drum elements</t>
  </si>
  <si>
    <t xml:space="preserve">Discs</t>
  </si>
  <si>
    <t xml:space="preserve">Drum disc thickness</t>
  </si>
  <si>
    <t xml:space="preserve">Drum reflector volume</t>
  </si>
  <si>
    <t xml:space="preserve">BeO 99%</t>
  </si>
  <si>
    <t xml:space="preserve">Mass of drum reflector</t>
  </si>
  <si>
    <t xml:space="preserve">Drum poison volume</t>
  </si>
  <si>
    <t xml:space="preserve">B4C</t>
  </si>
  <si>
    <t xml:space="preserve">Mass of drum poison</t>
  </si>
  <si>
    <t xml:space="preserve">Mass of rod poison</t>
  </si>
  <si>
    <t xml:space="preserve">Instruments and Controls</t>
  </si>
  <si>
    <t xml:space="preserve">Control cabinet</t>
  </si>
  <si>
    <t xml:space="preserve">Instrument cabinet</t>
  </si>
  <si>
    <t xml:space="preserve">Nuclear input/output (IO)</t>
  </si>
  <si>
    <t xml:space="preserve">Non-nuclear IO</t>
  </si>
  <si>
    <t xml:space="preserve">Stirling engine IO</t>
  </si>
  <si>
    <t xml:space="preserve">These should be excluded if there no stirling engine?</t>
  </si>
  <si>
    <t xml:space="preserve">TOTAL</t>
  </si>
  <si>
    <t xml:space="preserve">Shielding in Vessel</t>
  </si>
  <si>
    <t xml:space="preserve">Stainless Steel cans</t>
  </si>
  <si>
    <t xml:space="preserve"> Stainless Steel cans of the boron carbide shielding material (SS316H)</t>
  </si>
  <si>
    <t xml:space="preserve">Gamma shield material</t>
  </si>
  <si>
    <t xml:space="preserve">Gamma shield material inside the guard vessel (of Tungsten)</t>
  </si>
  <si>
    <t xml:space="preserve">Neutron shield material in the guard vessel </t>
  </si>
  <si>
    <t xml:space="preserve"> made of natural B4C powder and is located above the core (a donut around the core barrel)—</t>
  </si>
  <si>
    <t xml:space="preserve">Boron Carbine shielding </t>
  </si>
  <si>
    <t xml:space="preserve"> made of natural B4C (called base shield) below the core</t>
  </si>
  <si>
    <t xml:space="preserve">Radial (lead)</t>
  </si>
  <si>
    <t xml:space="preserve"> lead</t>
  </si>
  <si>
    <t xml:space="preserve">Radial (WEP)</t>
  </si>
  <si>
    <t xml:space="preserve">made of Water Extended Polyster (WEP) </t>
  </si>
  <si>
    <t xml:space="preserve">Shielding in Pit</t>
  </si>
  <si>
    <t xml:space="preserve">Mass of the pit neutron shielding</t>
  </si>
  <si>
    <t xml:space="preserve">Approximated 6-in.-thick covering whole pit and made of Water-extruded poly (WEP)</t>
  </si>
  <si>
    <t xml:space="preserve">Heat Transfer</t>
  </si>
  <si>
    <t xml:space="preserve">Mass of coolant  </t>
  </si>
  <si>
    <t xml:space="preserve">—</t>
  </si>
  <si>
    <t xml:space="preserve">Number of loops</t>
  </si>
  <si>
    <t xml:space="preserve">— </t>
  </si>
  <si>
    <t xml:space="preserve">Mass of PCSs</t>
  </si>
  <si>
    <t xml:space="preserve">SS316H</t>
  </si>
  <si>
    <t xml:space="preserve">Subassembly Structure Masses</t>
  </si>
  <si>
    <t xml:space="preserve">Reactor support frame</t>
  </si>
  <si>
    <t xml:space="preserve">Guard vessel</t>
  </si>
  <si>
    <t xml:space="preserve">Year</t>
  </si>
  <si>
    <t xml:space="preserve">Parameter</t>
  </si>
  <si>
    <t xml:space="preserve">Note</t>
  </si>
  <si>
    <t xml:space="preserve">Reference</t>
  </si>
  <si>
    <t xml:space="preserve">indirect to direct field-related cost</t>
  </si>
  <si>
    <t xml:space="preserve">FTEs Per Onsite Operator (24/7)</t>
  </si>
  <si>
    <t xml:space="preserve">FTEs Per Offsite Operator (24/7)</t>
  </si>
  <si>
    <t xml:space="preserve">FTEs Per Security Staff (24/7)</t>
  </si>
  <si>
    <t xml:space="preserve">Hours Per FTE</t>
  </si>
  <si>
    <t xml:space="preserve">Work Hours Per Shift</t>
  </si>
  <si>
    <t xml:space="preserve">Maintenance to Direct Cost Ratio</t>
  </si>
  <si>
    <t xml:space="preserve">FOAK to NOAK Learning Rates</t>
  </si>
  <si>
    <t xml:space="preserve">Assessment of Factory Fabrication Considerations
for Nuclear Microreactors
 10.1080/00295450.2023.2206779</t>
  </si>
  <si>
    <t xml:space="preserve">Calculated based on Refernce Paper + Gyutae's work. Refer to TEM Slides for rationale and methodology</t>
  </si>
  <si>
    <t xml:space="preserve">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</si>
  <si>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 xml:space="preserve">Park, et al., Bottom-up levelized cost estimation of low-enriched and low-pressure nuclear batteries. Nuclear Engineering and Design. 2025.</t>
  </si>
  <si>
    <t xml:space="preserve">For off-the-shelf commercial components that are not produced in the FB Factory</t>
  </si>
  <si>
    <t xml:space="preserve">SER Account 30 to Account 20 Ratio</t>
  </si>
  <si>
    <t xml:space="preserve">Account 30 is 50% of direct cost (Account 20).</t>
  </si>
  <si>
    <t xml:space="preserve">SER Account 716 to Accounts 711-715 Ratio</t>
  </si>
  <si>
    <t xml:space="preserve">Continuing education and retraining.</t>
  </si>
  <si>
    <t xml:space="preserve">SER Account 717 to Accounts 711-715 Ratio</t>
  </si>
  <si>
    <t xml:space="preserve">Management staff.</t>
  </si>
  <si>
    <t xml:space="preserve">SER Account 741 to Account 20 Ratio</t>
  </si>
  <si>
    <t xml:space="preserve">Operating chemicals and lubricants.</t>
  </si>
  <si>
    <t xml:space="preserve">SER Account 742 to Account 20 Ratio</t>
  </si>
  <si>
    <t xml:space="preserve">Spare parts.</t>
  </si>
  <si>
    <t xml:space="preserve">SER Account 743 to Account 20 Ratio</t>
  </si>
  <si>
    <t xml:space="preserve">Utilities excluding electricity, supplies, and consumables.</t>
  </si>
  <si>
    <t xml:space="preserve">SER Account 747.1 to Accounts 741-743 Ratio</t>
  </si>
  <si>
    <t xml:space="preserve">Annualized transportation costs.</t>
  </si>
  <si>
    <t xml:space="preserve">SER Account 747.4 to Account 20 Ratio</t>
  </si>
  <si>
    <t xml:space="preserve">Annualized other supplies and utilities.</t>
  </si>
  <si>
    <t xml:space="preserve">MFG Account 223 to Reactor OCC per Testing Line Ratio</t>
  </si>
  <si>
    <t xml:space="preserve">REVIEW NEEDED: provisional testing-building assumption.</t>
  </si>
  <si>
    <t xml:space="preserve">MFG Account 30 to Account 20 Ratio</t>
  </si>
  <si>
    <t xml:space="preserve">Account 30 is 50% of direct cost.</t>
  </si>
  <si>
    <t xml:space="preserve">MFG Account 716 to Accounts 711-715 Ratio</t>
  </si>
  <si>
    <t xml:space="preserve">MFG Account 717 to Accounts 711-715 Ratio</t>
  </si>
  <si>
    <t xml:space="preserve">MFG Account 741 to Account 20 Ratio</t>
  </si>
  <si>
    <t xml:space="preserve">MFG Account 742 to Account 20 Ratio</t>
  </si>
  <si>
    <t xml:space="preserve">MFG Account 743 to Account 20 Ratio</t>
  </si>
  <si>
    <t xml:space="preserve">MFG Account 747.1 to Accounts 741-743 Ratio</t>
  </si>
  <si>
    <t xml:space="preserve">MFG Account 747.4 to Account 20 Ratio</t>
  </si>
  <si>
    <t xml:space="preserve">Count Scaling Variable</t>
  </si>
  <si>
    <t xml:space="preserve">Count per Variable</t>
  </si>
  <si>
    <t xml:space="preserve">Constant</t>
  </si>
  <si>
    <t xml:space="preserve">MFG Campus Land Area</t>
  </si>
  <si>
    <r>
      <rPr>
        <sz val="10"/>
        <color theme="1"/>
        <rFont val="Times New Roman"/>
        <family val="1"/>
        <charset val="1"/>
      </rPr>
      <t xml:space="preserve">Abou-Jaoude, A., Lohse, C. S., Larsen, L. M., Guaita, N., Trivedi, I., Joseck, F. C., ... &amp; Stein, A. (2024). </t>
    </r>
    <r>
      <rPr>
        <i val="true"/>
        <sz val="10"/>
        <color rgb="FF222222"/>
        <rFont val="Times New Roman"/>
        <family val="1"/>
        <charset val="1"/>
      </rPr>
      <t xml:space="preserve">Meta-analysis of advanced nuclear reactor cost estimations</t>
    </r>
    <r>
      <rPr>
        <sz val="10"/>
        <color rgb="FF222222"/>
        <rFont val="Times New Roman"/>
        <family val="1"/>
        <charset val="1"/>
      </rPr>
      <t xml:space="preserve"> (No. INL/RPT-24-77048-Rev001). Idaho National Laboratory (INL), Idaho Falls, ID (United States).</t>
    </r>
  </si>
  <si>
    <t xml:space="preserve">MFG Campus Power</t>
  </si>
  <si>
    <r>
      <rPr>
        <sz val="10"/>
        <color theme="1"/>
        <rFont val="Times New Roman"/>
        <family val="1"/>
        <charset val="1"/>
      </rPr>
      <t xml:space="preserve">Gandrik, A., B. Wallace, L. Demick, S. Melancon and M. Patterson (2011). "Assessment of high temperature gas-cooled reactor (HTGR) capital and operating costs." </t>
    </r>
    <r>
      <rPr>
        <u val="single"/>
        <sz val="10"/>
        <color theme="1"/>
        <rFont val="Times New Roman"/>
        <family val="1"/>
        <charset val="1"/>
      </rPr>
      <t xml:space="preserve">Idaho National Laboratory, TEV-1196, Idaho Falls, ID</t>
    </r>
    <r>
      <rPr>
        <sz val="10"/>
        <color theme="1"/>
        <rFont val="Times New Roman"/>
        <family val="1"/>
        <charset val="1"/>
      </rPr>
      <t xml:space="preserve">.</t>
    </r>
  </si>
  <si>
    <r>
      <rPr>
        <sz val="10"/>
        <color theme="1"/>
        <rFont val="Times New Roman"/>
        <family val="1"/>
        <charset val="1"/>
      </rPr>
      <t xml:space="preserve">Hanna, B. N., Gonzaga de Oliveira, R. G., Mohammad Al Dawood, K. A., Patterson, M. D., Abou Jaoude, A., &amp; Garcia, S. (2024). </t>
    </r>
    <r>
      <rPr>
        <i val="true"/>
        <sz val="10"/>
        <color rgb="FF222222"/>
        <rFont val="Times New Roman"/>
        <family val="1"/>
        <charset val="1"/>
      </rPr>
      <t xml:space="preserve">Technoeconomic Evaluation of Microreactor Using Detailed Bottom-up Estimate</t>
    </r>
    <r>
      <rPr>
        <sz val="10"/>
        <color rgb="FF222222"/>
        <rFont val="Times New Roman"/>
        <family val="1"/>
        <charset val="1"/>
      </rPr>
      <t xml:space="preserve"> (No. INL/RPT-24-80433-Rev000). Idaho National Laboratory (INL), Idaho Falls, ID (United States).</t>
    </r>
  </si>
  <si>
    <t xml:space="preserve">598</t>
  </si>
  <si>
    <t xml:space="preserve">MFG Road Length</t>
  </si>
  <si>
    <t xml:space="preserve">$/ft</t>
  </si>
  <si>
    <t xml:space="preserve">MFG Site Perimeter</t>
  </si>
  <si>
    <t xml:space="preserve">MFG Protected Perimeter</t>
  </si>
  <si>
    <t xml:space="preserve">Servicing Facilities Structures</t>
  </si>
  <si>
    <t xml:space="preserve">Control Buidlings</t>
  </si>
  <si>
    <t xml:space="preserve">Local Control Buidling Structure</t>
  </si>
  <si>
    <t xml:space="preserve">MFG Local Control Building Area</t>
  </si>
  <si>
    <t xml:space="preserve">100 value from MC30 Cost Estimation of Microreactor Facilities Inital Draft 5-6-2026.pdf, less 30% [temporary, want to add scaling equation]</t>
  </si>
  <si>
    <t xml:space="preserve">Main Facilities Estimated As Wholes</t>
  </si>
  <si>
    <t xml:space="preserve">Manufacturing Building</t>
  </si>
  <si>
    <t xml:space="preserve">Production Rate</t>
  </si>
  <si>
    <t xml:space="preserve">Rx/yr</t>
  </si>
  <si>
    <t xml:space="preserve">Fueling Building</t>
  </si>
  <si>
    <t xml:space="preserve">Testing Building</t>
  </si>
  <si>
    <t xml:space="preserve">Warehouse</t>
  </si>
  <si>
    <t xml:space="preserve">MFG Warehouse Building Area</t>
  </si>
  <si>
    <t xml:space="preserve">Administrative Building</t>
  </si>
  <si>
    <t xml:space="preserve">MFG Administration Building Area</t>
  </si>
  <si>
    <t xml:space="preserve">Local Integrated Control Rooms</t>
  </si>
  <si>
    <t xml:space="preserve">MFG Testing Line Count</t>
  </si>
  <si>
    <t xml:space="preserve">Auxiliary Infrastructure Equipment</t>
  </si>
  <si>
    <t xml:space="preserve">Emergency Power</t>
  </si>
  <si>
    <t xml:space="preserve">MFG Emergency Generator Power</t>
  </si>
  <si>
    <t xml:space="preserve">2.5 MW generator cost from Central States Generators, nuclear multiple of 5, and guess for pad and connection to building (pad and connection have been requested with cost estimators)</t>
  </si>
  <si>
    <t xml:space="preserve">Fire Station</t>
  </si>
  <si>
    <t xml:space="preserve">MFG Fire Station Count</t>
  </si>
  <si>
    <t xml:space="preserve">Security Building</t>
  </si>
  <si>
    <t xml:space="preserve">MFG Security Building Area</t>
  </si>
  <si>
    <t xml:space="preserve">Switchyard</t>
  </si>
  <si>
    <t xml:space="preserve">MFG Switchyard Rating</t>
  </si>
  <si>
    <t xml:space="preserve">Scaling relationship created from MC30 Cost Estimation of Microreactor Facilities Inital Draft 5-6-2026.pdf, less 30%</t>
  </si>
  <si>
    <t xml:space="preserve">Onsite Transport Equipment</t>
  </si>
  <si>
    <t xml:space="preserve">Local Reactor Transport Vehicles</t>
  </si>
  <si>
    <t xml:space="preserve">MFG Local Transport Vehicle Count</t>
  </si>
  <si>
    <t xml:space="preserve">Lallemant report, Table 9, Considered price for 200 MT LTV</t>
  </si>
  <si>
    <t xml:space="preserve">Lallemant, Lucas. 2023</t>
  </si>
  <si>
    <t xml:space="preserve">Utility Vehicles</t>
  </si>
  <si>
    <t xml:space="preserve">MFG Utility Vehicle Count</t>
  </si>
  <si>
    <t xml:space="preserve">assumption</t>
  </si>
  <si>
    <t xml:space="preserve">Dispered Infrastructure</t>
  </si>
  <si>
    <t xml:space="preserve">assumption, guess</t>
  </si>
  <si>
    <t xml:space="preserve">Communication</t>
  </si>
  <si>
    <t xml:space="preserve">Manufacturing Campus Area</t>
  </si>
  <si>
    <t xml:space="preserve">[to become a scaling relationship] MC30 Cost Estimation of Microreactor Facilities Inital Draft 5-6-2026.pdf</t>
  </si>
  <si>
    <t xml:space="preserve">Security Cameras</t>
  </si>
  <si>
    <t xml:space="preserve">MFG Security Camera Count</t>
  </si>
  <si>
    <t xml:space="preserve">MC30 Cost Estimation of Microreactor Facilities Inital Draft 5-6-2026.pdf</t>
  </si>
  <si>
    <t xml:space="preserve">Motion Detectors</t>
  </si>
  <si>
    <t xml:space="preserve">MFG Motion Detector Count</t>
  </si>
  <si>
    <t xml:space="preserve">Guard Station</t>
  </si>
  <si>
    <t xml:space="preserve">MFG Guard Station Count</t>
  </si>
  <si>
    <t xml:space="preserve">Operators (Testing Only)</t>
  </si>
  <si>
    <t xml:space="preserve">MFG Testing Number of Operators</t>
  </si>
  <si>
    <t xml:space="preserve">Warehouse Staff</t>
  </si>
  <si>
    <t xml:space="preserve">MFG Warehouse Staff</t>
  </si>
  <si>
    <t xml:space="preserve">Average of four occupations from Munro work: Forklift Drivers, Supervisors, Shipping/receiving personnel, and Materials Scheduler (high ends for all)</t>
  </si>
  <si>
    <t xml:space="preserve">INL Fueling - Manufacturing Parts and Equipment List Rev002.xlsx</t>
  </si>
  <si>
    <t xml:space="preserve">MFG Security Staff Per Shift</t>
  </si>
  <si>
    <t xml:space="preserve">Maintenance Staff</t>
  </si>
  <si>
    <t xml:space="preserve">MFG Maintenance Staff Headcount</t>
  </si>
  <si>
    <t xml:space="preserve">Engineering Staff (Testing Only)</t>
  </si>
  <si>
    <t xml:space="preserve">MFG Testing Engineering Headcount</t>
  </si>
  <si>
    <t xml:space="preserve">Continuing Education and Staff Retraining</t>
  </si>
  <si>
    <t xml:space="preserve">Management Staff</t>
  </si>
  <si>
    <t xml:space="preserve">Manfuacturing Building Staff</t>
  </si>
  <si>
    <t xml:space="preserve">Fueling Building Staff</t>
  </si>
  <si>
    <t xml:space="preserve">Fixed O&amp;M Utilities and Materials </t>
  </si>
  <si>
    <t xml:space="preserve">Operating Chemicals and Lubricants (Except Manufacturing and Fueling)</t>
  </si>
  <si>
    <t xml:space="preserve">Spare Parts (Except Manufacturing and Fueling)</t>
  </si>
  <si>
    <t xml:space="preserve">Utilities except electricity, Supplies, and Consumables</t>
  </si>
  <si>
    <t xml:space="preserve">Electricity</t>
  </si>
  <si>
    <t xml:space="preserve">Manufacturing Building Equipment</t>
  </si>
  <si>
    <t xml:space="preserve">Fueling Building Equipment</t>
  </si>
  <si>
    <t xml:space="preserve">Other annual costs</t>
  </si>
  <si>
    <t xml:space="preserve">Annualized Transportation Costs</t>
  </si>
  <si>
    <t xml:space="preserve">Annualized Helium Replenishment</t>
  </si>
  <si>
    <t xml:space="preserve">MFG Testing Coolant Allotment</t>
  </si>
  <si>
    <t xml:space="preserve">Annualized Other Supplies and Utilities</t>
  </si>
  <si>
    <t xml:space="preserve">SER Campus Area</t>
  </si>
  <si>
    <t xml:space="preserve">SER Switchyard Rating</t>
  </si>
  <si>
    <t xml:space="preserve">SER Campus Land Area</t>
  </si>
  <si>
    <t xml:space="preserve">SER Road Length</t>
  </si>
  <si>
    <t xml:space="preserve">SER Site Perimeter</t>
  </si>
  <si>
    <t xml:space="preserve">Security Fencing Controlled</t>
  </si>
  <si>
    <t xml:space="preserve">SER Controlled Perimeter</t>
  </si>
  <si>
    <t xml:space="preserve">SER Protected Perimeter</t>
  </si>
  <si>
    <t xml:space="preserve">Servicing Building</t>
  </si>
  <si>
    <t xml:space="preserve">Servicing Hot Cell Building Structure</t>
  </si>
  <si>
    <t xml:space="preserve">Servicing Hot Cell Building Area</t>
  </si>
  <si>
    <t xml:space="preserve">Scaling relationship created from MC30 Cost Estimation of Microreactor Facilities Inital Draft 5-6-2026.pdf</t>
  </si>
  <si>
    <t xml:space="preserve">Helium Purification and Storage Building</t>
  </si>
  <si>
    <t xml:space="preserve">Helium Purification and Storage Building Structure</t>
  </si>
  <si>
    <t xml:space="preserve">Helium Purification and Storage Building Area</t>
  </si>
  <si>
    <t xml:space="preserve">100 value from MC30 Cost Estimation of Microreactor Facilities Inital Draft 5-6-2026.pdf [temporary, want to add scaling equation]</t>
  </si>
  <si>
    <t xml:space="preserve">Local Control Building Structure</t>
  </si>
  <si>
    <t xml:space="preserve">SER Local Control Building Area</t>
  </si>
  <si>
    <t xml:space="preserve">Remote Control Center Structure</t>
  </si>
  <si>
    <t xml:space="preserve">SER Remote Control Building Area</t>
  </si>
  <si>
    <t xml:space="preserve">Radioactive Waste Processing Building</t>
  </si>
  <si>
    <t xml:space="preserve">Radioactive Waste Processing Building Structure</t>
  </si>
  <si>
    <t xml:space="preserve">SER Rad Waste Management Building Area</t>
  </si>
  <si>
    <t xml:space="preserve">Used Fuel Storage Pads</t>
  </si>
  <si>
    <t xml:space="preserve">$/(reactors/year)</t>
  </si>
  <si>
    <t xml:space="preserve">Servicing Rate</t>
  </si>
  <si>
    <t xml:space="preserve">reactors/year</t>
  </si>
  <si>
    <t xml:space="preserve">Value for 40,000 MTU option in Cost Estimate for an Away-From-Reactor Generic Interim Storage Facility (GISF) for Spent Nuclear Fuel, EPRI report 1018722</t>
  </si>
  <si>
    <t xml:space="preserve">https://www.epri.com/research/products/1018722</t>
  </si>
  <si>
    <t xml:space="preserve">Rad Waste Storage Warehouses</t>
  </si>
  <si>
    <t xml:space="preserve">Radwaste Storage Warehouses Area</t>
  </si>
  <si>
    <t xml:space="preserve">Air Tranport Hangar</t>
  </si>
  <si>
    <t xml:space="preserve">Air Transport Hangar</t>
  </si>
  <si>
    <t xml:space="preserve">none</t>
  </si>
  <si>
    <t xml:space="preserve">Reactor Cask Management Yard and Inspection Shop</t>
  </si>
  <si>
    <t xml:space="preserve">Vehicle Depot and Mechanic Shop</t>
  </si>
  <si>
    <t xml:space="preserve">Parts Service Center and Warehouse</t>
  </si>
  <si>
    <t xml:space="preserve">Parts Service Center and Warehouse Building Area</t>
  </si>
  <si>
    <t xml:space="preserve">SER Administration Building Area</t>
  </si>
  <si>
    <t xml:space="preserve">Servicing Hot Cell</t>
  </si>
  <si>
    <t xml:space="preserve">Servicing Hot Cell Count</t>
  </si>
  <si>
    <t xml:space="preserve">Helium Purification Equipment</t>
  </si>
  <si>
    <t xml:space="preserve">SER Helium Flowrate</t>
  </si>
  <si>
    <t xml:space="preserve">0.6 is assumption. Cost is an average of the range given on p. 115 of the Ref. ((4700000+6000000)/2), and flowrate is 200 kg/h as given on p. 113 in the caption of Table 48.</t>
  </si>
  <si>
    <t xml:space="preserve">Fernandez de Losada, Lucas Javier. Assessment of the Lifecycle Cost of Nuclear-Grade Coolants for Advanced Reactors. (Master's thesis, ETH Zurich, 2024). https://doi.org/10.3929/ethz-b-000709311</t>
  </si>
  <si>
    <t xml:space="preserve">Radioactive Waste Processing Hot Cell</t>
  </si>
  <si>
    <t xml:space="preserve">Radioactive Waste Processing Hot Cell Count</t>
  </si>
  <si>
    <t xml:space="preserve">Should process 5 generating sites' worth of radwaste</t>
  </si>
  <si>
    <t xml:space="preserve">One-half the cost of the Reactor Instrumentation + Control System of the PWR-12-BE from the EEDB</t>
  </si>
  <si>
    <t xml:space="preserve">Report on the ACCERT Cost Algorithms Tool, ANL/NSE-19/10</t>
  </si>
  <si>
    <t xml:space="preserve">https://publications.anl.gov/anlpubs/2019/06/152862.pdf</t>
  </si>
  <si>
    <t xml:space="preserve">Remote Control Rooms</t>
  </si>
  <si>
    <t xml:space="preserve">Generating Sites Count</t>
  </si>
  <si>
    <t xml:space="preserve">assumption: Each operator monitors four reactors, and each operator stations costs $100,000</t>
  </si>
  <si>
    <t xml:space="preserve">Reactor Transport Casks</t>
  </si>
  <si>
    <t xml:space="preserve">Reactor Transport Cask Count</t>
  </si>
  <si>
    <t xml:space="preserve">SER Emergency Generator Power</t>
  </si>
  <si>
    <t xml:space="preserve">Service Air Water Building</t>
  </si>
  <si>
    <t xml:space="preserve">Service Air Water Building Count</t>
  </si>
  <si>
    <t xml:space="preserve">SER Fire Station Count</t>
  </si>
  <si>
    <t xml:space="preserve">SER Security Building Area</t>
  </si>
  <si>
    <t xml:space="preserve">SER Local Transport Vehicle Count</t>
  </si>
  <si>
    <t xml:space="preserve">SER Utility Vehicle Count</t>
  </si>
  <si>
    <t xml:space="preserve">Offsite Transport Equipment</t>
  </si>
  <si>
    <t xml:space="preserve">Reactor Transport Vehicles</t>
  </si>
  <si>
    <t xml:space="preserve">Reactor Transport Vehicle Count</t>
  </si>
  <si>
    <t xml:space="preserve">Helium Transport Trucks</t>
  </si>
  <si>
    <t xml:space="preserve">Helium Transport Truck Count</t>
  </si>
  <si>
    <t xml:space="preserve">Water Tanker Trucks</t>
  </si>
  <si>
    <t xml:space="preserve">Water Tanker Truck Count</t>
  </si>
  <si>
    <t xml:space="preserve">Maintenance Trucks</t>
  </si>
  <si>
    <t xml:space="preserve">Maintenance Truck Count</t>
  </si>
  <si>
    <t xml:space="preserve">Air Transport Equipment</t>
  </si>
  <si>
    <t xml:space="preserve">Heavy Lift Helicopters</t>
  </si>
  <si>
    <t xml:space="preserve">Helicopter Count</t>
  </si>
  <si>
    <t xml:space="preserve">Aircraft Maintenance Equipment</t>
  </si>
  <si>
    <t xml:space="preserve">SER Security Camera Count</t>
  </si>
  <si>
    <t xml:space="preserve">SER Motion Detector Count</t>
  </si>
  <si>
    <t xml:space="preserve">SER Guard Station Count</t>
  </si>
  <si>
    <t xml:space="preserve">Radiation Monitors</t>
  </si>
  <si>
    <t xml:space="preserve">SER Radiation Monitor Count</t>
  </si>
  <si>
    <t xml:space="preserve">$/FTE-year</t>
  </si>
  <si>
    <t xml:space="preserve">SER Operator FTEs Per Facility</t>
  </si>
  <si>
    <t xml:space="preserve">Shift To Headcount</t>
  </si>
  <si>
    <t xml:space="preserve">SER Security Staff Per Shift</t>
  </si>
  <si>
    <t xml:space="preserve">SER Maintenance Staff Per Shift</t>
  </si>
  <si>
    <t xml:space="preserve">Engineering Staff</t>
  </si>
  <si>
    <t xml:space="preserve">SER Engineering Headcount</t>
  </si>
  <si>
    <t xml:space="preserve">Operating Chemicals and Lubricants</t>
  </si>
  <si>
    <t xml:space="preserve">Spare Parts</t>
  </si>
  <si>
    <t xml:space="preserve">SER Switchyard Average Power</t>
  </si>
  <si>
    <t xml:space="preserve">Annualized Cask Replacements</t>
  </si>
  <si>
    <t xml:space="preserve">Used Fuel Cask</t>
  </si>
  <si>
    <t xml:space="preserve">Annual Used Fuel Cask Consumption</t>
  </si>
  <si>
    <t xml:space="preserve">MIT-ANP-TR-198</t>
  </si>
  <si>
    <t xml:space="preserve">NUHOMS EOS 37 PTH ESC Cask</t>
  </si>
  <si>
    <t xml:space="preserve">Reactor Transport Cask</t>
  </si>
  <si>
    <t xml:space="preserve">Annual Reactor Cask Replacement</t>
  </si>
  <si>
    <t xml:space="preserve">Radwaste Storage Cask</t>
  </si>
  <si>
    <t xml:space="preserve">Annual Radwaste Cask Consumption</t>
  </si>
  <si>
    <t xml:space="preserve">Used Fuel Storage Additional Overpacks</t>
  </si>
  <si>
    <t xml:space="preserve">He Gas Replenishment</t>
  </si>
  <si>
    <t xml:space="preserve">Servicing Vehicle O&amp;M</t>
  </si>
  <si>
    <t xml:space="preserve">Reactor Transport Vehicles O&amp;M</t>
  </si>
  <si>
    <t xml:space="preserve">Helium Transport Trucks O&amp;M</t>
  </si>
  <si>
    <t xml:space="preserve">Water Tanker Trucks O&amp;M</t>
  </si>
  <si>
    <t xml:space="preserve">Maintenance Trucks O&amp;M</t>
  </si>
</sst>
</file>

<file path=xl/styles.xml><?xml version="1.0" encoding="utf-8"?>
<styleSheet xmlns="http://schemas.openxmlformats.org/spreadsheetml/2006/main">
  <numFmts count="15">
    <numFmt numFmtId="164" formatCode="General"/>
    <numFmt numFmtId="165" formatCode="_(* #,##0.00_);_(* \(#,##0.00\);_(* \-??_);_(@_)"/>
    <numFmt numFmtId="166" formatCode="#,##0"/>
    <numFmt numFmtId="167" formatCode="_(* #,##0_);_(* \(#,##0\);_(* \-??_);_(@_)"/>
    <numFmt numFmtId="168" formatCode="_(* #,##0.0_);_(* \(#,##0.0\);_(* \-?_);_(@_)"/>
    <numFmt numFmtId="169" formatCode="0.0"/>
    <numFmt numFmtId="170" formatCode="_(* #,##0.000_);_(* \(#,##0.000\);_(* \-??_);_(@_)"/>
    <numFmt numFmtId="171" formatCode="#,##0.000"/>
    <numFmt numFmtId="172" formatCode="0.00"/>
    <numFmt numFmtId="173" formatCode="0.000"/>
    <numFmt numFmtId="174" formatCode="#,##0.00"/>
    <numFmt numFmtId="175" formatCode="#,##0.000_);\(#,##0.000\)"/>
    <numFmt numFmtId="176" formatCode="\$#,##0_);[RED]&quot;($&quot;#,##0\)"/>
    <numFmt numFmtId="177" formatCode="#,##0.00_);\(#,##0.00\)"/>
    <numFmt numFmtId="178" formatCode="#,##0.0000_);\(#,##0.0000\)"/>
  </numFmts>
  <fonts count="35">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theme="10"/>
      <name val="Calibri"/>
      <family val="2"/>
      <charset val="1"/>
    </font>
    <font>
      <sz val="10"/>
      <color rgb="FF000000"/>
      <name val="Times New Roman"/>
      <family val="1"/>
      <charset val="1"/>
    </font>
    <font>
      <sz val="10"/>
      <color theme="1"/>
      <name val="Calibri"/>
      <family val="2"/>
      <charset val="1"/>
    </font>
    <font>
      <b val="true"/>
      <sz val="10"/>
      <color rgb="FF000000"/>
      <name val="Times New Roman"/>
      <family val="1"/>
      <charset val="1"/>
    </font>
    <font>
      <b val="true"/>
      <sz val="10"/>
      <color theme="1"/>
      <name val="Times New Roman"/>
      <family val="1"/>
      <charset val="1"/>
    </font>
    <font>
      <b val="true"/>
      <sz val="10"/>
      <color theme="1"/>
      <name val="Calibri"/>
      <family val="2"/>
      <charset val="1"/>
    </font>
    <font>
      <sz val="10"/>
      <color theme="1"/>
      <name val="Times New Roman"/>
      <family val="1"/>
      <charset val="1"/>
    </font>
    <font>
      <sz val="10"/>
      <color theme="10"/>
      <name val="Times New Roman"/>
      <family val="1"/>
      <charset val="1"/>
    </font>
    <font>
      <sz val="10"/>
      <name val="Times New Roman"/>
      <family val="1"/>
      <charset val="1"/>
    </font>
    <font>
      <u val="single"/>
      <sz val="10"/>
      <color theme="10"/>
      <name val="Times New Roman"/>
      <family val="1"/>
      <charset val="1"/>
    </font>
    <font>
      <sz val="9"/>
      <color theme="1"/>
      <name val="Calibri"/>
      <family val="2"/>
      <charset val="1"/>
    </font>
    <font>
      <sz val="10"/>
      <color rgb="FF212529"/>
      <name val="Times New Roman"/>
      <family val="1"/>
      <charset val="1"/>
    </font>
    <font>
      <sz val="10"/>
      <color rgb="FF383A42"/>
      <name val="Menlo"/>
      <family val="2"/>
      <charset val="1"/>
    </font>
    <font>
      <b val="true"/>
      <sz val="11"/>
      <color theme="1"/>
      <name val="Calibri"/>
      <family val="2"/>
      <charset val="1"/>
    </font>
    <font>
      <b val="true"/>
      <sz val="12"/>
      <color rgb="FF000000"/>
      <name val="Times New Roman"/>
      <family val="1"/>
      <charset val="1"/>
    </font>
    <font>
      <sz val="10"/>
      <name val="Arial"/>
      <family val="2"/>
    </font>
    <font>
      <sz val="11"/>
      <color rgb="FF000000"/>
      <name val="Calibri"/>
      <family val="2"/>
      <charset val="1"/>
    </font>
    <font>
      <i val="true"/>
      <sz val="10"/>
      <color rgb="FF222222"/>
      <name val="Times New Roman"/>
      <family val="1"/>
      <charset val="1"/>
    </font>
    <font>
      <sz val="10"/>
      <color rgb="FF222222"/>
      <name val="Times New Roman"/>
      <family val="1"/>
      <charset val="1"/>
    </font>
    <font>
      <u val="single"/>
      <sz val="10"/>
      <color theme="1"/>
      <name val="Times New Roman"/>
      <family val="1"/>
      <charset val="1"/>
    </font>
    <font>
      <b val="true"/>
      <sz val="10"/>
      <color rgb="FF92D050"/>
      <name val="Times New Roman"/>
      <family val="1"/>
      <charset val="1"/>
    </font>
    <font>
      <sz val="10"/>
      <color rgb="FFFFC000"/>
      <name val="Times New Roman"/>
      <family val="1"/>
      <charset val="1"/>
    </font>
    <font>
      <b val="true"/>
      <sz val="10"/>
      <color rgb="FF7030A0"/>
      <name val="Times New Roman"/>
      <family val="1"/>
      <charset val="1"/>
    </font>
    <font>
      <b val="true"/>
      <sz val="10"/>
      <color theme="9"/>
      <name val="Times New Roman"/>
      <family val="1"/>
      <charset val="1"/>
    </font>
    <font>
      <sz val="10"/>
      <color rgb="FFFF0000"/>
      <name val="Times New Roman"/>
      <family val="1"/>
      <charset val="1"/>
    </font>
    <font>
      <b val="true"/>
      <sz val="10"/>
      <color rgb="FFFF0000"/>
      <name val="Times New Roman"/>
      <family val="1"/>
      <charset val="1"/>
    </font>
    <font>
      <b val="true"/>
      <sz val="10"/>
      <color rgb="FFFFC000"/>
      <name val="Times New Roman"/>
      <family val="1"/>
      <charset val="1"/>
    </font>
    <font>
      <b val="true"/>
      <sz val="10"/>
      <name val="Times New Roman"/>
      <family val="1"/>
      <charset val="1"/>
    </font>
    <font>
      <sz val="10"/>
      <color rgb="FF7030A0"/>
      <name val="Times New Roman"/>
      <family val="1"/>
      <charset val="1"/>
    </font>
    <font>
      <sz val="10"/>
      <color theme="9"/>
      <name val="Times New Roman"/>
      <family val="1"/>
      <charset val="1"/>
    </font>
  </fonts>
  <fills count="8">
    <fill>
      <patternFill patternType="none"/>
    </fill>
    <fill>
      <patternFill patternType="gray125"/>
    </fill>
    <fill>
      <patternFill patternType="solid">
        <fgColor rgb="FFFFFF00"/>
        <bgColor rgb="FFFFFF00"/>
      </patternFill>
    </fill>
    <fill>
      <patternFill patternType="solid">
        <fgColor rgb="FFF2F2F2"/>
        <bgColor rgb="FFF0F0F0"/>
      </patternFill>
    </fill>
    <fill>
      <patternFill patternType="solid">
        <fgColor theme="7" tint="0.5999"/>
        <bgColor rgb="FFE0E0E0"/>
      </patternFill>
    </fill>
    <fill>
      <patternFill patternType="solid">
        <fgColor rgb="FFFFC000"/>
        <bgColor rgb="FFF79646"/>
      </patternFill>
    </fill>
    <fill>
      <patternFill patternType="solid">
        <fgColor rgb="FFFFFFFF"/>
        <bgColor rgb="FFF2F2F2"/>
      </patternFill>
    </fill>
    <fill>
      <patternFill patternType="solid">
        <fgColor rgb="FF00B0F0"/>
        <bgColor rgb="FF33CCCC"/>
      </patternFill>
    </fill>
  </fills>
  <borders count="10">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bottom style="thin"/>
      <diagonal/>
    </border>
    <border diagonalUp="false" diagonalDown="false">
      <left style="thin"/>
      <right style="thin"/>
      <top style="thin"/>
      <bottom/>
      <diagonal/>
    </border>
    <border diagonalUp="false" diagonalDown="false">
      <left style="medium"/>
      <right style="medium"/>
      <top style="medium"/>
      <bottom style="medium"/>
      <diagonal/>
    </border>
    <border diagonalUp="false" diagonalDown="false">
      <left style="medium"/>
      <right style="medium"/>
      <top/>
      <bottom style="medium"/>
      <diagonal/>
    </border>
    <border diagonalUp="false" diagonalDown="false">
      <left/>
      <right style="medium"/>
      <top style="medium"/>
      <bottom style="medium"/>
      <diagonal/>
    </border>
    <border diagonalUp="false" diagonalDown="false">
      <left/>
      <right style="medium"/>
      <top/>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6"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93">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true" indent="0" shrinkToFit="false"/>
      <protection locked="true" hidden="false"/>
    </xf>
    <xf numFmtId="166" fontId="8" fillId="0" borderId="1" xfId="0" applyFont="true" applyBorder="true" applyAlignment="true" applyProtection="false">
      <alignment horizontal="left" vertical="bottom" textRotation="0" wrapText="tru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6" fontId="8" fillId="0" borderId="1" xfId="0" applyFont="true" applyBorder="true" applyAlignment="true" applyProtection="false">
      <alignment horizontal="left" vertical="bottom" textRotation="0" wrapText="false" indent="0" shrinkToFit="false"/>
      <protection locked="true" hidden="false"/>
    </xf>
    <xf numFmtId="166" fontId="6" fillId="0" borderId="1" xfId="0" applyFont="true" applyBorder="true" applyAlignment="true" applyProtection="false">
      <alignment horizontal="left" vertical="bottom" textRotation="0" wrapText="tru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7" fontId="11" fillId="0" borderId="1" xfId="20" applyFont="true" applyBorder="true" applyAlignment="true" applyProtection="false">
      <alignment horizontal="right" vertical="bottom" textRotation="0" wrapText="false" indent="0" shrinkToFit="false"/>
      <protection locked="true" hidden="false"/>
    </xf>
    <xf numFmtId="166" fontId="11" fillId="0" borderId="1" xfId="20" applyFont="true" applyBorder="true" applyAlignment="true" applyProtection="false">
      <alignment horizontal="right" vertical="bottom" textRotation="0" wrapText="false" indent="0" shrinkToFit="false"/>
      <protection locked="true" hidden="false"/>
    </xf>
    <xf numFmtId="164" fontId="11" fillId="0" borderId="1" xfId="0" applyFont="true" applyBorder="true" applyAlignment="true" applyProtection="false">
      <alignment horizontal="left" vertical="bottom" textRotation="0" wrapText="false" indent="0" shrinkToFit="false"/>
      <protection locked="true" hidden="false"/>
    </xf>
    <xf numFmtId="167" fontId="11" fillId="0" borderId="1" xfId="2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right" vertical="bottom" textRotation="0" wrapText="false" indent="0" shrinkToFit="false"/>
      <protection locked="true" hidden="false"/>
    </xf>
    <xf numFmtId="164" fontId="11" fillId="0" borderId="1" xfId="0" applyFont="true" applyBorder="true" applyAlignment="true" applyProtection="false">
      <alignment horizontal="left" vertical="bottom" textRotation="0" wrapText="true" indent="0" shrinkToFit="false"/>
      <protection locked="true" hidden="false"/>
    </xf>
    <xf numFmtId="164" fontId="12" fillId="0" borderId="1" xfId="22" applyFont="true" applyBorder="true" applyAlignment="true" applyProtection="false">
      <alignment horizontal="left"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6" fontId="8" fillId="0" borderId="1" xfId="0" applyFont="true" applyBorder="true" applyAlignment="true" applyProtection="false">
      <alignment horizontal="right" vertical="bottom" textRotation="0" wrapText="true" indent="0" shrinkToFit="false"/>
      <protection locked="true" hidden="false"/>
    </xf>
    <xf numFmtId="164" fontId="8" fillId="0" borderId="1" xfId="0" applyFont="true" applyBorder="true" applyAlignment="true" applyProtection="false">
      <alignment horizontal="right" vertical="bottom" textRotation="0" wrapText="true" indent="0" shrinkToFit="false"/>
      <protection locked="true" hidden="false"/>
    </xf>
    <xf numFmtId="167" fontId="11" fillId="0" borderId="1" xfId="2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9" fontId="6" fillId="0" borderId="1" xfId="0" applyFont="true" applyBorder="true" applyAlignment="true" applyProtection="false">
      <alignment horizontal="left" vertical="bottom" textRotation="0" wrapText="false" indent="0" shrinkToFit="false"/>
      <protection locked="true" hidden="false"/>
    </xf>
    <xf numFmtId="164" fontId="12" fillId="0" borderId="1" xfId="22" applyFont="true" applyBorder="true" applyAlignment="true" applyProtection="false">
      <alignment horizontal="left"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4" fillId="0" borderId="1" xfId="22" applyFont="true" applyBorder="true" applyAlignment="true" applyProtection="false">
      <alignment horizontal="left" vertical="bottom" textRotation="0" wrapText="false" indent="0" shrinkToFit="false"/>
      <protection locked="true" hidden="false"/>
    </xf>
    <xf numFmtId="164" fontId="5" fillId="0" borderId="1" xfId="22" applyFont="true" applyBorder="true" applyAlignment="true" applyProtection="false">
      <alignment horizontal="lef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right" vertical="bottom" textRotation="0" wrapText="false" indent="0" shrinkToFit="false"/>
      <protection locked="true" hidden="false"/>
    </xf>
    <xf numFmtId="164" fontId="12" fillId="0" borderId="1" xfId="22" applyFont="true" applyBorder="true" applyAlignment="true" applyProtection="false">
      <alignment horizontal="general" vertical="bottom"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6" fontId="16" fillId="0" borderId="1" xfId="0" applyFont="true" applyBorder="true" applyAlignment="true" applyProtection="false">
      <alignment horizontal="right" vertical="bottom" textRotation="0" wrapText="false" indent="0" shrinkToFit="false"/>
      <protection locked="true" hidden="false"/>
    </xf>
    <xf numFmtId="166" fontId="11"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right"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true" indent="0" shrinkToFit="false"/>
      <protection locked="true" hidden="false"/>
    </xf>
    <xf numFmtId="166" fontId="6" fillId="0" borderId="1" xfId="0" applyFont="true" applyBorder="true" applyAlignment="true" applyProtection="false">
      <alignment horizontal="right" vertical="bottom"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left" vertical="bottom" textRotation="0" wrapText="false" indent="0" shrinkToFit="false"/>
      <protection locked="true" hidden="false"/>
    </xf>
    <xf numFmtId="166" fontId="8" fillId="0" borderId="2" xfId="0" applyFont="true" applyBorder="true" applyAlignment="true" applyProtection="false">
      <alignment horizontal="left" vertical="bottom" textRotation="0" wrapText="false" indent="0" shrinkToFit="false"/>
      <protection locked="true" hidden="false"/>
    </xf>
    <xf numFmtId="166" fontId="6" fillId="0" borderId="0" xfId="0" applyFont="true" applyBorder="false" applyAlignment="true" applyProtection="false">
      <alignment horizontal="left" vertical="bottom" textRotation="0" wrapText="tru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4" fontId="12" fillId="0" borderId="1" xfId="22" applyFont="true" applyBorder="true" applyAlignment="true" applyProtection="false">
      <alignment horizontal="center" vertical="bottom" textRotation="0" wrapText="true" indent="0" shrinkToFit="false"/>
      <protection locked="true" hidden="false"/>
    </xf>
    <xf numFmtId="164" fontId="5" fillId="0" borderId="1" xfId="22" applyFont="true" applyBorder="true" applyAlignment="false" applyProtection="false">
      <alignment horizontal="general" vertical="bottom" textRotation="0" wrapText="false" indent="0" shrinkToFit="false"/>
      <protection locked="true" hidden="false"/>
    </xf>
    <xf numFmtId="164" fontId="12" fillId="0" borderId="1" xfId="22" applyFont="true" applyBorder="true" applyAlignment="false" applyProtection="false">
      <alignment horizontal="general" vertical="bottom" textRotation="0" wrapText="false" indent="0" shrinkToFit="false"/>
      <protection locked="true" hidden="false"/>
    </xf>
    <xf numFmtId="164" fontId="11" fillId="0" borderId="5" xfId="0" applyFont="true" applyBorder="true" applyAlignment="true" applyProtection="false">
      <alignment horizontal="general" vertical="bottom" textRotation="0" wrapText="true" indent="0" shrinkToFit="false"/>
      <protection locked="true" hidden="false"/>
    </xf>
    <xf numFmtId="164" fontId="11" fillId="0" borderId="1" xfId="25" applyFont="true" applyBorder="true" applyAlignment="true" applyProtection="false">
      <alignment horizontal="general" vertical="bottom" textRotation="0" wrapText="true" indent="0" shrinkToFit="false"/>
      <protection locked="true" hidden="false"/>
    </xf>
    <xf numFmtId="170" fontId="11" fillId="0" borderId="1" xfId="2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1" fillId="0" borderId="5" xfId="0" applyFont="true" applyBorder="true" applyAlignment="true" applyProtection="false">
      <alignment horizontal="center" vertical="bottom" textRotation="0" wrapText="true" indent="0" shrinkToFit="false"/>
      <protection locked="true" hidden="false"/>
    </xf>
    <xf numFmtId="164" fontId="11" fillId="0" borderId="5" xfId="0" applyFont="true" applyBorder="true" applyAlignment="false" applyProtection="false">
      <alignment horizontal="general" vertical="bottom" textRotation="0" wrapText="false" indent="0" shrinkToFit="false"/>
      <protection locked="true" hidden="false"/>
    </xf>
    <xf numFmtId="171" fontId="11" fillId="0" borderId="1" xfId="0" applyFont="true" applyBorder="true" applyAlignment="true" applyProtection="false">
      <alignment horizontal="right" vertical="bottom" textRotation="0" wrapText="false" indent="0" shrinkToFit="false"/>
      <protection locked="true" hidden="false"/>
    </xf>
    <xf numFmtId="172" fontId="4" fillId="0" borderId="0" xfId="25" applyFont="true" applyBorder="false" applyAlignment="true" applyProtection="false">
      <alignment horizontal="left" vertical="center" textRotation="0" wrapText="false" indent="0" shrinkToFit="false"/>
      <protection locked="true" hidden="false"/>
    </xf>
    <xf numFmtId="164" fontId="4" fillId="0" borderId="0" xfId="25" applyFont="true" applyBorder="false" applyAlignment="true" applyProtection="false">
      <alignment horizontal="general" vertical="center" textRotation="0" wrapText="true" indent="0" shrinkToFit="false"/>
      <protection locked="true" hidden="false"/>
    </xf>
    <xf numFmtId="166" fontId="4" fillId="0" borderId="0" xfId="25" applyFont="true" applyBorder="false" applyAlignment="false" applyProtection="false">
      <alignment horizontal="general" vertical="bottom" textRotation="0" wrapText="false" indent="0" shrinkToFit="false"/>
      <protection locked="true" hidden="false"/>
    </xf>
    <xf numFmtId="164" fontId="18" fillId="2" borderId="1" xfId="25" applyFont="true" applyBorder="true" applyAlignment="true" applyProtection="false">
      <alignment horizontal="left" vertical="center" textRotation="0" wrapText="true" indent="0" shrinkToFit="false"/>
      <protection locked="true" hidden="false"/>
    </xf>
    <xf numFmtId="164" fontId="18" fillId="2" borderId="1" xfId="25" applyFont="true" applyBorder="true" applyAlignment="true" applyProtection="false">
      <alignment horizontal="center" vertical="center" textRotation="0" wrapText="true" indent="0" shrinkToFit="false"/>
      <protection locked="true" hidden="false"/>
    </xf>
    <xf numFmtId="166" fontId="18" fillId="2" borderId="1" xfId="25" applyFont="true" applyBorder="true" applyAlignment="true" applyProtection="false">
      <alignment horizontal="center" vertical="center" textRotation="0" wrapText="true" indent="0" shrinkToFit="false"/>
      <protection locked="true" hidden="false"/>
    </xf>
    <xf numFmtId="172" fontId="18" fillId="0" borderId="1" xfId="25" applyFont="true" applyBorder="true" applyAlignment="true" applyProtection="false">
      <alignment horizontal="left" vertical="center" textRotation="0" wrapText="false" indent="0" shrinkToFit="false"/>
      <protection locked="true" hidden="false"/>
    </xf>
    <xf numFmtId="164" fontId="18" fillId="0" borderId="1" xfId="25" applyFont="true" applyBorder="true" applyAlignment="true" applyProtection="false">
      <alignment horizontal="general" vertical="center" textRotation="0" wrapText="true" indent="0" shrinkToFit="false"/>
      <protection locked="true" hidden="false"/>
    </xf>
    <xf numFmtId="166" fontId="18" fillId="0" borderId="1" xfId="25" applyFont="true" applyBorder="true" applyAlignment="false" applyProtection="false">
      <alignment horizontal="general" vertical="bottom" textRotation="0" wrapText="false" indent="0" shrinkToFit="false"/>
      <protection locked="true" hidden="false"/>
    </xf>
    <xf numFmtId="172" fontId="4" fillId="0" borderId="1" xfId="25" applyFont="true" applyBorder="true" applyAlignment="true" applyProtection="false">
      <alignment horizontal="left" vertical="center" textRotation="0" wrapText="false" indent="0" shrinkToFit="false"/>
      <protection locked="true" hidden="false"/>
    </xf>
    <xf numFmtId="164" fontId="4" fillId="0" borderId="1" xfId="25" applyFont="true" applyBorder="true" applyAlignment="true" applyProtection="false">
      <alignment horizontal="general" vertical="center" textRotation="0" wrapText="true" indent="0" shrinkToFit="false"/>
      <protection locked="true" hidden="false"/>
    </xf>
    <xf numFmtId="166" fontId="4" fillId="0" borderId="1" xfId="25" applyFont="true" applyBorder="true" applyAlignment="false" applyProtection="false">
      <alignment horizontal="general" vertical="bottom" textRotation="0" wrapText="false" indent="0" shrinkToFit="false"/>
      <protection locked="true" hidden="false"/>
    </xf>
    <xf numFmtId="165" fontId="0" fillId="0" borderId="0" xfId="20" applyFont="true" applyBorder="false" applyAlignment="false" applyProtection="false">
      <alignment horizontal="general" vertical="bottom" textRotation="0" wrapText="false" indent="0" shrinkToFit="false"/>
      <protection locked="true" hidden="false"/>
    </xf>
    <xf numFmtId="164" fontId="4" fillId="0" borderId="1" xfId="25" applyFont="true" applyBorder="true" applyAlignment="true" applyProtection="false">
      <alignment horizontal="left" vertical="center" textRotation="0" wrapText="true" indent="0" shrinkToFit="false"/>
      <protection locked="true" hidden="false"/>
    </xf>
    <xf numFmtId="164" fontId="6" fillId="0" borderId="6" xfId="0" applyFont="true" applyBorder="true" applyAlignment="true" applyProtection="false">
      <alignment horizontal="left" vertical="bottom" textRotation="0" wrapText="false" indent="0" shrinkToFit="false"/>
      <protection locked="true" hidden="false"/>
    </xf>
    <xf numFmtId="164" fontId="6" fillId="0" borderId="7" xfId="0" applyFont="true" applyBorder="true" applyAlignment="true" applyProtection="false">
      <alignment horizontal="general" vertical="center"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3" fontId="4" fillId="0" borderId="1" xfId="25" applyFont="true" applyBorder="true" applyAlignment="true" applyProtection="false">
      <alignment horizontal="left" vertical="center" textRotation="0" wrapText="false" indent="0" shrinkToFit="false"/>
      <protection locked="true" hidden="false"/>
    </xf>
    <xf numFmtId="164" fontId="6" fillId="0" borderId="0" xfId="24" applyFont="true" applyBorder="false" applyAlignment="true" applyProtection="false">
      <alignment horizontal="left" vertical="top" textRotation="0" wrapText="false" indent="0" shrinkToFit="false"/>
      <protection locked="true" hidden="false"/>
    </xf>
    <xf numFmtId="164" fontId="19" fillId="3" borderId="6" xfId="0" applyFont="true" applyBorder="true" applyAlignment="true" applyProtection="false">
      <alignment horizontal="center" vertical="center" textRotation="0" wrapText="false" indent="0" shrinkToFit="false"/>
      <protection locked="true" hidden="false"/>
    </xf>
    <xf numFmtId="164" fontId="19" fillId="3" borderId="8" xfId="0" applyFont="true" applyBorder="true" applyAlignment="true" applyProtection="false">
      <alignment horizontal="center" vertical="center" textRotation="0" wrapText="false" indent="0" shrinkToFit="false"/>
      <protection locked="true" hidden="false"/>
    </xf>
    <xf numFmtId="164" fontId="6" fillId="3" borderId="6" xfId="0" applyFont="true" applyBorder="true" applyAlignment="true" applyProtection="false">
      <alignment horizontal="center" vertical="center" textRotation="0" wrapText="false" indent="0" shrinkToFit="false"/>
      <protection locked="true" hidden="false"/>
    </xf>
    <xf numFmtId="164" fontId="6" fillId="0" borderId="7" xfId="0" applyFont="true" applyBorder="true" applyAlignment="true" applyProtection="false">
      <alignment horizontal="general" vertical="center" textRotation="0" wrapText="false" indent="0" shrinkToFit="false"/>
      <protection locked="true" hidden="false"/>
    </xf>
    <xf numFmtId="164" fontId="6" fillId="0" borderId="9" xfId="0" applyFont="true" applyBorder="true" applyAlignment="true" applyProtection="false">
      <alignment horizontal="right" vertical="center" textRotation="0" wrapText="false" indent="0" shrinkToFit="false"/>
      <protection locked="true" hidden="false"/>
    </xf>
    <xf numFmtId="164" fontId="6" fillId="0" borderId="9" xfId="0" applyFont="true" applyBorder="true" applyAlignment="true" applyProtection="false">
      <alignment horizontal="general" vertical="center" textRotation="0" wrapText="false" indent="0" shrinkToFit="false"/>
      <protection locked="true" hidden="false"/>
    </xf>
    <xf numFmtId="164" fontId="11" fillId="0" borderId="9"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4" fontId="6" fillId="2" borderId="9" xfId="0" applyFont="true" applyBorder="true" applyAlignment="true" applyProtection="false">
      <alignment horizontal="right" vertical="center" textRotation="0" wrapText="false" indent="0" shrinkToFit="false"/>
      <protection locked="true" hidden="false"/>
    </xf>
    <xf numFmtId="164" fontId="6" fillId="2" borderId="9" xfId="0" applyFont="true" applyBorder="true" applyAlignment="true" applyProtection="false">
      <alignment horizontal="general" vertical="center" textRotation="0" wrapText="false" indent="0" shrinkToFit="false"/>
      <protection locked="true" hidden="false"/>
    </xf>
    <xf numFmtId="164" fontId="6" fillId="2" borderId="9" xfId="0" applyFont="true" applyBorder="true" applyAlignment="true" applyProtection="false">
      <alignment horizontal="general" vertical="center" textRotation="0" wrapText="true" indent="0" shrinkToFit="false"/>
      <protection locked="true" hidden="false"/>
    </xf>
    <xf numFmtId="164" fontId="6" fillId="2" borderId="0" xfId="24" applyFont="true" applyBorder="false" applyAlignment="true" applyProtection="false">
      <alignment horizontal="left" vertical="top" textRotation="0" wrapText="false" indent="0" shrinkToFit="false"/>
      <protection locked="true" hidden="false"/>
    </xf>
    <xf numFmtId="164" fontId="18"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true" applyAlignment="true" applyProtection="false">
      <alignment horizontal="center" vertical="bottom" textRotation="0" wrapText="true" indent="0" shrinkToFit="false"/>
      <protection locked="true" hidden="false"/>
    </xf>
    <xf numFmtId="164" fontId="0" fillId="0" borderId="0" xfId="0" applyFont="true" applyBorder="true" applyAlignment="true" applyProtection="false">
      <alignment horizontal="center" vertical="bottom" textRotation="0" wrapText="tru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21"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74" fontId="7" fillId="0" borderId="0" xfId="0" applyFont="true" applyBorder="false" applyAlignment="true" applyProtection="false">
      <alignment horizontal="left" vertical="bottom" textRotation="0" wrapText="true" indent="0" shrinkToFit="false"/>
      <protection locked="true" hidden="false"/>
    </xf>
    <xf numFmtId="174" fontId="8" fillId="0" borderId="1" xfId="0" applyFont="true" applyBorder="true" applyAlignment="true" applyProtection="false">
      <alignment horizontal="left" vertical="bottom" textRotation="0" wrapText="true" indent="0" shrinkToFit="false"/>
      <protection locked="true" hidden="false"/>
    </xf>
    <xf numFmtId="164" fontId="9" fillId="4" borderId="1" xfId="0" applyFont="true" applyBorder="true" applyAlignment="true" applyProtection="false">
      <alignment horizontal="left" vertical="bottom" textRotation="0" wrapText="true" indent="0" shrinkToFit="false"/>
      <protection locked="true" hidden="false"/>
    </xf>
    <xf numFmtId="174" fontId="6" fillId="0" borderId="1" xfId="0" applyFont="true" applyBorder="true" applyAlignment="true" applyProtection="false">
      <alignment horizontal="left" vertical="bottom" textRotation="0" wrapText="true" indent="0" shrinkToFit="false"/>
      <protection locked="true" hidden="false"/>
    </xf>
    <xf numFmtId="166" fontId="8" fillId="0" borderId="1" xfId="21" applyFont="true" applyBorder="true" applyAlignment="true" applyProtection="true">
      <alignment horizontal="right" vertical="bottom" textRotation="0" wrapText="false" indent="0" shrinkToFit="false"/>
      <protection locked="true" hidden="false"/>
    </xf>
    <xf numFmtId="166" fontId="11" fillId="0" borderId="1" xfId="21" applyFont="true" applyBorder="true" applyAlignment="true" applyProtection="true">
      <alignment horizontal="right" vertical="bottom" textRotation="0" wrapText="false" indent="0" shrinkToFit="false"/>
      <protection locked="true" hidden="false"/>
    </xf>
    <xf numFmtId="167" fontId="11" fillId="0" borderId="1" xfId="21" applyFont="true" applyBorder="true" applyAlignment="true" applyProtection="true">
      <alignment horizontal="general" vertical="bottom" textRotation="0" wrapText="false" indent="0" shrinkToFit="false"/>
      <protection locked="true" hidden="false"/>
    </xf>
    <xf numFmtId="164" fontId="12" fillId="0" borderId="1" xfId="23" applyFont="true" applyBorder="true" applyAlignment="true" applyProtection="true">
      <alignment horizontal="left" vertical="bottom" textRotation="0" wrapText="false" indent="0" shrinkToFit="false"/>
      <protection locked="true" hidden="false"/>
    </xf>
    <xf numFmtId="167" fontId="11" fillId="0" borderId="1" xfId="21" applyFont="true" applyBorder="true" applyAlignment="true" applyProtection="true">
      <alignment horizontal="right" vertical="bottom" textRotation="0" wrapText="false" indent="0" shrinkToFit="false"/>
      <protection locked="true" hidden="false"/>
    </xf>
    <xf numFmtId="167" fontId="11" fillId="0" borderId="1" xfId="21" applyFont="true" applyBorder="true" applyAlignment="true" applyProtection="true">
      <alignment horizontal="general" vertical="bottom" textRotation="0" wrapText="true" indent="0" shrinkToFit="false"/>
      <protection locked="true" hidden="false"/>
    </xf>
    <xf numFmtId="164" fontId="12" fillId="0" borderId="1" xfId="23" applyFont="true" applyBorder="true" applyAlignment="true" applyProtection="true">
      <alignment horizontal="left" vertical="bottom" textRotation="0" wrapText="true" indent="0" shrinkToFit="false"/>
      <protection locked="true" hidden="false"/>
    </xf>
    <xf numFmtId="164" fontId="13" fillId="5" borderId="1" xfId="0" applyFont="true" applyBorder="true" applyAlignment="true" applyProtection="false">
      <alignment horizontal="left" vertical="bottom" textRotation="0" wrapText="false" indent="0" shrinkToFit="false"/>
      <protection locked="true" hidden="false"/>
    </xf>
    <xf numFmtId="167" fontId="13" fillId="0" borderId="1" xfId="21" applyFont="true" applyBorder="true" applyAlignment="true" applyProtection="tru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7" fontId="13" fillId="0" borderId="1" xfId="21" applyFont="true" applyBorder="true" applyAlignment="true" applyProtection="true">
      <alignment horizontal="right" vertical="bottom" textRotation="0" wrapText="false" indent="0" shrinkToFit="false"/>
      <protection locked="true" hidden="false"/>
    </xf>
    <xf numFmtId="164" fontId="13" fillId="0" borderId="1" xfId="0" applyFont="true" applyBorder="true" applyAlignment="true" applyProtection="false">
      <alignment horizontal="right"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true" indent="0" shrinkToFit="false"/>
      <protection locked="true" hidden="false"/>
    </xf>
    <xf numFmtId="166" fontId="25" fillId="0" borderId="1" xfId="21" applyFont="true" applyBorder="true" applyAlignment="true" applyProtection="true">
      <alignment horizontal="right" vertical="bottom" textRotation="0" wrapText="false" indent="0" shrinkToFit="false"/>
      <protection locked="true" hidden="false"/>
    </xf>
    <xf numFmtId="164" fontId="25" fillId="0" borderId="1" xfId="0" applyFont="true" applyBorder="true" applyAlignment="true" applyProtection="false">
      <alignment horizontal="left" vertical="bottom" textRotation="0" wrapText="false" indent="0" shrinkToFit="false"/>
      <protection locked="true" hidden="false"/>
    </xf>
    <xf numFmtId="164" fontId="26" fillId="5" borderId="1" xfId="0" applyFont="true" applyBorder="true" applyAlignment="true" applyProtection="false">
      <alignment horizontal="left" vertical="bottom" textRotation="0" wrapText="false" indent="0" shrinkToFit="false"/>
      <protection locked="true" hidden="false"/>
    </xf>
    <xf numFmtId="167" fontId="26" fillId="0" borderId="1" xfId="21" applyFont="true" applyBorder="true" applyAlignment="true" applyProtection="true">
      <alignment horizontal="general" vertical="bottom" textRotation="0" wrapText="false" indent="0" shrinkToFit="false"/>
      <protection locked="true" hidden="false"/>
    </xf>
    <xf numFmtId="167" fontId="25" fillId="0" borderId="1" xfId="21" applyFont="true" applyBorder="true" applyAlignment="true" applyProtection="true">
      <alignment horizontal="right" vertical="bottom" textRotation="0" wrapText="false" indent="0" shrinkToFit="false"/>
      <protection locked="true" hidden="false"/>
    </xf>
    <xf numFmtId="164" fontId="26" fillId="0" borderId="1" xfId="0" applyFont="true" applyBorder="true" applyAlignment="true" applyProtection="false">
      <alignment horizontal="right" vertical="bottom" textRotation="0" wrapText="false" indent="0" shrinkToFit="false"/>
      <protection locked="true" hidden="false"/>
    </xf>
    <xf numFmtId="164" fontId="26" fillId="0" borderId="1" xfId="0" applyFont="true" applyBorder="true" applyAlignment="true" applyProtection="false">
      <alignment horizontal="left" vertical="bottom" textRotation="0" wrapText="false" indent="0" shrinkToFit="false"/>
      <protection locked="true" hidden="false"/>
    </xf>
    <xf numFmtId="164" fontId="26" fillId="0" borderId="1" xfId="0" applyFont="true" applyBorder="true" applyAlignment="true" applyProtection="false">
      <alignment horizontal="left" vertical="bottom" textRotation="0" wrapText="true" indent="0" shrinkToFit="false"/>
      <protection locked="true" hidden="false"/>
    </xf>
    <xf numFmtId="164" fontId="5" fillId="0" borderId="1" xfId="23" applyFont="true" applyBorder="true" applyAlignment="true" applyProtection="true">
      <alignment horizontal="left" vertical="bottom" textRotation="0" wrapText="false" indent="0" shrinkToFit="false"/>
      <protection locked="true" hidden="false"/>
    </xf>
    <xf numFmtId="166" fontId="27" fillId="0" borderId="1" xfId="21" applyFont="true" applyBorder="true" applyAlignment="true" applyProtection="true">
      <alignment horizontal="right" vertical="bottom" textRotation="0" wrapText="false" indent="0" shrinkToFit="false"/>
      <protection locked="true" hidden="false"/>
    </xf>
    <xf numFmtId="167" fontId="11" fillId="6" borderId="1" xfId="21" applyFont="true" applyBorder="true" applyAlignment="true" applyProtection="true">
      <alignment horizontal="general" vertical="bottom" textRotation="0" wrapText="false" indent="0" shrinkToFit="false"/>
      <protection locked="true" hidden="false"/>
    </xf>
    <xf numFmtId="167" fontId="11" fillId="6" borderId="1" xfId="21" applyFont="true" applyBorder="true" applyAlignment="true" applyProtection="true">
      <alignment horizontal="right" vertical="bottom" textRotation="0" wrapText="false" indent="0" shrinkToFit="false"/>
      <protection locked="true" hidden="false"/>
    </xf>
    <xf numFmtId="167" fontId="11" fillId="6" borderId="1" xfId="21" applyFont="true" applyBorder="true" applyAlignment="true" applyProtection="true">
      <alignment horizontal="general" vertical="bottom" textRotation="0" wrapText="tru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8" fontId="11" fillId="6" borderId="1" xfId="0" applyFont="true" applyBorder="true" applyAlignment="true" applyProtection="false">
      <alignment horizontal="right" vertical="bottom" textRotation="0" wrapText="false" indent="0" shrinkToFit="false"/>
      <protection locked="true" hidden="false"/>
    </xf>
    <xf numFmtId="164" fontId="11" fillId="6" borderId="1" xfId="0" applyFont="true" applyBorder="true" applyAlignment="true" applyProtection="false">
      <alignment horizontal="right" vertical="bottom" textRotation="0" wrapText="false" indent="0" shrinkToFit="false"/>
      <protection locked="true" hidden="false"/>
    </xf>
    <xf numFmtId="164" fontId="6" fillId="6" borderId="1" xfId="0" applyFont="true" applyBorder="true" applyAlignment="true" applyProtection="false">
      <alignment horizontal="left" vertical="bottom" textRotation="0" wrapText="false" indent="0" shrinkToFit="false"/>
      <protection locked="true" hidden="false"/>
    </xf>
    <xf numFmtId="166" fontId="6" fillId="6" borderId="1" xfId="0" applyFont="true" applyBorder="true" applyAlignment="true" applyProtection="false">
      <alignment horizontal="left" vertical="bottom" textRotation="0" wrapText="false" indent="0" shrinkToFit="false"/>
      <protection locked="true" hidden="false"/>
    </xf>
    <xf numFmtId="164" fontId="6" fillId="6" borderId="1" xfId="0" applyFont="true" applyBorder="true" applyAlignment="true" applyProtection="false">
      <alignment horizontal="left" vertical="bottom" textRotation="0" wrapText="true" indent="0" shrinkToFit="false"/>
      <protection locked="true" hidden="false"/>
    </xf>
    <xf numFmtId="166" fontId="6" fillId="6" borderId="1" xfId="0" applyFont="true" applyBorder="true" applyAlignment="true" applyProtection="false">
      <alignment horizontal="left" vertical="bottom" textRotation="0" wrapText="true" indent="0" shrinkToFit="false"/>
      <protection locked="true" hidden="false"/>
    </xf>
    <xf numFmtId="166" fontId="28" fillId="6" borderId="1" xfId="0" applyFont="true" applyBorder="true" applyAlignment="true" applyProtection="false">
      <alignment horizontal="left" vertical="bottom" textRotation="0" wrapText="true" indent="0" shrinkToFit="false"/>
      <protection locked="true" hidden="false"/>
    </xf>
    <xf numFmtId="174" fontId="6" fillId="6" borderId="1" xfId="0" applyFont="true" applyBorder="true" applyAlignment="true" applyProtection="false">
      <alignment horizontal="left" vertical="bottom" textRotation="0" wrapText="true" indent="0" shrinkToFit="false"/>
      <protection locked="true" hidden="false"/>
    </xf>
    <xf numFmtId="166" fontId="11" fillId="6" borderId="1" xfId="21" applyFont="true" applyBorder="true" applyAlignment="true" applyProtection="true">
      <alignment horizontal="right" vertical="bottom" textRotation="0" wrapText="false" indent="0" shrinkToFit="false"/>
      <protection locked="true" hidden="false"/>
    </xf>
    <xf numFmtId="167" fontId="27" fillId="6" borderId="1" xfId="21" applyFont="true" applyBorder="true" applyAlignment="true" applyProtection="true">
      <alignment horizontal="general" vertical="bottom" textRotation="0" wrapText="true" indent="0" shrinkToFit="false"/>
      <protection locked="true" hidden="false"/>
    </xf>
    <xf numFmtId="175" fontId="11" fillId="6" borderId="1" xfId="21" applyFont="true" applyBorder="true" applyAlignment="true" applyProtection="true">
      <alignment horizontal="right" vertical="bottom" textRotation="0" wrapText="false" indent="0" shrinkToFit="false"/>
      <protection locked="true" hidden="false"/>
    </xf>
    <xf numFmtId="164" fontId="29" fillId="6" borderId="1" xfId="0" applyFont="true" applyBorder="true" applyAlignment="true" applyProtection="false">
      <alignment horizontal="left" vertical="bottom" textRotation="0" wrapText="false" indent="0" shrinkToFit="false"/>
      <protection locked="true" hidden="false"/>
    </xf>
    <xf numFmtId="166" fontId="29" fillId="6" borderId="1" xfId="0" applyFont="true" applyBorder="true" applyAlignment="true" applyProtection="false">
      <alignment horizontal="left" vertical="bottom" textRotation="0" wrapText="false" indent="0" shrinkToFit="false"/>
      <protection locked="true" hidden="false"/>
    </xf>
    <xf numFmtId="164" fontId="29" fillId="6" borderId="1" xfId="0" applyFont="true" applyBorder="true" applyAlignment="true" applyProtection="false">
      <alignment horizontal="left" vertical="bottom" textRotation="0" wrapText="true" indent="0" shrinkToFit="false"/>
      <protection locked="true" hidden="false"/>
    </xf>
    <xf numFmtId="166" fontId="29" fillId="6" borderId="1" xfId="0" applyFont="true" applyBorder="true" applyAlignment="true" applyProtection="false">
      <alignment horizontal="left" vertical="bottom" textRotation="0" wrapText="true" indent="0" shrinkToFit="false"/>
      <protection locked="true" hidden="false"/>
    </xf>
    <xf numFmtId="167" fontId="30" fillId="6" borderId="1" xfId="21" applyFont="true" applyBorder="true" applyAlignment="true" applyProtection="true">
      <alignment horizontal="general" vertical="bottom" textRotation="0" wrapText="true" indent="0" shrinkToFit="false"/>
      <protection locked="true" hidden="false"/>
    </xf>
    <xf numFmtId="166" fontId="29" fillId="6" borderId="1" xfId="21" applyFont="true" applyBorder="true" applyAlignment="true" applyProtection="true">
      <alignment horizontal="right" vertical="bottom" textRotation="0" wrapText="false" indent="0" shrinkToFit="false"/>
      <protection locked="true" hidden="false"/>
    </xf>
    <xf numFmtId="164" fontId="11" fillId="6" borderId="1" xfId="0" applyFont="true" applyBorder="true" applyAlignment="true" applyProtection="false">
      <alignment horizontal="left" vertical="bottom" textRotation="0" wrapText="false" indent="0" shrinkToFit="false"/>
      <protection locked="true" hidden="false"/>
    </xf>
    <xf numFmtId="164" fontId="6" fillId="6" borderId="1" xfId="0" applyFont="true" applyBorder="true" applyAlignment="true" applyProtection="false">
      <alignment horizontal="general" vertical="bottom" textRotation="0" wrapText="true" indent="0" shrinkToFit="false"/>
      <protection locked="true" hidden="false"/>
    </xf>
    <xf numFmtId="166" fontId="11" fillId="6" borderId="1" xfId="0" applyFont="true" applyBorder="true" applyAlignment="true" applyProtection="false">
      <alignment horizontal="right" vertical="bottom" textRotation="0" wrapText="false" indent="0" shrinkToFit="false"/>
      <protection locked="true" hidden="false"/>
    </xf>
    <xf numFmtId="164" fontId="11" fillId="6" borderId="1" xfId="0" applyFont="true" applyBorder="true" applyAlignment="true" applyProtection="false">
      <alignment horizontal="general" vertical="bottom" textRotation="0" wrapText="true" indent="0" shrinkToFit="false"/>
      <protection locked="true" hidden="false"/>
    </xf>
    <xf numFmtId="164" fontId="12" fillId="0" borderId="1" xfId="23" applyFont="true" applyBorder="true" applyAlignment="true" applyProtection="true">
      <alignment horizontal="general" vertical="bottom" textRotation="0" wrapText="false" indent="0" shrinkToFit="false"/>
      <protection locked="true" hidden="false"/>
    </xf>
    <xf numFmtId="166" fontId="8" fillId="0" borderId="1" xfId="21" applyFont="true" applyBorder="true" applyAlignment="true" applyProtection="true">
      <alignment horizontal="right" vertical="bottom" textRotation="0" wrapText="true" indent="0" shrinkToFit="false"/>
      <protection locked="true" hidden="false"/>
    </xf>
    <xf numFmtId="164" fontId="11" fillId="6" borderId="1" xfId="0" applyFont="true" applyBorder="true" applyAlignment="true" applyProtection="false">
      <alignment horizontal="left" vertical="bottom" textRotation="0" wrapText="true" indent="0" shrinkToFit="false"/>
      <protection locked="true" hidden="false"/>
    </xf>
    <xf numFmtId="164" fontId="5" fillId="6" borderId="1" xfId="23" applyFont="true" applyBorder="true" applyAlignment="true" applyProtection="true">
      <alignment horizontal="left" vertical="bottom" textRotation="0" wrapText="false" indent="0" shrinkToFit="false"/>
      <protection locked="true" hidden="false"/>
    </xf>
    <xf numFmtId="166" fontId="31" fillId="0" borderId="1" xfId="21" applyFont="true" applyBorder="true" applyAlignment="true" applyProtection="true">
      <alignment horizontal="right" vertical="bottom" textRotation="0" wrapText="true" indent="0" shrinkToFit="false"/>
      <protection locked="true" hidden="false"/>
    </xf>
    <xf numFmtId="164" fontId="11" fillId="7" borderId="1" xfId="0" applyFont="true" applyBorder="true" applyAlignment="false" applyProtection="false">
      <alignment horizontal="general" vertical="bottom" textRotation="0" wrapText="false" indent="0" shrinkToFit="false"/>
      <protection locked="true" hidden="false"/>
    </xf>
    <xf numFmtId="164" fontId="26" fillId="0" borderId="1" xfId="0" applyFont="true" applyBorder="true" applyAlignment="true" applyProtection="false">
      <alignment horizontal="general" vertical="bottom" textRotation="0" wrapText="tru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xf numFmtId="166" fontId="32" fillId="0" borderId="1" xfId="0" applyFont="true" applyBorder="true" applyAlignment="true" applyProtection="false">
      <alignment horizontal="right" vertical="bottom" textRotation="0" wrapText="false" indent="0" shrinkToFit="false"/>
      <protection locked="true" hidden="false"/>
    </xf>
    <xf numFmtId="166" fontId="11" fillId="0" borderId="1" xfId="0" applyFont="true" applyBorder="true" applyAlignment="true" applyProtection="false">
      <alignment horizontal="left" vertical="bottom" textRotation="0" wrapText="false" indent="0" shrinkToFit="false"/>
      <protection locked="true" hidden="false"/>
    </xf>
    <xf numFmtId="166" fontId="13" fillId="0" borderId="1" xfId="21" applyFont="true" applyBorder="true" applyAlignment="true" applyProtection="true">
      <alignment horizontal="right" vertical="bottom" textRotation="0" wrapText="true" indent="0" shrinkToFit="false"/>
      <protection locked="true" hidden="false"/>
    </xf>
    <xf numFmtId="176" fontId="13" fillId="0" borderId="1" xfId="21" applyFont="true" applyBorder="true" applyAlignment="true" applyProtection="true">
      <alignment horizontal="right" vertical="bottom" textRotation="0" wrapText="true" indent="0" shrinkToFit="false"/>
      <protection locked="true" hidden="false"/>
    </xf>
    <xf numFmtId="166" fontId="33" fillId="0" borderId="1" xfId="21" applyFont="true" applyBorder="true" applyAlignment="true" applyProtection="true">
      <alignment horizontal="right" vertical="bottom" textRotation="0" wrapText="false" indent="0" shrinkToFit="false"/>
      <protection locked="true" hidden="false"/>
    </xf>
    <xf numFmtId="164" fontId="5" fillId="0" borderId="1" xfId="23" applyFont="true" applyBorder="true" applyAlignment="true" applyProtection="true">
      <alignment horizontal="general" vertical="bottom" textRotation="0" wrapText="false" indent="0" shrinkToFit="false"/>
      <protection locked="true" hidden="false"/>
    </xf>
    <xf numFmtId="164" fontId="33" fillId="0" borderId="1" xfId="0" applyFont="true" applyBorder="true" applyAlignment="true" applyProtection="false">
      <alignment horizontal="general" vertical="bottom" textRotation="0" wrapText="true" indent="0" shrinkToFit="false"/>
      <protection locked="true" hidden="false"/>
    </xf>
    <xf numFmtId="166" fontId="11" fillId="0" borderId="5" xfId="0" applyFont="true" applyBorder="true" applyAlignment="true" applyProtection="false">
      <alignment horizontal="right" vertical="bottom" textRotation="0" wrapText="false" indent="0" shrinkToFit="false"/>
      <protection locked="true" hidden="false"/>
    </xf>
    <xf numFmtId="164" fontId="11" fillId="0" borderId="5" xfId="0" applyFont="true" applyBorder="true" applyAlignment="true" applyProtection="false">
      <alignment horizontal="right" vertical="bottom" textRotation="0" wrapText="false" indent="0" shrinkToFit="false"/>
      <protection locked="true" hidden="false"/>
    </xf>
    <xf numFmtId="164" fontId="34" fillId="0" borderId="1" xfId="0" applyFont="true" applyBorder="true" applyAlignment="true" applyProtection="false">
      <alignment horizontal="general" vertical="bottom" textRotation="0" wrapText="true" indent="0" shrinkToFit="false"/>
      <protection locked="true" hidden="false"/>
    </xf>
    <xf numFmtId="164" fontId="34" fillId="0" borderId="1" xfId="0" applyFont="true" applyBorder="true" applyAlignment="true" applyProtection="false">
      <alignment horizontal="center" vertical="bottom" textRotation="0" wrapText="true" indent="0" shrinkToFit="false"/>
      <protection locked="true" hidden="false"/>
    </xf>
    <xf numFmtId="17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6" fontId="7" fillId="0" borderId="1" xfId="21" applyFont="true" applyBorder="true" applyAlignment="true" applyProtection="tru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30" fillId="0" borderId="1" xfId="21" applyFont="true" applyBorder="true" applyAlignment="true" applyProtection="true">
      <alignment horizontal="right" vertical="bottom" textRotation="0" wrapText="false" indent="0" shrinkToFit="false"/>
      <protection locked="true" hidden="false"/>
    </xf>
    <xf numFmtId="177" fontId="11" fillId="6" borderId="1" xfId="21" applyFont="true" applyBorder="true" applyAlignment="true" applyProtection="true">
      <alignment horizontal="right" vertical="bottom" textRotation="0" wrapText="false" indent="0" shrinkToFit="false"/>
      <protection locked="true" hidden="false"/>
    </xf>
    <xf numFmtId="166" fontId="13" fillId="0" borderId="1" xfId="21" applyFont="true" applyBorder="true" applyAlignment="true" applyProtection="true">
      <alignment horizontal="right" vertical="bottom" textRotation="0" wrapText="false" indent="0" shrinkToFit="false"/>
      <protection locked="true" hidden="false"/>
    </xf>
    <xf numFmtId="166" fontId="8" fillId="6" borderId="1" xfId="0" applyFont="true" applyBorder="true" applyAlignment="true" applyProtection="false">
      <alignment horizontal="left" vertical="bottom" textRotation="0" wrapText="false" indent="0" shrinkToFit="false"/>
      <protection locked="true" hidden="false"/>
    </xf>
    <xf numFmtId="178" fontId="11" fillId="6" borderId="1" xfId="21" applyFont="true" applyBorder="true" applyAlignment="true" applyProtection="true">
      <alignment horizontal="general" vertical="bottom" textRotation="0" wrapText="false" indent="0" shrinkToFit="false"/>
      <protection locked="true" hidden="false"/>
    </xf>
    <xf numFmtId="164" fontId="11" fillId="6" borderId="1" xfId="21" applyFont="true" applyBorder="true" applyAlignment="true" applyProtection="true">
      <alignment horizontal="righ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right"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2" xfId="21"/>
    <cellStyle name="Hyperlink 1" xfId="22"/>
    <cellStyle name="Hyperlink 2" xfId="23"/>
    <cellStyle name="Normal 2" xfId="24"/>
    <cellStyle name="Normal 2 5" xfId="25"/>
  </cellStyles>
  <dxfs count="418">
    <dxf>
      <fill>
        <patternFill>
          <bgColor theme="6" tint="0.7999"/>
        </patternFill>
      </fill>
    </dxf>
    <dxf>
      <fill>
        <patternFill>
          <bgColor theme="6" tint="0.7999"/>
        </patternFill>
      </fill>
    </dxf>
    <dxf>
      <font>
        <b val="1"/>
        <i val="0"/>
      </font>
    </dxf>
    <dxf>
      <fill>
        <patternFill>
          <bgColor theme="9" tint="0.3999"/>
        </patternFill>
      </fill>
    </dxf>
    <dxf>
      <fill>
        <patternFill>
          <bgColor rgb="FFFFFFBA"/>
        </patternFill>
      </fill>
    </dxf>
    <dxf>
      <fill>
        <patternFill>
          <bgColor theme="6" tint="0.7999"/>
        </patternFill>
      </fill>
    </dxf>
    <dxf>
      <fill>
        <patternFill>
          <bgColor theme="9" tint="0.3999"/>
        </patternFill>
      </fill>
    </dxf>
    <dxf>
      <fill>
        <patternFill>
          <bgColor rgb="FFFFFFBA"/>
        </patternFill>
      </fill>
    </dxf>
    <dxf>
      <fill>
        <patternFill>
          <bgColor theme="6" tint="0.7999"/>
        </patternFill>
      </fill>
    </dxf>
    <dxf>
      <fill>
        <patternFill>
          <bgColor theme="9" tint="0.3999"/>
        </patternFill>
      </fill>
    </dxf>
    <dxf>
      <fill>
        <patternFill>
          <bgColor rgb="FFFFFFBA"/>
        </patternFill>
      </fill>
    </dxf>
    <dxf>
      <fill>
        <patternFill>
          <bgColor theme="6" tint="0.7999"/>
        </patternFill>
      </fill>
    </dxf>
    <dxf>
      <font>
        <b val="1"/>
        <i val="1"/>
      </font>
      <fill>
        <patternFill>
          <bgColor rgb="FFE0E0E0"/>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i val="1"/>
      </font>
      <fill>
        <patternFill>
          <bgColor rgb="FFE0E0E0"/>
        </patternFill>
      </fill>
    </dxf>
    <dxf>
      <font>
        <b val="1"/>
        <i val="1"/>
      </font>
      <fill>
        <patternFill>
          <bgColor rgb="FFE0E0E0"/>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i val="1"/>
      </font>
      <fill>
        <patternFill>
          <bgColor rgb="FFE0E0E0"/>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i val="1"/>
      </font>
      <fill>
        <patternFill>
          <bgColor rgb="FFE0E0E0"/>
        </patternFill>
      </fill>
    </dxf>
    <dxf>
      <font>
        <b val="1"/>
      </font>
    </dxf>
    <dxf>
      <font>
        <b val="1"/>
        <i val="1"/>
      </font>
      <fill>
        <patternFill>
          <bgColor rgb="FFE0E0E0"/>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rgb="FFFFFFBA"/>
        </patternFill>
      </fill>
    </dxf>
    <dxf>
      <fill>
        <patternFill>
          <bgColor theme="9" tint="0.3999"/>
        </patternFill>
      </fill>
    </dxf>
    <dxf>
      <font>
        <b val="1"/>
      </font>
    </dxf>
    <dxf>
      <fill>
        <patternFill>
          <bgColor theme="6" tint="0.7999"/>
        </patternFill>
      </fill>
    </dxf>
    <dxf>
      <font>
        <b val="1"/>
        <i val="1"/>
      </font>
      <fill>
        <patternFill>
          <bgColor rgb="FFF0F0F0"/>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ont>
        <b val="1"/>
        <i val="1"/>
      </font>
      <fill>
        <patternFill>
          <bgColor rgb="FFF0F0F0"/>
        </patternFill>
      </fill>
    </dxf>
    <dxf>
      <font>
        <b val="1"/>
        <i val="1"/>
      </font>
      <fill>
        <patternFill>
          <bgColor rgb="FFF0F0F0"/>
        </patternFill>
      </fill>
    </dxf>
    <dxf>
      <fill>
        <patternFill>
          <bgColor theme="6" tint="0.7999"/>
        </patternFill>
      </fill>
    </dxf>
    <dxf>
      <fill>
        <patternFill>
          <bgColor rgb="FFFFFFBA"/>
        </patternFill>
      </fill>
    </dxf>
    <dxf>
      <fill>
        <patternFill>
          <bgColor theme="9" tint="0.3999"/>
        </patternFill>
      </fill>
    </dxf>
    <dxf>
      <font>
        <b val="1"/>
      </font>
    </dxf>
    <dxf>
      <font>
        <b val="1"/>
        <i val="1"/>
      </font>
      <fill>
        <patternFill>
          <bgColor rgb="FFF0F0F0"/>
        </patternFill>
      </fill>
    </dxf>
    <dxf>
      <font>
        <b val="1"/>
      </font>
    </dxf>
    <dxf>
      <font>
        <b val="1"/>
        <i val="1"/>
      </font>
      <fill>
        <patternFill>
          <bgColor rgb="FFF0F0F0"/>
        </patternFill>
      </fill>
    </dxf>
    <dxf>
      <fill>
        <patternFill>
          <bgColor theme="6" tint="0.7999"/>
        </patternFill>
      </fill>
    </dxf>
    <dxf>
      <fill>
        <patternFill>
          <bgColor rgb="FFFFFFBA"/>
        </patternFill>
      </fill>
    </dxf>
    <dxf>
      <fill>
        <patternFill>
          <bgColor theme="9" tint="0.3999"/>
        </patternFill>
      </fill>
    </dxf>
    <dxf>
      <font>
        <b val="1"/>
      </font>
    </dxf>
    <dxf>
      <font>
        <b val="1"/>
        <i val="1"/>
      </font>
      <fill>
        <patternFill>
          <bgColor rgb="FFE0E0E0"/>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ont>
        <b val="1"/>
      </font>
    </dxf>
    <dxf>
      <font>
        <b val="1"/>
      </font>
    </dxf>
    <dxf>
      <fill>
        <patternFill>
          <bgColor theme="9" tint="0.3999"/>
        </patternFill>
      </fill>
    </dxf>
    <dxf>
      <fill>
        <patternFill>
          <bgColor rgb="FFFFFFBA"/>
        </patternFill>
      </fill>
    </dxf>
    <dxf>
      <fill>
        <patternFill>
          <bgColor theme="6" tint="0.7999"/>
        </patternFill>
      </fill>
    </dxf>
    <dxf>
      <fill>
        <patternFill>
          <bgColor theme="9" tint="0.3999"/>
        </patternFill>
      </fill>
    </dxf>
    <dxf>
      <fill>
        <patternFill>
          <bgColor rgb="FFFFFFBA"/>
        </patternFill>
      </fill>
    </dxf>
    <dxf>
      <fill>
        <patternFill>
          <bgColor theme="6" tint="0.7999"/>
        </patternFill>
      </fill>
    </dxf>
    <dxf>
      <fill>
        <patternFill>
          <bgColor rgb="FFFF0000"/>
        </patternFill>
      </fill>
    </dxf>
    <dxf>
      <fill>
        <patternFill>
          <bgColor theme="9" tint="0.3999"/>
        </patternFill>
      </fill>
    </dxf>
    <dxf>
      <fill>
        <patternFill>
          <bgColor rgb="FFFFFFBA"/>
        </patternFill>
      </fill>
    </dxf>
    <dxf>
      <fill>
        <patternFill>
          <bgColor theme="6" tint="0.7999"/>
        </patternFill>
      </fill>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i val="1"/>
      </font>
      <fill>
        <patternFill>
          <bgColor rgb="FFE0E0E0"/>
        </patternFill>
      </fill>
    </dxf>
    <dxf>
      <fill>
        <patternFill>
          <bgColor theme="6" tint="0.7999"/>
        </patternFill>
      </fill>
    </dxf>
    <dxf>
      <fill>
        <patternFill>
          <bgColor rgb="FFFFFFBA"/>
        </patternFill>
      </fill>
    </dxf>
    <dxf>
      <fill>
        <patternFill>
          <bgColor theme="9" tint="0.3999"/>
        </patternFill>
      </fill>
    </dxf>
    <dxf>
      <font>
        <b val="1"/>
        <i val="1"/>
      </font>
      <fill>
        <patternFill>
          <bgColor rgb="FFE0E0E0"/>
        </patternFill>
      </fill>
    </dxf>
    <dxf>
      <fill>
        <patternFill>
          <bgColor theme="6" tint="0.7999"/>
        </patternFill>
      </fill>
    </dxf>
    <dxf>
      <fill>
        <patternFill>
          <bgColor rgb="FFFFFFBA"/>
        </patternFill>
      </fill>
    </dxf>
    <dxf>
      <fill>
        <patternFill>
          <bgColor theme="9" tint="0.3999"/>
        </patternFill>
      </fill>
    </dxf>
    <dxf>
      <font>
        <b val="1"/>
        <i val="1"/>
      </font>
      <fill>
        <patternFill>
          <bgColor rgb="FFE0E0E0"/>
        </patternFill>
      </fill>
    </dxf>
    <dxf>
      <font>
        <b val="1"/>
        <i val="1"/>
      </font>
      <fill>
        <patternFill>
          <bgColor rgb="FFE0E0E0"/>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
        </patternFill>
      </fill>
    </dxf>
    <dxf>
      <fill>
        <patternFill>
          <bgColor rgb="FFFFFFBA"/>
        </patternFill>
      </fill>
    </dxf>
    <dxf>
      <fill>
        <patternFill>
          <bgColor theme="6" tint="0.7999"/>
        </patternFill>
      </fill>
    </dxf>
    <dxf>
      <fill>
        <patternFill>
          <bgColor rgb="FFFFFFBA"/>
        </patternFill>
      </fill>
    </dxf>
    <dxf>
      <font>
        <b val="1"/>
      </font>
    </dxf>
    <dxf>
      <font>
        <b val="1"/>
      </font>
    </dxf>
    <dxf>
      <font>
        <b val="1"/>
      </font>
    </dxf>
    <dxf>
      <font>
        <b val="1"/>
      </font>
    </dxf>
    <dxf>
      <font>
        <b val="1"/>
      </font>
    </dxf>
    <dxf>
      <font>
        <b val="1"/>
      </font>
    </dxf>
    <dxf>
      <font>
        <b val="1"/>
      </font>
    </dxf>
    <dxf>
      <font>
        <b val="1"/>
        <i val="1"/>
      </font>
      <fill>
        <patternFill>
          <bgColor rgb="FFE0E0E0"/>
        </patternFill>
      </fill>
    </dxf>
    <dxf>
      <fill>
        <patternFill>
          <bgColor theme="9" tint="0.3999"/>
        </patternFill>
      </fill>
    </dxf>
    <dxf>
      <fill>
        <patternFill>
          <bgColor rgb="FFFFFFBA"/>
        </patternFill>
      </fill>
    </dxf>
    <dxf>
      <fill>
        <patternFill>
          <bgColor theme="6" tint="0.7999"/>
        </patternFill>
      </fill>
    </dxf>
    <dxf>
      <font>
        <b val="1"/>
      </font>
    </dxf>
    <dxf>
      <fill>
        <patternFill>
          <bgColor theme="9" tint="0.3999"/>
        </patternFill>
      </fill>
    </dxf>
    <dxf>
      <fill>
        <patternFill>
          <bgColor rgb="FFFFFFBA"/>
        </patternFill>
      </fill>
    </dxf>
    <dxf>
      <fill>
        <patternFill>
          <bgColor theme="6" tint="0.7999"/>
        </patternFill>
      </fill>
    </dxf>
    <dxf>
      <fill>
        <patternFill>
          <bgColor theme="9" tint="0.3999"/>
        </patternFill>
      </fill>
    </dxf>
    <dxf>
      <fill>
        <patternFill>
          <bgColor rgb="FFFFFFBA"/>
        </patternFill>
      </fill>
    </dxf>
    <dxf>
      <fill>
        <patternFill>
          <bgColor theme="6" tint="0.7999"/>
        </patternFill>
      </fill>
    </dxf>
    <dxf>
      <fill>
        <patternFill>
          <bgColor theme="9" tint="0.3999"/>
        </patternFill>
      </fill>
    </dxf>
    <dxf>
      <fill>
        <patternFill>
          <bgColor rgb="FFFFFFBA"/>
        </patternFill>
      </fill>
    </dxf>
    <dxf>
      <fill>
        <patternFill>
          <bgColor theme="6" tint="0.7999"/>
        </patternFill>
      </fill>
    </dxf>
    <dxf>
      <fill>
        <patternFill>
          <bgColor theme="9" tint="0.3999"/>
        </patternFill>
      </fill>
    </dxf>
    <dxf>
      <fill>
        <patternFill>
          <bgColor rgb="FFFFFFBA"/>
        </patternFill>
      </fill>
    </dxf>
    <dxf>
      <fill>
        <patternFill>
          <bgColor theme="6" tint="0.7999"/>
        </patternFill>
      </fill>
    </dxf>
    <dxf>
      <font>
        <b val="1"/>
        <i val="1"/>
      </font>
      <fill>
        <patternFill>
          <bgColor rgb="FFE0E0E0"/>
        </patternFill>
      </fill>
    </dxf>
    <dxf>
      <font>
        <b val="1"/>
        <i val="1"/>
      </font>
      <fill>
        <patternFill>
          <bgColor rgb="FFE0E0E0"/>
        </patternFill>
      </fill>
    </dxf>
    <dxf>
      <font>
        <b val="1"/>
      </font>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ill>
        <patternFill>
          <bgColor theme="6" tint="0.7999"/>
        </patternFill>
      </fill>
    </dxf>
    <dxf>
      <fill>
        <patternFill>
          <bgColor rgb="FFFFFFBA"/>
        </patternFill>
      </fill>
    </dxf>
    <dxf>
      <fill>
        <patternFill>
          <bgColor theme="9" tint="0.3999"/>
        </patternFill>
      </fill>
    </dxf>
    <dxf>
      <font>
        <b val="1"/>
      </font>
    </dxf>
    <dxf>
      <fill>
        <patternFill>
          <bgColor theme="6" tint="0.7999"/>
        </patternFill>
      </fill>
    </dxf>
    <dxf>
      <fill>
        <patternFill>
          <bgColor rgb="FFFFFFBA"/>
        </patternFill>
      </fill>
    </dxf>
    <dxf>
      <fill>
        <patternFill>
          <bgColor theme="9" tint="0.3999"/>
        </patternFill>
      </fill>
    </dxf>
    <dxf>
      <font>
        <b val="1"/>
        <i val="1"/>
      </font>
      <fill>
        <patternFill>
          <bgColor rgb="FFE0E0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
        </patternFill>
      </fill>
    </dxf>
    <dxf>
      <fill>
        <patternFill>
          <bgColor rgb="FFFFFFBA"/>
        </patternFill>
      </fill>
    </dxf>
    <dxf>
      <fill>
        <patternFill>
          <bgColor theme="6" tint="0.7999"/>
        </patternFill>
      </fill>
    </dxf>
    <dxf>
      <fill>
        <patternFill>
          <bgColor rgb="FFFFFFB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7030A0"/>
      <rgbColor rgb="FFFFFFBA"/>
      <rgbColor rgb="FFF0F0F0"/>
      <rgbColor rgb="FF660066"/>
      <rgbColor rgb="FFFF8080"/>
      <rgbColor rgb="FF0066CC"/>
      <rgbColor rgb="FFE0E0E0"/>
      <rgbColor rgb="FF000080"/>
      <rgbColor rgb="FFFF00FF"/>
      <rgbColor rgb="FFFFFF00"/>
      <rgbColor rgb="FF00FFFF"/>
      <rgbColor rgb="FF800080"/>
      <rgbColor rgb="FF800000"/>
      <rgbColor rgb="FF008080"/>
      <rgbColor rgb="FF0000FF"/>
      <rgbColor rgb="FF00B0F0"/>
      <rgbColor rgb="FFF2F2F2"/>
      <rgbColor rgb="FFEBF1DE"/>
      <rgbColor rgb="FFFFFF99"/>
      <rgbColor rgb="FF99CCFF"/>
      <rgbColor rgb="FFFF99CC"/>
      <rgbColor rgb="FFCC99FF"/>
      <rgbColor rgb="FFFAC090"/>
      <rgbColor rgb="FF3366FF"/>
      <rgbColor rgb="FF33CCCC"/>
      <rgbColor rgb="FF92D050"/>
      <rgbColor rgb="FFFFC000"/>
      <rgbColor rgb="FFF79646"/>
      <rgbColor rgb="FFFF6600"/>
      <rgbColor rgb="FF666699"/>
      <rgbColor rgb="FF969696"/>
      <rgbColor rgb="FF003366"/>
      <rgbColor rgb="FF339966"/>
      <rgbColor rgb="FF212529"/>
      <rgbColor rgb="FF222222"/>
      <rgbColor rgb="FF993300"/>
      <rgbColor rgb="FF993366"/>
      <rgbColor rgb="FF333399"/>
      <rgbColor rgb="FF383A4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13</xdr:col>
      <xdr:colOff>647280</xdr:colOff>
      <xdr:row>66</xdr:row>
      <xdr:rowOff>126720</xdr:rowOff>
    </xdr:to>
    <xdr:sp>
      <xdr:nvSpPr>
        <xdr:cNvPr id="1" name="Text Box 2" hidden="1"/>
        <xdr:cNvSpPr/>
      </xdr:nvSpPr>
      <xdr:spPr>
        <a:xfrm>
          <a:off x="0" y="0"/>
          <a:ext cx="11798640" cy="126997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13</xdr:col>
      <xdr:colOff>647280</xdr:colOff>
      <xdr:row>66</xdr:row>
      <xdr:rowOff>126720</xdr:rowOff>
    </xdr:to>
    <xdr:sp>
      <xdr:nvSpPr>
        <xdr:cNvPr id="2" name="AutoShape 2"/>
        <xdr:cNvSpPr/>
      </xdr:nvSpPr>
      <xdr:spPr>
        <a:xfrm>
          <a:off x="0" y="0"/>
          <a:ext cx="11798640" cy="126997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13</xdr:col>
      <xdr:colOff>647280</xdr:colOff>
      <xdr:row>66</xdr:row>
      <xdr:rowOff>126720</xdr:rowOff>
    </xdr:to>
    <xdr:sp>
      <xdr:nvSpPr>
        <xdr:cNvPr id="3" name="AutoShape 2"/>
        <xdr:cNvSpPr/>
      </xdr:nvSpPr>
      <xdr:spPr>
        <a:xfrm>
          <a:off x="0" y="0"/>
          <a:ext cx="11798640" cy="126997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13</xdr:col>
      <xdr:colOff>647280</xdr:colOff>
      <xdr:row>66</xdr:row>
      <xdr:rowOff>126720</xdr:rowOff>
    </xdr:to>
    <xdr:sp>
      <xdr:nvSpPr>
        <xdr:cNvPr id="4" name="AutoShape 2"/>
        <xdr:cNvSpPr/>
      </xdr:nvSpPr>
      <xdr:spPr>
        <a:xfrm>
          <a:off x="0" y="0"/>
          <a:ext cx="11798640" cy="126997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13</xdr:col>
      <xdr:colOff>647280</xdr:colOff>
      <xdr:row>66</xdr:row>
      <xdr:rowOff>126720</xdr:rowOff>
    </xdr:to>
    <xdr:sp>
      <xdr:nvSpPr>
        <xdr:cNvPr id="5" name="AutoShape 2"/>
        <xdr:cNvSpPr/>
      </xdr:nvSpPr>
      <xdr:spPr>
        <a:xfrm>
          <a:off x="0" y="0"/>
          <a:ext cx="11798640" cy="12699720"/>
        </a:xfrm>
        <a:solidFill>
          <a:srgbClr val="FFFFFF"/>
        </a:solidFill>
        <a:ln w="9525">
          <a:solidFill>
            <a:srgbClr val="000000"/>
          </a:solidFill>
          <a:round/>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9</xdr:col>
      <xdr:colOff>609120</xdr:colOff>
      <xdr:row>37</xdr:row>
      <xdr:rowOff>218160</xdr:rowOff>
    </xdr:to>
    <xdr:sp>
      <xdr:nvSpPr>
        <xdr:cNvPr id="6" name="Text Box 26" hidden="1"/>
        <xdr:cNvSpPr/>
      </xdr:nvSpPr>
      <xdr:spPr>
        <a:xfrm>
          <a:off x="0" y="0"/>
          <a:ext cx="11792880" cy="1334736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9</xdr:col>
      <xdr:colOff>609120</xdr:colOff>
      <xdr:row>30</xdr:row>
      <xdr:rowOff>583920</xdr:rowOff>
    </xdr:to>
    <xdr:sp>
      <xdr:nvSpPr>
        <xdr:cNvPr id="7" name="AutoShape 26"/>
        <xdr:cNvSpPr/>
      </xdr:nvSpPr>
      <xdr:spPr>
        <a:xfrm>
          <a:off x="0" y="0"/>
          <a:ext cx="11792880" cy="107179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9</xdr:col>
      <xdr:colOff>609120</xdr:colOff>
      <xdr:row>30</xdr:row>
      <xdr:rowOff>583920</xdr:rowOff>
    </xdr:to>
    <xdr:sp>
      <xdr:nvSpPr>
        <xdr:cNvPr id="8" name="AutoShape 26"/>
        <xdr:cNvSpPr/>
      </xdr:nvSpPr>
      <xdr:spPr>
        <a:xfrm>
          <a:off x="0" y="0"/>
          <a:ext cx="11792880" cy="107179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9</xdr:col>
      <xdr:colOff>609120</xdr:colOff>
      <xdr:row>30</xdr:row>
      <xdr:rowOff>583920</xdr:rowOff>
    </xdr:to>
    <xdr:sp>
      <xdr:nvSpPr>
        <xdr:cNvPr id="9" name="AutoShape 26"/>
        <xdr:cNvSpPr/>
      </xdr:nvSpPr>
      <xdr:spPr>
        <a:xfrm>
          <a:off x="0" y="0"/>
          <a:ext cx="11792880" cy="107179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9</xdr:col>
      <xdr:colOff>609120</xdr:colOff>
      <xdr:row>30</xdr:row>
      <xdr:rowOff>583920</xdr:rowOff>
    </xdr:to>
    <xdr:sp>
      <xdr:nvSpPr>
        <xdr:cNvPr id="10" name="AutoShape 26"/>
        <xdr:cNvSpPr/>
      </xdr:nvSpPr>
      <xdr:spPr>
        <a:xfrm>
          <a:off x="0" y="0"/>
          <a:ext cx="11792880" cy="10717920"/>
        </a:xfrm>
        <a:solidFill>
          <a:srgbClr val="FFFFFF"/>
        </a:solidFill>
        <a:ln w="9525">
          <a:solidFill>
            <a:srgbClr val="000000"/>
          </a:solidFill>
          <a:round/>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9</xdr:col>
      <xdr:colOff>609120</xdr:colOff>
      <xdr:row>33</xdr:row>
      <xdr:rowOff>466200</xdr:rowOff>
    </xdr:to>
    <xdr:sp>
      <xdr:nvSpPr>
        <xdr:cNvPr id="11" name="Text Box 33" hidden="1"/>
        <xdr:cNvSpPr/>
      </xdr:nvSpPr>
      <xdr:spPr>
        <a:xfrm>
          <a:off x="0" y="0"/>
          <a:ext cx="11792880" cy="12493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9</xdr:col>
      <xdr:colOff>609120</xdr:colOff>
      <xdr:row>28</xdr:row>
      <xdr:rowOff>431280</xdr:rowOff>
    </xdr:to>
    <xdr:sp>
      <xdr:nvSpPr>
        <xdr:cNvPr id="12" name="AutoShape 33"/>
        <xdr:cNvSpPr/>
      </xdr:nvSpPr>
      <xdr:spPr>
        <a:xfrm>
          <a:off x="0" y="0"/>
          <a:ext cx="11792880" cy="10769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9</xdr:col>
      <xdr:colOff>609120</xdr:colOff>
      <xdr:row>29</xdr:row>
      <xdr:rowOff>63000</xdr:rowOff>
    </xdr:to>
    <xdr:sp>
      <xdr:nvSpPr>
        <xdr:cNvPr id="13" name="AutoShape 33"/>
        <xdr:cNvSpPr/>
      </xdr:nvSpPr>
      <xdr:spPr>
        <a:xfrm>
          <a:off x="0" y="0"/>
          <a:ext cx="11792880" cy="1098828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9</xdr:col>
      <xdr:colOff>609120</xdr:colOff>
      <xdr:row>29</xdr:row>
      <xdr:rowOff>63000</xdr:rowOff>
    </xdr:to>
    <xdr:sp>
      <xdr:nvSpPr>
        <xdr:cNvPr id="14" name="AutoShape 33"/>
        <xdr:cNvSpPr/>
      </xdr:nvSpPr>
      <xdr:spPr>
        <a:xfrm>
          <a:off x="0" y="0"/>
          <a:ext cx="11792880" cy="1098828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9</xdr:col>
      <xdr:colOff>609120</xdr:colOff>
      <xdr:row>30</xdr:row>
      <xdr:rowOff>50400</xdr:rowOff>
    </xdr:to>
    <xdr:sp>
      <xdr:nvSpPr>
        <xdr:cNvPr id="15" name="AutoShape 33"/>
        <xdr:cNvSpPr/>
      </xdr:nvSpPr>
      <xdr:spPr>
        <a:xfrm>
          <a:off x="0" y="0"/>
          <a:ext cx="11792880" cy="11147040"/>
        </a:xfrm>
        <a:solidFill>
          <a:srgbClr val="FFFFFF"/>
        </a:solidFill>
        <a:ln w="9525">
          <a:solidFill>
            <a:srgbClr val="000000"/>
          </a:solidFill>
          <a:round/>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inldigitallibrary.inl.gov/sites/sti/sti/Sort_107010.pdf"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3" Type="http://schemas.openxmlformats.org/officeDocument/2006/relationships/hyperlink" Target="https://doi.org/10.1016/j.rser.2021.111880" TargetMode="External"/><Relationship Id="rId4" Type="http://schemas.openxmlformats.org/officeDocument/2006/relationships/hyperlink" Target="https://doi.org/10.1016/j.rser.2021.111880" TargetMode="External"/><Relationship Id="rId5" Type="http://schemas.openxmlformats.org/officeDocument/2006/relationships/hyperlink" Target="https://doi.org/10.1016/j.rser.2021.111880" TargetMode="External"/><Relationship Id="rId6" Type="http://schemas.openxmlformats.org/officeDocument/2006/relationships/hyperlink" Target="https://inldigitallibrary.inl.gov/sites/sti/sti/Sort_129862.pdf" TargetMode="External"/><Relationship Id="rId7" Type="http://schemas.openxmlformats.org/officeDocument/2006/relationships/hyperlink" Target="https://www.sciencedirect.com/science/article/pii/S1290072903000218" TargetMode="External"/><Relationship Id="rId8" Type="http://schemas.openxmlformats.org/officeDocument/2006/relationships/hyperlink" Target="https://doi.org/10.3929/ethz-b-000709311" TargetMode="External"/><Relationship Id="rId9" Type="http://schemas.openxmlformats.org/officeDocument/2006/relationships/hyperlink" Target="https://www.osti.gov/servlets/purl/5084245" TargetMode="External"/><Relationship Id="rId10" Type="http://schemas.openxmlformats.org/officeDocument/2006/relationships/hyperlink" Target="https://doi.org/10.1016/j.nucengdes.2023.112470" TargetMode="External"/><Relationship Id="rId11" Type="http://schemas.openxmlformats.org/officeDocument/2006/relationships/hyperlink" Target="https://www.osti.gov/biblio/2447366" TargetMode="External"/><Relationship Id="rId12" Type="http://schemas.openxmlformats.org/officeDocument/2006/relationships/hyperlink" Target="https://doi.org/10.1016/j.nucengdes.2023.112470" TargetMode="External"/><Relationship Id="rId13" Type="http://schemas.openxmlformats.org/officeDocument/2006/relationships/hyperlink" Target="https://doi.org/10.3929/ethz-b-000709311" TargetMode="Externa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inldigitallibrary.inl.gov/sites/sti/sti/Sort_107010.pdf" TargetMode="External"/><Relationship Id="rId3" Type="http://schemas.openxmlformats.org/officeDocument/2006/relationships/hyperlink" Target="https://doi.org/10.1016/j.nucengdes.2023.112470" TargetMode="External"/><Relationship Id="rId4" Type="http://schemas.openxmlformats.org/officeDocument/2006/relationships/hyperlink" Target="https://doi.org/10.3929/ethz-b-000709311" TargetMode="External"/><Relationship Id="rId5" Type="http://schemas.openxmlformats.org/officeDocument/2006/relationships/drawing" Target="../drawings/drawing2.xml"/><Relationship Id="rId6"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inldigitallibrary.inl.gov/sites/sti/sti/Sort_107010.pdf" TargetMode="External"/><Relationship Id="rId3" Type="http://schemas.openxmlformats.org/officeDocument/2006/relationships/hyperlink" Target="https://www.epri.com/research/products/1018722" TargetMode="External"/><Relationship Id="rId4" Type="http://schemas.openxmlformats.org/officeDocument/2006/relationships/hyperlink" Target="https://doi.org/10.3929/ethz-b-000709311" TargetMode="External"/><Relationship Id="rId5" Type="http://schemas.openxmlformats.org/officeDocument/2006/relationships/hyperlink" Target="https://publications.anl.gov/anlpubs/2019/06/152862.pdf" TargetMode="External"/><Relationship Id="rId6" Type="http://schemas.openxmlformats.org/officeDocument/2006/relationships/drawing" Target="../drawings/drawing3.xml"/><Relationship Id="rId7"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9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selection pane="topLeft" activeCell="A1" activeCellId="0" sqref="A1"/>
    </sheetView>
  </sheetViews>
  <sheetFormatPr defaultColWidth="10.66796875" defaultRowHeight="13.5" customHeight="false" zeroHeight="false" outlineLevelRow="0" outlineLevelCol="0"/>
  <cols>
    <col collapsed="false" customWidth="true" hidden="false" outlineLevel="0" max="1" min="1" style="1" width="8.67"/>
    <col collapsed="false" customWidth="true" hidden="false" outlineLevel="0" max="2" min="2" style="1" width="9.51"/>
    <col collapsed="false" customWidth="true" hidden="false" outlineLevel="0" max="3" min="3" style="1" width="29.51"/>
    <col collapsed="false" customWidth="true" hidden="false" outlineLevel="0" max="4" min="4" style="2" width="41.67"/>
    <col collapsed="false" customWidth="true" hidden="false" outlineLevel="0" max="5" min="5" style="2" width="14.33"/>
    <col collapsed="false" customWidth="true" hidden="false" outlineLevel="0" max="6" min="6" style="2" width="21.33"/>
    <col collapsed="false" customWidth="true" hidden="false" outlineLevel="0" max="7" min="7" style="2" width="18.5"/>
    <col collapsed="false" customWidth="true" hidden="false" outlineLevel="0" max="8" min="8" style="2" width="9.16"/>
    <col collapsed="false" customWidth="true" hidden="false" outlineLevel="0" max="9" min="9" style="2" width="17.67"/>
    <col collapsed="false" customWidth="true" hidden="false" outlineLevel="0" max="10" min="10" style="3" width="12.33"/>
    <col collapsed="false" customWidth="true" hidden="false" outlineLevel="0" max="11" min="11" style="3" width="15.33"/>
    <col collapsed="false" customWidth="true" hidden="false" outlineLevel="0" max="12" min="12" style="1" width="10"/>
    <col collapsed="false" customWidth="true" hidden="false" outlineLevel="0" max="13" min="13" style="1" width="15.66"/>
    <col collapsed="false" customWidth="true" hidden="false" outlineLevel="0" max="14" min="14" style="1" width="8.67"/>
    <col collapsed="false" customWidth="true" hidden="false" outlineLevel="0" max="15" min="15" style="1" width="7.33"/>
    <col collapsed="false" customWidth="true" hidden="false" outlineLevel="0" max="16" min="16" style="1" width="7.67"/>
    <col collapsed="false" customWidth="true" hidden="false" outlineLevel="0" max="17" min="17" style="1" width="19.83"/>
    <col collapsed="false" customWidth="false" hidden="false" outlineLevel="0" max="18" min="18" style="1" width="10.66"/>
    <col collapsed="false" customWidth="true" hidden="false" outlineLevel="0" max="19" min="19" style="1" width="29"/>
    <col collapsed="false" customWidth="true" hidden="false" outlineLevel="0" max="20" min="20" style="1" width="37.16"/>
    <col collapsed="false" customWidth="true" hidden="false" outlineLevel="0" max="21" min="21" style="1" width="81.16"/>
    <col collapsed="false" customWidth="true" hidden="false" outlineLevel="0" max="22" min="22" style="1" width="18.67"/>
    <col collapsed="false" customWidth="true" hidden="false" outlineLevel="0" max="23" min="23" style="1" width="28.16"/>
    <col collapsed="false" customWidth="true" hidden="false" outlineLevel="0" max="25" min="24" style="3" width="16.67"/>
    <col collapsed="false" customWidth="true" hidden="false" outlineLevel="0" max="26" min="26" style="1" width="12.5"/>
    <col collapsed="false" customWidth="true" hidden="false" outlineLevel="0" max="28" min="27" style="3" width="16.67"/>
    <col collapsed="false" customWidth="true" hidden="false" outlineLevel="0" max="29" min="29" style="1" width="12.5"/>
    <col collapsed="false" customWidth="true" hidden="false" outlineLevel="0" max="30" min="30" style="3" width="6.67"/>
    <col collapsed="false" customWidth="true" hidden="false" outlineLevel="0" max="31" min="31" style="3" width="21.5"/>
    <col collapsed="false" customWidth="true" hidden="false" outlineLevel="0" max="32" min="32" style="3" width="12.33"/>
    <col collapsed="false" customWidth="true" hidden="false" outlineLevel="0" max="33" min="33" style="1" width="15.33"/>
    <col collapsed="false" customWidth="false" hidden="false" outlineLevel="0" max="16384" min="34" style="1" width="10.66"/>
  </cols>
  <sheetData>
    <row r="1" s="8" customFormat="true" ht="93.75" hidden="false" customHeight="true" outlineLevel="0" collapsed="false">
      <c r="A1" s="4" t="s">
        <v>0</v>
      </c>
      <c r="B1" s="5" t="s">
        <v>1</v>
      </c>
      <c r="C1" s="4" t="s">
        <v>2</v>
      </c>
      <c r="D1" s="5" t="s">
        <v>3</v>
      </c>
      <c r="E1" s="5" t="s">
        <v>4</v>
      </c>
      <c r="F1" s="5" t="s">
        <v>5</v>
      </c>
      <c r="G1" s="5" t="s">
        <v>6</v>
      </c>
      <c r="H1" s="5" t="s">
        <v>7</v>
      </c>
      <c r="I1" s="5" t="s">
        <v>8</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7" t="s">
        <v>26</v>
      </c>
      <c r="AB1" s="7" t="s">
        <v>27</v>
      </c>
      <c r="AC1" s="7" t="s">
        <v>28</v>
      </c>
      <c r="AD1" s="7" t="s">
        <v>29</v>
      </c>
      <c r="AE1" s="7" t="s">
        <v>30</v>
      </c>
      <c r="AF1" s="7" t="s">
        <v>31</v>
      </c>
      <c r="AG1" s="7" t="s">
        <v>32</v>
      </c>
    </row>
    <row r="2" s="14" customFormat="true" ht="26.25" hidden="false" customHeight="tru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0"/>
      <c r="H2" s="10"/>
      <c r="I2" s="10"/>
      <c r="J2" s="11"/>
      <c r="K2" s="11"/>
      <c r="L2" s="9"/>
      <c r="M2" s="9"/>
      <c r="N2" s="9"/>
      <c r="O2" s="9"/>
      <c r="P2" s="9"/>
      <c r="Q2" s="11"/>
      <c r="R2" s="9"/>
      <c r="S2" s="5"/>
      <c r="T2" s="9"/>
      <c r="U2" s="9"/>
      <c r="V2" s="9"/>
      <c r="W2" s="12"/>
      <c r="X2" s="13"/>
      <c r="Y2" s="13"/>
      <c r="Z2" s="12"/>
      <c r="AA2" s="13"/>
      <c r="AB2" s="13"/>
      <c r="AC2" s="12"/>
      <c r="AD2" s="13"/>
      <c r="AE2" s="13"/>
      <c r="AF2" s="13"/>
      <c r="AG2" s="12"/>
    </row>
    <row r="3" customFormat="false" ht="4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c r="G3" s="10"/>
      <c r="H3" s="10"/>
      <c r="I3" s="10"/>
      <c r="J3" s="16"/>
      <c r="K3" s="17" t="n">
        <v>3800</v>
      </c>
      <c r="L3" s="18" t="s">
        <v>36</v>
      </c>
      <c r="M3" s="18" t="s">
        <v>37</v>
      </c>
      <c r="N3" s="19"/>
      <c r="O3" s="18" t="s">
        <v>38</v>
      </c>
      <c r="P3" s="18"/>
      <c r="Q3" s="20" t="n">
        <v>2022</v>
      </c>
      <c r="R3" s="18" t="s">
        <v>39</v>
      </c>
      <c r="S3" s="21" t="s">
        <v>40</v>
      </c>
      <c r="T3" s="21" t="s">
        <v>41</v>
      </c>
      <c r="U3" s="22"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26.25" hidden="false" customHeight="tru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c r="G4" s="10"/>
      <c r="H4" s="10"/>
      <c r="I4" s="10"/>
      <c r="J4" s="16"/>
      <c r="K4" s="17" t="n">
        <f aca="false">10.03*1000</f>
        <v>10030</v>
      </c>
      <c r="L4" s="18" t="s">
        <v>50</v>
      </c>
      <c r="M4" s="18" t="s">
        <v>51</v>
      </c>
      <c r="N4" s="19"/>
      <c r="O4" s="18" t="s">
        <v>52</v>
      </c>
      <c r="P4" s="18"/>
      <c r="Q4" s="20" t="n">
        <v>2022</v>
      </c>
      <c r="R4" s="18" t="s">
        <v>53</v>
      </c>
      <c r="S4" s="21" t="s">
        <v>54</v>
      </c>
      <c r="T4" s="21"/>
      <c r="U4" s="21"/>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113.2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c r="G5" s="10"/>
      <c r="H5" s="10"/>
      <c r="I5" s="10"/>
      <c r="J5" s="16" t="n">
        <f aca="false">0.5*(X5+Y5)</f>
        <v>28113008</v>
      </c>
      <c r="K5" s="17"/>
      <c r="L5" s="19"/>
      <c r="M5" s="19"/>
      <c r="N5" s="19"/>
      <c r="O5" s="18"/>
      <c r="P5" s="18"/>
      <c r="Q5" s="20" t="n">
        <v>2025</v>
      </c>
      <c r="R5" s="18" t="s">
        <v>53</v>
      </c>
      <c r="S5" s="21" t="s">
        <v>56</v>
      </c>
      <c r="T5" s="25" t="s">
        <v>57</v>
      </c>
      <c r="U5" s="22" t="s">
        <v>58</v>
      </c>
      <c r="V5" s="23"/>
      <c r="W5" s="12" t="s">
        <v>59</v>
      </c>
      <c r="X5" s="24" t="n">
        <f aca="false">154*108000</f>
        <v>16632000</v>
      </c>
      <c r="Y5" s="24" t="n">
        <f aca="false">154*257104</f>
        <v>39594016</v>
      </c>
      <c r="Z5" s="12" t="s">
        <v>60</v>
      </c>
      <c r="AA5" s="13" t="n">
        <f aca="false">0.9*K5</f>
        <v>0</v>
      </c>
      <c r="AB5" s="13" t="n">
        <f aca="false">1.3*K5</f>
        <v>0</v>
      </c>
      <c r="AC5" s="12" t="s">
        <v>44</v>
      </c>
      <c r="AD5" s="13" t="s">
        <v>45</v>
      </c>
      <c r="AE5" s="13" t="s">
        <v>46</v>
      </c>
      <c r="AF5" s="13" t="s">
        <v>47</v>
      </c>
      <c r="AG5" s="12" t="s">
        <v>48</v>
      </c>
    </row>
    <row r="6" customFormat="false" ht="26.25" hidden="false" customHeight="tru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c r="G6" s="10"/>
      <c r="H6" s="10"/>
      <c r="I6" s="10"/>
      <c r="J6" s="16" t="n">
        <v>3000000</v>
      </c>
      <c r="K6" s="17"/>
      <c r="L6" s="19"/>
      <c r="M6" s="19"/>
      <c r="N6" s="19"/>
      <c r="O6" s="18"/>
      <c r="P6" s="18"/>
      <c r="Q6" s="20" t="n">
        <v>2009</v>
      </c>
      <c r="R6" s="18" t="s">
        <v>53</v>
      </c>
      <c r="S6" s="21" t="s">
        <v>62</v>
      </c>
      <c r="T6" s="26" t="s">
        <v>63</v>
      </c>
      <c r="U6" s="22"/>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42.75" hidden="false" customHeight="tru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c r="G7" s="10"/>
      <c r="H7" s="10"/>
      <c r="I7" s="10"/>
      <c r="J7" s="16" t="n">
        <f aca="false">MARVEL_Cost!C4</f>
        <v>5210451</v>
      </c>
      <c r="K7" s="17"/>
      <c r="L7" s="19"/>
      <c r="M7" s="19"/>
      <c r="N7" s="19"/>
      <c r="O7" s="18"/>
      <c r="P7" s="18"/>
      <c r="Q7" s="20" t="n">
        <v>2024</v>
      </c>
      <c r="R7" s="18" t="s">
        <v>53</v>
      </c>
      <c r="S7" s="21" t="s">
        <v>65</v>
      </c>
      <c r="T7" s="21" t="s">
        <v>66</v>
      </c>
      <c r="U7" s="23" t="s">
        <v>67</v>
      </c>
      <c r="V7" s="18" t="s">
        <v>68</v>
      </c>
      <c r="W7" s="12" t="s">
        <v>43</v>
      </c>
      <c r="X7" s="24" t="n">
        <f aca="false">0.9*$J7</f>
        <v>4689405.9</v>
      </c>
      <c r="Y7" s="24" t="n">
        <f aca="false">1.5*J7</f>
        <v>7815676.5</v>
      </c>
      <c r="Z7" s="12" t="s">
        <v>44</v>
      </c>
      <c r="AA7" s="13" t="n">
        <f aca="false">0.9*K7</f>
        <v>0</v>
      </c>
      <c r="AB7" s="13" t="n">
        <f aca="false">1.3*K7</f>
        <v>0</v>
      </c>
      <c r="AC7" s="12" t="s">
        <v>44</v>
      </c>
      <c r="AD7" s="13" t="s">
        <v>45</v>
      </c>
      <c r="AE7" s="13" t="s">
        <v>46</v>
      </c>
      <c r="AF7" s="13" t="s">
        <v>47</v>
      </c>
      <c r="AG7" s="12" t="s">
        <v>48</v>
      </c>
    </row>
    <row r="8" customFormat="false" ht="26.25" hidden="false" customHeight="tru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0"/>
      <c r="H8" s="10"/>
      <c r="I8" s="10"/>
      <c r="J8" s="16"/>
      <c r="K8" s="27"/>
      <c r="L8" s="4"/>
      <c r="M8" s="6"/>
      <c r="N8" s="4"/>
      <c r="O8" s="4"/>
      <c r="P8" s="4"/>
      <c r="Q8" s="28"/>
      <c r="R8" s="4"/>
      <c r="S8" s="4"/>
      <c r="T8" s="4"/>
      <c r="U8" s="4"/>
      <c r="V8" s="4"/>
      <c r="W8" s="12"/>
      <c r="X8" s="24"/>
      <c r="Y8" s="24"/>
      <c r="Z8" s="12"/>
      <c r="AA8" s="13"/>
      <c r="AB8" s="13"/>
      <c r="AC8" s="12"/>
      <c r="AD8" s="13"/>
      <c r="AE8" s="13"/>
      <c r="AF8" s="13"/>
      <c r="AG8" s="12"/>
    </row>
    <row r="9" customFormat="false" ht="26.25" hidden="false" customHeight="tru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0"/>
      <c r="H9" s="10"/>
      <c r="I9" s="10"/>
      <c r="J9" s="16"/>
      <c r="K9" s="17"/>
      <c r="L9" s="19"/>
      <c r="M9" s="19"/>
      <c r="N9" s="19"/>
      <c r="O9" s="19"/>
      <c r="P9" s="19"/>
      <c r="Q9" s="16"/>
      <c r="R9" s="19"/>
      <c r="S9" s="29"/>
      <c r="T9" s="19"/>
      <c r="U9" s="19"/>
      <c r="V9" s="23"/>
      <c r="W9" s="12"/>
      <c r="X9" s="24"/>
      <c r="Y9" s="24"/>
      <c r="Z9" s="12"/>
      <c r="AA9" s="13"/>
      <c r="AB9" s="13"/>
      <c r="AC9" s="12"/>
      <c r="AD9" s="13"/>
      <c r="AE9" s="13"/>
      <c r="AF9" s="13"/>
      <c r="AG9" s="12"/>
    </row>
    <row r="10" customFormat="false" ht="26.25" hidden="false" customHeight="true" outlineLevel="0" collapsed="false">
      <c r="A10" s="30"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0"/>
      <c r="H10" s="10"/>
      <c r="I10" s="10"/>
      <c r="J10" s="16"/>
      <c r="K10" s="17"/>
      <c r="L10" s="19"/>
      <c r="M10" s="19"/>
      <c r="N10" s="19"/>
      <c r="O10" s="19"/>
      <c r="P10" s="19"/>
      <c r="Q10" s="16"/>
      <c r="R10" s="19"/>
      <c r="S10" s="29"/>
      <c r="T10" s="19"/>
      <c r="U10" s="19"/>
      <c r="V10" s="23"/>
      <c r="W10" s="12"/>
      <c r="X10" s="24"/>
      <c r="Y10" s="24"/>
      <c r="Z10" s="12"/>
      <c r="AA10" s="13"/>
      <c r="AB10" s="13"/>
      <c r="AC10" s="12"/>
      <c r="AD10" s="13"/>
      <c r="AE10" s="13"/>
      <c r="AF10" s="13"/>
      <c r="AG10" s="12"/>
    </row>
    <row r="11" customFormat="false" ht="26.25" hidden="false" customHeight="true" outlineLevel="0" collapsed="false">
      <c r="A11" s="31"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c r="G11" s="10"/>
      <c r="H11" s="10"/>
      <c r="I11" s="10"/>
      <c r="J11" s="16"/>
      <c r="K11" s="17" t="n">
        <f aca="false">4408.18*1.33</f>
        <v>5862.8794</v>
      </c>
      <c r="L11" s="18" t="s">
        <v>36</v>
      </c>
      <c r="M11" s="18" t="s">
        <v>37</v>
      </c>
      <c r="N11" s="19"/>
      <c r="O11" s="18" t="s">
        <v>38</v>
      </c>
      <c r="P11" s="19"/>
      <c r="Q11" s="20" t="n">
        <v>2024</v>
      </c>
      <c r="R11" s="18" t="s">
        <v>73</v>
      </c>
      <c r="S11" s="21" t="s">
        <v>74</v>
      </c>
      <c r="T11" s="21" t="s">
        <v>75</v>
      </c>
      <c r="U11" s="32" t="s">
        <v>76</v>
      </c>
      <c r="V11" s="23"/>
      <c r="W11" s="12" t="s">
        <v>77</v>
      </c>
      <c r="X11" s="24" t="n">
        <f aca="false">0.9*$J11</f>
        <v>0</v>
      </c>
      <c r="Y11" s="24" t="n">
        <f aca="false">1.5*J11</f>
        <v>0</v>
      </c>
      <c r="Z11" s="12" t="s">
        <v>44</v>
      </c>
      <c r="AA11" s="13" t="n">
        <f aca="false">0.9*K11</f>
        <v>5276.59146</v>
      </c>
      <c r="AB11" s="13" t="n">
        <f aca="false">1.3*K11</f>
        <v>7621.74322</v>
      </c>
      <c r="AC11" s="12" t="s">
        <v>44</v>
      </c>
      <c r="AD11" s="13" t="s">
        <v>45</v>
      </c>
      <c r="AE11" s="13" t="s">
        <v>46</v>
      </c>
      <c r="AF11" s="13" t="s">
        <v>47</v>
      </c>
      <c r="AG11" s="12" t="s">
        <v>48</v>
      </c>
    </row>
    <row r="12" customFormat="false" ht="26.25" hidden="false" customHeight="true" outlineLevel="0" collapsed="false">
      <c r="A12" s="30"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c r="G12" s="10"/>
      <c r="H12" s="10"/>
      <c r="I12" s="10"/>
      <c r="J12" s="16"/>
      <c r="K12" s="17" t="n">
        <f aca="false">2565.2*1.33</f>
        <v>3411.716</v>
      </c>
      <c r="L12" s="18" t="s">
        <v>36</v>
      </c>
      <c r="M12" s="18" t="s">
        <v>37</v>
      </c>
      <c r="N12" s="19"/>
      <c r="O12" s="18" t="s">
        <v>38</v>
      </c>
      <c r="P12" s="19"/>
      <c r="Q12" s="20" t="n">
        <v>2024</v>
      </c>
      <c r="R12" s="18" t="s">
        <v>73</v>
      </c>
      <c r="S12" s="21"/>
      <c r="T12" s="21"/>
      <c r="U12" s="21"/>
      <c r="V12" s="23"/>
      <c r="W12" s="12" t="s">
        <v>77</v>
      </c>
      <c r="X12" s="24" t="n">
        <f aca="false">0.9*$J12</f>
        <v>0</v>
      </c>
      <c r="Y12" s="24" t="n">
        <f aca="false">1.5*J12</f>
        <v>0</v>
      </c>
      <c r="Z12" s="12" t="s">
        <v>44</v>
      </c>
      <c r="AA12" s="13" t="n">
        <f aca="false">0.9*K12</f>
        <v>3070.5444</v>
      </c>
      <c r="AB12" s="13" t="n">
        <f aca="false">1.3*K12</f>
        <v>4435.2308</v>
      </c>
      <c r="AC12" s="12" t="s">
        <v>44</v>
      </c>
      <c r="AD12" s="13" t="s">
        <v>45</v>
      </c>
      <c r="AE12" s="13" t="s">
        <v>46</v>
      </c>
      <c r="AF12" s="13" t="s">
        <v>47</v>
      </c>
      <c r="AG12" s="12" t="s">
        <v>48</v>
      </c>
    </row>
    <row r="13" customFormat="false" ht="147.75" hidden="false" customHeight="true" outlineLevel="0" collapsed="false">
      <c r="A13" s="30" t="n">
        <v>211.3</v>
      </c>
      <c r="B13" s="9" t="n">
        <f aca="false">IF(ISNUMBER(A13),
IF(AND(A13=INT(A13), MOD(A13, 10) = 0), 0,
IF(AND(A13=INT(A13), LEN(A13)=2), 1,
IF(AND(A13=INT(A13), LEN(A13)=3), 2,
LEN(A13) - FIND(".", A13) + 2)
)
),
"")</f>
        <v>3</v>
      </c>
      <c r="C13" s="15" t="s">
        <v>79</v>
      </c>
      <c r="D13" s="10" t="str">
        <f aca="false">REPT("   ", B13*2) &amp; C13</f>
        <v>                  Excavation</v>
      </c>
      <c r="E13" s="10" t="s">
        <v>35</v>
      </c>
      <c r="F13" s="10"/>
      <c r="G13" s="10"/>
      <c r="H13" s="10"/>
      <c r="I13" s="10"/>
      <c r="J13" s="16"/>
      <c r="K13" s="17" t="n">
        <f aca="false">22.86*1.4</f>
        <v>32.004</v>
      </c>
      <c r="L13" s="18" t="s">
        <v>80</v>
      </c>
      <c r="M13" s="18" t="s">
        <v>81</v>
      </c>
      <c r="N13" s="19"/>
      <c r="O13" s="18" t="s">
        <v>82</v>
      </c>
      <c r="P13" s="19"/>
      <c r="Q13" s="20" t="n">
        <v>2024</v>
      </c>
      <c r="R13" s="18" t="s">
        <v>73</v>
      </c>
      <c r="S13" s="21"/>
      <c r="T13" s="21"/>
      <c r="U13" s="21"/>
      <c r="V13" s="23"/>
      <c r="W13" s="12" t="s">
        <v>77</v>
      </c>
      <c r="X13" s="24" t="n">
        <f aca="false">0.9*$J13</f>
        <v>0</v>
      </c>
      <c r="Y13" s="24" t="n">
        <f aca="false">1.5*J13</f>
        <v>0</v>
      </c>
      <c r="Z13" s="12" t="s">
        <v>44</v>
      </c>
      <c r="AA13" s="13" t="n">
        <f aca="false">0.9*K13</f>
        <v>28.8036</v>
      </c>
      <c r="AB13" s="13" t="n">
        <f aca="false">1.3*K13</f>
        <v>41.6052</v>
      </c>
      <c r="AC13" s="12" t="s">
        <v>44</v>
      </c>
      <c r="AD13" s="13" t="s">
        <v>45</v>
      </c>
      <c r="AE13" s="13" t="s">
        <v>46</v>
      </c>
      <c r="AF13" s="13" t="s">
        <v>47</v>
      </c>
      <c r="AG13" s="12" t="s">
        <v>48</v>
      </c>
    </row>
    <row r="14" customFormat="false" ht="35.05" hidden="false" customHeight="false" outlineLevel="0" collapsed="false">
      <c r="A14" s="30" t="n">
        <v>211.4</v>
      </c>
      <c r="B14" s="9" t="n">
        <f aca="false">IF(ISNUMBER(A14),
    IF(AND(A14=INT(A14), MOD(A14, 10) = 0), 0,
        IF(AND(A14=INT(A14), LEN(A14)=2), 1,
            IF(AND(A14=INT(A14), LEN(A14)=3), 2,
                LEN(A14) - FIND(".", A14) + 2)
        )
    ),
"")</f>
        <v>3</v>
      </c>
      <c r="C14" s="15" t="s">
        <v>83</v>
      </c>
      <c r="D14" s="10" t="str">
        <f aca="false">REPT("   ", B14*2) &amp; C14</f>
        <v>                  Roads</v>
      </c>
      <c r="E14" s="10" t="s">
        <v>35</v>
      </c>
      <c r="F14" s="10"/>
      <c r="G14" s="10"/>
      <c r="H14" s="10"/>
      <c r="I14" s="10"/>
      <c r="J14" s="16"/>
      <c r="K14" s="17" t="n">
        <f aca="false">0.7*7873200*1.609/1000</f>
        <v>8867.58516</v>
      </c>
      <c r="L14" s="18" t="s">
        <v>84</v>
      </c>
      <c r="M14" s="18" t="s">
        <v>85</v>
      </c>
      <c r="N14" s="19"/>
      <c r="O14" s="18" t="s">
        <v>86</v>
      </c>
      <c r="P14" s="19"/>
      <c r="Q14" s="20" t="n">
        <v>2025</v>
      </c>
      <c r="R14" s="18" t="s">
        <v>39</v>
      </c>
      <c r="S14" s="33" t="s">
        <v>87</v>
      </c>
      <c r="T14" s="21"/>
      <c r="U14" s="34"/>
      <c r="V14" s="23"/>
      <c r="W14" s="12" t="s">
        <v>77</v>
      </c>
      <c r="X14" s="24" t="n">
        <f aca="false">0.9*$J14</f>
        <v>0</v>
      </c>
      <c r="Y14" s="24" t="n">
        <f aca="false">1.5*J14</f>
        <v>0</v>
      </c>
      <c r="Z14" s="12" t="s">
        <v>44</v>
      </c>
      <c r="AA14" s="13" t="n">
        <f aca="false">0.9*K14</f>
        <v>7980.826644</v>
      </c>
      <c r="AB14" s="13" t="n">
        <f aca="false">1.3*K14</f>
        <v>11527.860708</v>
      </c>
      <c r="AC14" s="12" t="s">
        <v>44</v>
      </c>
      <c r="AD14" s="13" t="s">
        <v>45</v>
      </c>
      <c r="AE14" s="13" t="s">
        <v>46</v>
      </c>
      <c r="AF14" s="13" t="s">
        <v>47</v>
      </c>
      <c r="AG14" s="12" t="s">
        <v>48</v>
      </c>
    </row>
    <row r="15" customFormat="false" ht="13.5" hidden="false" customHeight="false" outlineLevel="0" collapsed="false">
      <c r="A15" s="30" t="n">
        <v>211.9</v>
      </c>
      <c r="B15" s="9" t="n">
        <f aca="false">IF(ISNUMBER(A15),
    IF(AND(A15=INT(A15), MOD(A15, 10) = 0), 0,
        IF(AND(A15=INT(A15), LEN(A15)=2), 1,
            IF(AND(A15=INT(A15), LEN(A15)=3), 2,
                LEN(A15) - FIND(".", A15) + 2)
        )
    ),
"")</f>
        <v>3</v>
      </c>
      <c r="C15" s="15" t="s">
        <v>88</v>
      </c>
      <c r="D15" s="10" t="str">
        <f aca="false">REPT("   ", B15*2) &amp; C15</f>
        <v>                  Security Fencing</v>
      </c>
      <c r="E15" s="10"/>
      <c r="F15" s="10"/>
      <c r="G15" s="10"/>
      <c r="H15" s="10"/>
      <c r="I15" s="10"/>
      <c r="J15" s="16"/>
      <c r="K15" s="17"/>
      <c r="L15" s="18"/>
      <c r="M15" s="18"/>
      <c r="N15" s="19"/>
      <c r="O15" s="18"/>
      <c r="P15" s="19"/>
      <c r="Q15" s="20"/>
      <c r="R15" s="18"/>
      <c r="S15" s="21"/>
      <c r="T15" s="21"/>
      <c r="U15" s="34"/>
      <c r="V15" s="23"/>
      <c r="W15" s="12"/>
      <c r="X15" s="24"/>
      <c r="Y15" s="24"/>
      <c r="Z15" s="12"/>
      <c r="AA15" s="13"/>
      <c r="AB15" s="13"/>
      <c r="AC15" s="12"/>
      <c r="AD15" s="13"/>
      <c r="AE15" s="13"/>
      <c r="AF15" s="13"/>
      <c r="AG15" s="12"/>
    </row>
    <row r="16" customFormat="false" ht="35.05" hidden="false" customHeight="false" outlineLevel="0" collapsed="false">
      <c r="A16" s="30" t="n">
        <v>211.91</v>
      </c>
      <c r="B16" s="9" t="n">
        <f aca="false">IF(ISNUMBER(A16),
    IF(AND(A16=INT(A16), MOD(A16, 10) = 0), 0,
        IF(AND(A16=INT(A16), LEN(A16)=2), 1,
            IF(AND(A16=INT(A16), LEN(A16)=3), 2,
                LEN(A16) - FIND(".", A16) + 2)
        )
    ),
"")</f>
        <v>4</v>
      </c>
      <c r="C16" s="15" t="s">
        <v>89</v>
      </c>
      <c r="D16" s="10" t="str">
        <f aca="false">REPT("   ", B16*2) &amp; C16</f>
        <v>                        Security Fencing Limited</v>
      </c>
      <c r="E16" s="10" t="s">
        <v>35</v>
      </c>
      <c r="F16" s="10"/>
      <c r="G16" s="10"/>
      <c r="H16" s="10"/>
      <c r="I16" s="10"/>
      <c r="J16" s="16"/>
      <c r="K16" s="17" t="n">
        <f aca="false">0.47*273*3.2808</f>
        <v>420.959448</v>
      </c>
      <c r="L16" s="18" t="s">
        <v>84</v>
      </c>
      <c r="M16" s="18" t="s">
        <v>90</v>
      </c>
      <c r="N16" s="19"/>
      <c r="O16" s="18" t="s">
        <v>86</v>
      </c>
      <c r="P16" s="19"/>
      <c r="Q16" s="20" t="n">
        <v>2025</v>
      </c>
      <c r="R16" s="18" t="s">
        <v>39</v>
      </c>
      <c r="S16" s="33" t="s">
        <v>87</v>
      </c>
      <c r="T16" s="21"/>
      <c r="U16" s="34"/>
      <c r="V16" s="23"/>
      <c r="W16" s="12" t="s">
        <v>77</v>
      </c>
      <c r="X16" s="24" t="n">
        <f aca="false">0.9*$J16</f>
        <v>0</v>
      </c>
      <c r="Y16" s="24" t="n">
        <f aca="false">1.5*J16</f>
        <v>0</v>
      </c>
      <c r="Z16" s="12" t="s">
        <v>44</v>
      </c>
      <c r="AA16" s="13" t="n">
        <f aca="false">0.9*K16</f>
        <v>378.8635032</v>
      </c>
      <c r="AB16" s="13" t="n">
        <f aca="false">1.3*K16</f>
        <v>547.2472824</v>
      </c>
      <c r="AC16" s="12" t="s">
        <v>44</v>
      </c>
      <c r="AD16" s="13" t="s">
        <v>45</v>
      </c>
      <c r="AE16" s="13" t="s">
        <v>46</v>
      </c>
      <c r="AF16" s="13" t="s">
        <v>47</v>
      </c>
      <c r="AG16" s="12" t="s">
        <v>48</v>
      </c>
    </row>
    <row r="17" customFormat="false" ht="35.05" hidden="false" customHeight="false" outlineLevel="0" collapsed="false">
      <c r="A17" s="30" t="n">
        <v>211.92</v>
      </c>
      <c r="B17" s="9" t="n">
        <f aca="false">IF(ISNUMBER(A17),
    IF(AND(A17=INT(A17), MOD(A17, 10) = 0), 0,
        IF(AND(A17=INT(A17), LEN(A17)=2), 1,
            IF(AND(A17=INT(A17), LEN(A17)=3), 2,
                LEN(A17) - FIND(".", A17) + 2)
        )
    ),
"")</f>
        <v>4</v>
      </c>
      <c r="C17" s="15" t="s">
        <v>91</v>
      </c>
      <c r="D17" s="10" t="str">
        <f aca="false">REPT("   ", B17*2) &amp; C17</f>
        <v>                        Security Fencing Protected</v>
      </c>
      <c r="E17" s="10" t="s">
        <v>35</v>
      </c>
      <c r="F17" s="10"/>
      <c r="G17" s="10"/>
      <c r="H17" s="10"/>
      <c r="I17" s="10"/>
      <c r="J17" s="16"/>
      <c r="K17" s="17" t="n">
        <f aca="false">0.7*15746*3.2808</f>
        <v>36161.63376</v>
      </c>
      <c r="L17" s="18" t="s">
        <v>84</v>
      </c>
      <c r="M17" s="18" t="s">
        <v>92</v>
      </c>
      <c r="N17" s="19"/>
      <c r="O17" s="18" t="s">
        <v>86</v>
      </c>
      <c r="P17" s="19"/>
      <c r="Q17" s="20" t="n">
        <v>2025</v>
      </c>
      <c r="R17" s="18" t="s">
        <v>39</v>
      </c>
      <c r="S17" s="33" t="s">
        <v>87</v>
      </c>
      <c r="T17" s="21"/>
      <c r="U17" s="34"/>
      <c r="V17" s="23"/>
      <c r="W17" s="12" t="s">
        <v>77</v>
      </c>
      <c r="X17" s="24" t="n">
        <f aca="false">0.9*$J17</f>
        <v>0</v>
      </c>
      <c r="Y17" s="24" t="n">
        <f aca="false">1.5*J17</f>
        <v>0</v>
      </c>
      <c r="Z17" s="12" t="s">
        <v>44</v>
      </c>
      <c r="AA17" s="13" t="n">
        <f aca="false">0.9*K17</f>
        <v>32545.470384</v>
      </c>
      <c r="AB17" s="13" t="n">
        <f aca="false">1.3*K17</f>
        <v>47010.123888</v>
      </c>
      <c r="AC17" s="12" t="s">
        <v>44</v>
      </c>
      <c r="AD17" s="13" t="s">
        <v>45</v>
      </c>
      <c r="AE17" s="13" t="s">
        <v>46</v>
      </c>
      <c r="AF17" s="13" t="s">
        <v>47</v>
      </c>
      <c r="AG17" s="12" t="s">
        <v>48</v>
      </c>
    </row>
    <row r="18" customFormat="false" ht="26.25" hidden="false" customHeight="true" outlineLevel="0" collapsed="false">
      <c r="A18" s="30" t="n">
        <v>212</v>
      </c>
      <c r="B18" s="9" t="n">
        <f aca="false">IF(ISNUMBER(A18),
IF(AND(A18=INT(A18), MOD(A18, 10) = 0), 0,
IF(AND(A18=INT(A18), LEN(A18)=2), 1,
IF(AND(A18=INT(A18), LEN(A18)=3), 2,
LEN(A18) - FIND(".", A18) + 2)
)
),
"")</f>
        <v>2</v>
      </c>
      <c r="C18" s="15" t="s">
        <v>93</v>
      </c>
      <c r="D18" s="10" t="str">
        <f aca="false">REPT("   ", B18*2) &amp; C18</f>
        <v>            Reactor Island Civil Structures</v>
      </c>
      <c r="E18" s="10"/>
      <c r="F18" s="10"/>
      <c r="G18" s="10"/>
      <c r="H18" s="10"/>
      <c r="I18" s="10"/>
      <c r="J18" s="16"/>
      <c r="K18" s="17"/>
      <c r="L18" s="19"/>
      <c r="M18" s="19"/>
      <c r="N18" s="19"/>
      <c r="O18" s="19"/>
      <c r="P18" s="19"/>
      <c r="Q18" s="20"/>
      <c r="R18" s="19"/>
      <c r="S18" s="21"/>
      <c r="T18" s="18"/>
      <c r="U18" s="23"/>
      <c r="V18" s="23"/>
      <c r="W18" s="12"/>
      <c r="X18" s="24"/>
      <c r="Y18" s="24"/>
      <c r="Z18" s="12"/>
      <c r="AA18" s="13"/>
      <c r="AB18" s="13"/>
      <c r="AC18" s="12"/>
      <c r="AD18" s="13"/>
      <c r="AE18" s="13"/>
      <c r="AF18" s="13"/>
      <c r="AG18" s="12"/>
    </row>
    <row r="19" customFormat="false" ht="51.75" hidden="false" customHeight="true" outlineLevel="0" collapsed="false">
      <c r="A19" s="30" t="n">
        <v>212.1</v>
      </c>
      <c r="B19" s="9" t="n">
        <f aca="false">IF(ISNUMBER(A19),
IF(AND(A19=INT(A19), MOD(A19, 10) = 0), 0,
IF(AND(A19=INT(A19), LEN(A19)=2), 1,
IF(AND(A19=INT(A19), LEN(A19)=3), 2,
LEN(A19) - FIND(".", A19) + 2)
)
),
"")</f>
        <v>3</v>
      </c>
      <c r="C19" s="15" t="s">
        <v>94</v>
      </c>
      <c r="D19" s="10" t="str">
        <f aca="false">REPT("   ", B19*2) &amp; C19</f>
        <v>                  Reactor Building Slab Roof</v>
      </c>
      <c r="E19" s="10" t="s">
        <v>35</v>
      </c>
      <c r="F19" s="21"/>
      <c r="G19" s="10"/>
      <c r="H19" s="10"/>
      <c r="I19" s="10"/>
      <c r="J19" s="16"/>
      <c r="K19" s="17" t="n">
        <f aca="false">1200 *1.53</f>
        <v>1836</v>
      </c>
      <c r="L19" s="18" t="s">
        <v>80</v>
      </c>
      <c r="M19" s="21" t="s">
        <v>95</v>
      </c>
      <c r="N19" s="19"/>
      <c r="O19" s="18" t="s">
        <v>82</v>
      </c>
      <c r="P19" s="19"/>
      <c r="Q19" s="20" t="n">
        <v>2024</v>
      </c>
      <c r="R19" s="18" t="s">
        <v>96</v>
      </c>
      <c r="S19" s="21" t="s">
        <v>74</v>
      </c>
      <c r="T19" s="21" t="s">
        <v>75</v>
      </c>
      <c r="U19" s="32" t="s">
        <v>76</v>
      </c>
      <c r="V19" s="23"/>
      <c r="W19" s="12" t="s">
        <v>77</v>
      </c>
      <c r="X19" s="24" t="n">
        <f aca="false">0.9*$J19</f>
        <v>0</v>
      </c>
      <c r="Y19" s="24" t="n">
        <f aca="false">1.5*J19</f>
        <v>0</v>
      </c>
      <c r="Z19" s="12" t="s">
        <v>44</v>
      </c>
      <c r="AA19" s="13" t="n">
        <f aca="false">0.9*K19</f>
        <v>1652.4</v>
      </c>
      <c r="AB19" s="13" t="n">
        <f aca="false">1.3*K19</f>
        <v>2386.8</v>
      </c>
      <c r="AC19" s="12" t="s">
        <v>44</v>
      </c>
      <c r="AD19" s="13" t="s">
        <v>45</v>
      </c>
      <c r="AE19" s="13" t="s">
        <v>46</v>
      </c>
      <c r="AF19" s="13" t="s">
        <v>47</v>
      </c>
      <c r="AG19" s="12" t="s">
        <v>48</v>
      </c>
    </row>
    <row r="20" customFormat="false" ht="51.75" hidden="false" customHeight="true" outlineLevel="0" collapsed="false">
      <c r="A20" s="30" t="n">
        <v>212.2</v>
      </c>
      <c r="B20" s="9" t="n">
        <f aca="false">IF(ISNUMBER(A20),
IF(AND(A20=INT(A20), MOD(A20, 10) = 0), 0,
IF(AND(A20=INT(A20), LEN(A20)=2), 1,
IF(AND(A20=INT(A20), LEN(A20)=3), 2,
LEN(A20) - FIND(".", A20) + 2)
)
),
"")</f>
        <v>3</v>
      </c>
      <c r="C20" s="15" t="s">
        <v>97</v>
      </c>
      <c r="D20" s="10" t="str">
        <f aca="false">REPT("   ", B20*2) &amp; C20</f>
        <v>                  Reactor Building Basement</v>
      </c>
      <c r="E20" s="10" t="s">
        <v>35</v>
      </c>
      <c r="F20" s="10"/>
      <c r="G20" s="10"/>
      <c r="H20" s="10"/>
      <c r="I20" s="10"/>
      <c r="J20" s="16"/>
      <c r="K20" s="17" t="n">
        <f aca="false">943.9*1.53</f>
        <v>1444.167</v>
      </c>
      <c r="L20" s="18" t="s">
        <v>80</v>
      </c>
      <c r="M20" s="21" t="s">
        <v>98</v>
      </c>
      <c r="N20" s="19"/>
      <c r="O20" s="18" t="s">
        <v>82</v>
      </c>
      <c r="P20" s="19"/>
      <c r="Q20" s="20" t="n">
        <v>2024</v>
      </c>
      <c r="R20" s="18" t="s">
        <v>96</v>
      </c>
      <c r="S20" s="21"/>
      <c r="T20" s="21"/>
      <c r="U20" s="21"/>
      <c r="V20" s="23"/>
      <c r="W20" s="12" t="s">
        <v>77</v>
      </c>
      <c r="X20" s="24" t="n">
        <f aca="false">0.9*$J20</f>
        <v>0</v>
      </c>
      <c r="Y20" s="24" t="n">
        <f aca="false">1.5*J20</f>
        <v>0</v>
      </c>
      <c r="Z20" s="12" t="s">
        <v>44</v>
      </c>
      <c r="AA20" s="13" t="n">
        <f aca="false">0.9*K20</f>
        <v>1299.7503</v>
      </c>
      <c r="AB20" s="13" t="n">
        <f aca="false">1.3*K20</f>
        <v>1877.4171</v>
      </c>
      <c r="AC20" s="12" t="s">
        <v>44</v>
      </c>
      <c r="AD20" s="13" t="s">
        <v>45</v>
      </c>
      <c r="AE20" s="13" t="s">
        <v>46</v>
      </c>
      <c r="AF20" s="13" t="s">
        <v>47</v>
      </c>
      <c r="AG20" s="12" t="s">
        <v>48</v>
      </c>
    </row>
    <row r="21" customFormat="false" ht="75.75" hidden="false" customHeight="true" outlineLevel="0" collapsed="false">
      <c r="A21" s="30" t="n">
        <v>212.3</v>
      </c>
      <c r="B21" s="9" t="n">
        <f aca="false">IF(ISNUMBER(A21),
IF(AND(A21=INT(A21), MOD(A21, 10) = 0), 0,
IF(AND(A21=INT(A21), LEN(A21)=2), 1,
IF(AND(A21=INT(A21), LEN(A21)=3), 2,
LEN(A21) - FIND(".", A21) + 2)
)
),
"")</f>
        <v>3</v>
      </c>
      <c r="C21" s="15" t="s">
        <v>99</v>
      </c>
      <c r="D21" s="10" t="str">
        <f aca="false">REPT("   ", B21*2) &amp; C21</f>
        <v>                  Reactor Building Walls</v>
      </c>
      <c r="E21" s="10" t="s">
        <v>35</v>
      </c>
      <c r="F21" s="10"/>
      <c r="G21" s="10"/>
      <c r="H21" s="10"/>
      <c r="I21" s="10"/>
      <c r="J21" s="16"/>
      <c r="K21" s="17" t="n">
        <f aca="false">721.21*1.53</f>
        <v>1103.4513</v>
      </c>
      <c r="L21" s="18" t="s">
        <v>80</v>
      </c>
      <c r="M21" s="21" t="s">
        <v>100</v>
      </c>
      <c r="N21" s="19"/>
      <c r="O21" s="18" t="s">
        <v>82</v>
      </c>
      <c r="P21" s="19"/>
      <c r="Q21" s="20" t="n">
        <v>2024</v>
      </c>
      <c r="R21" s="18" t="s">
        <v>96</v>
      </c>
      <c r="S21" s="21"/>
      <c r="T21" s="21"/>
      <c r="U21" s="21"/>
      <c r="V21" s="23"/>
      <c r="W21" s="12" t="s">
        <v>77</v>
      </c>
      <c r="X21" s="24" t="n">
        <f aca="false">0.9*$J21</f>
        <v>0</v>
      </c>
      <c r="Y21" s="24" t="n">
        <f aca="false">1.5*J21</f>
        <v>0</v>
      </c>
      <c r="Z21" s="12" t="s">
        <v>44</v>
      </c>
      <c r="AA21" s="13" t="n">
        <f aca="false">0.9*K21</f>
        <v>993.10617</v>
      </c>
      <c r="AB21" s="13" t="n">
        <f aca="false">1.3*K21</f>
        <v>1434.48669</v>
      </c>
      <c r="AC21" s="12" t="s">
        <v>44</v>
      </c>
      <c r="AD21" s="13" t="s">
        <v>45</v>
      </c>
      <c r="AE21" s="13" t="s">
        <v>46</v>
      </c>
      <c r="AF21" s="13" t="s">
        <v>47</v>
      </c>
      <c r="AG21" s="12" t="s">
        <v>48</v>
      </c>
    </row>
    <row r="22" customFormat="false" ht="101.25" hidden="false" customHeight="true" outlineLevel="0" collapsed="false">
      <c r="A22" s="30" t="n">
        <v>212.4</v>
      </c>
      <c r="B22" s="9" t="n">
        <f aca="false">IF(ISNUMBER(A22),
IF(AND(A22=INT(A22), MOD(A22, 10) = 0), 0,
IF(AND(A22=INT(A22), LEN(A22)=2), 1,
IF(AND(A22=INT(A22), LEN(A22)=3), 2,
LEN(A22) - FIND(".", A22) + 2)
)
),
"")</f>
        <v>3</v>
      </c>
      <c r="C22" s="15" t="s">
        <v>101</v>
      </c>
      <c r="D22" s="10" t="str">
        <f aca="false">REPT("   ", B22*2) &amp; C22</f>
        <v>                  Reactor Building Liner</v>
      </c>
      <c r="E22" s="10" t="s">
        <v>35</v>
      </c>
      <c r="F22" s="10"/>
      <c r="G22" s="10"/>
      <c r="H22" s="10"/>
      <c r="I22" s="10"/>
      <c r="J22" s="16"/>
      <c r="K22" s="17" t="n">
        <f aca="false">60848829/9373</f>
        <v>6491.9267043636</v>
      </c>
      <c r="L22" s="18" t="s">
        <v>102</v>
      </c>
      <c r="M22" s="21" t="s">
        <v>103</v>
      </c>
      <c r="N22" s="19" t="n">
        <v>9373</v>
      </c>
      <c r="O22" s="18" t="s">
        <v>104</v>
      </c>
      <c r="P22" s="19" t="n">
        <v>1</v>
      </c>
      <c r="Q22" s="20" t="n">
        <v>2018</v>
      </c>
      <c r="R22" s="18" t="s">
        <v>96</v>
      </c>
      <c r="S22" s="21" t="s">
        <v>105</v>
      </c>
      <c r="T22" s="21" t="s">
        <v>105</v>
      </c>
      <c r="U22" s="35" t="s">
        <v>106</v>
      </c>
      <c r="V22" s="23"/>
      <c r="W22" s="12" t="s">
        <v>77</v>
      </c>
      <c r="X22" s="24" t="n">
        <f aca="false">0.9*$J22</f>
        <v>0</v>
      </c>
      <c r="Y22" s="24" t="n">
        <f aca="false">1.5*J22</f>
        <v>0</v>
      </c>
      <c r="Z22" s="12" t="s">
        <v>44</v>
      </c>
      <c r="AA22" s="13" t="n">
        <f aca="false">0.9*K22</f>
        <v>5842.73403392724</v>
      </c>
      <c r="AB22" s="13" t="n">
        <f aca="false">1.3*K22</f>
        <v>8439.50471567268</v>
      </c>
      <c r="AC22" s="12" t="s">
        <v>44</v>
      </c>
      <c r="AD22" s="13" t="s">
        <v>45</v>
      </c>
      <c r="AE22" s="13" t="s">
        <v>46</v>
      </c>
      <c r="AF22" s="13" t="s">
        <v>47</v>
      </c>
      <c r="AG22" s="12" t="s">
        <v>48</v>
      </c>
    </row>
    <row r="23" customFormat="false" ht="101.25" hidden="false" customHeight="true" outlineLevel="0" collapsed="false">
      <c r="A23" s="30" t="n">
        <v>212.5</v>
      </c>
      <c r="B23" s="9" t="n">
        <f aca="false">IF(ISNUMBER(A23),
IF(AND(A23=INT(A23), MOD(A23, 10) = 0), 0,
IF(AND(A23=INT(A23), LEN(A23)=2), 1,
IF(AND(A23=INT(A23), LEN(A23)=3), 2,
LEN(A23) - FIND(".", A23) + 2)
)
),
"")</f>
        <v>3</v>
      </c>
      <c r="C23" s="15" t="s">
        <v>107</v>
      </c>
      <c r="D23" s="10" t="str">
        <f aca="false">REPT("   ", B23*2) &amp; C23</f>
        <v>                  Reactor Building HVAC</v>
      </c>
      <c r="E23" s="10" t="s">
        <v>35</v>
      </c>
      <c r="F23" s="10"/>
      <c r="G23" s="10"/>
      <c r="H23" s="10"/>
      <c r="I23" s="10"/>
      <c r="J23" s="16"/>
      <c r="K23" s="17" t="n">
        <f aca="false">5917967/N23</f>
        <v>1731.91893473807</v>
      </c>
      <c r="L23" s="18" t="s">
        <v>108</v>
      </c>
      <c r="M23" s="21" t="s">
        <v>109</v>
      </c>
      <c r="N23" s="19" t="n">
        <v>3417</v>
      </c>
      <c r="O23" s="18" t="s">
        <v>110</v>
      </c>
      <c r="P23" s="19" t="n">
        <v>0.8</v>
      </c>
      <c r="Q23" s="20" t="n">
        <v>2018</v>
      </c>
      <c r="R23" s="18" t="s">
        <v>96</v>
      </c>
      <c r="S23" s="21" t="s">
        <v>105</v>
      </c>
      <c r="T23" s="21" t="s">
        <v>105</v>
      </c>
      <c r="U23" s="35" t="s">
        <v>106</v>
      </c>
      <c r="V23" s="23"/>
      <c r="W23" s="12" t="s">
        <v>77</v>
      </c>
      <c r="X23" s="24" t="n">
        <f aca="false">0.9*$J23</f>
        <v>0</v>
      </c>
      <c r="Y23" s="24" t="n">
        <f aca="false">1.5*J23</f>
        <v>0</v>
      </c>
      <c r="Z23" s="12" t="s">
        <v>44</v>
      </c>
      <c r="AA23" s="13" t="n">
        <f aca="false">0.9*K23</f>
        <v>1558.72704126427</v>
      </c>
      <c r="AB23" s="13" t="n">
        <f aca="false">1.3*K23</f>
        <v>2251.4946151595</v>
      </c>
      <c r="AC23" s="12" t="s">
        <v>44</v>
      </c>
      <c r="AD23" s="13" t="s">
        <v>45</v>
      </c>
      <c r="AE23" s="13" t="s">
        <v>46</v>
      </c>
      <c r="AF23" s="13" t="s">
        <v>47</v>
      </c>
      <c r="AG23" s="12" t="s">
        <v>48</v>
      </c>
    </row>
    <row r="24" customFormat="false" ht="26.25" hidden="false" customHeight="true" outlineLevel="0" collapsed="false">
      <c r="A24" s="30" t="n">
        <v>213</v>
      </c>
      <c r="B24" s="9" t="n">
        <f aca="false">IF(ISNUMBER(A24),
IF(AND(A24=INT(A24), MOD(A24, 10) = 0), 0,
IF(AND(A24=INT(A24), LEN(A24)=2), 1,
IF(AND(A24=INT(A24), LEN(A24)=3), 2,
LEN(A24) - FIND(".", A24) + 2)
)
),
"")</f>
        <v>2</v>
      </c>
      <c r="C24" s="15" t="s">
        <v>111</v>
      </c>
      <c r="D24" s="10" t="str">
        <f aca="false">REPT("   ", B24*2) &amp; C24</f>
        <v>            Main Function Buildings</v>
      </c>
      <c r="E24" s="10"/>
      <c r="F24" s="10"/>
      <c r="G24" s="10"/>
      <c r="H24" s="10"/>
      <c r="I24" s="10"/>
      <c r="J24" s="16"/>
      <c r="K24" s="17"/>
      <c r="L24" s="19"/>
      <c r="M24" s="29"/>
      <c r="N24" s="19"/>
      <c r="O24" s="19"/>
      <c r="P24" s="19"/>
      <c r="Q24" s="16"/>
      <c r="R24" s="19"/>
      <c r="S24" s="29"/>
      <c r="T24" s="21"/>
      <c r="U24" s="22"/>
      <c r="V24" s="23"/>
      <c r="W24" s="12"/>
      <c r="X24" s="24"/>
      <c r="Y24" s="24"/>
      <c r="Z24" s="12"/>
      <c r="AA24" s="13"/>
      <c r="AB24" s="13"/>
      <c r="AC24" s="12"/>
      <c r="AD24" s="13"/>
      <c r="AE24" s="13"/>
      <c r="AF24" s="13"/>
      <c r="AG24" s="12"/>
    </row>
    <row r="25" customFormat="false" ht="26.25" hidden="false" customHeight="true" outlineLevel="0" collapsed="false">
      <c r="A25" s="30" t="n">
        <v>213.1</v>
      </c>
      <c r="B25" s="9" t="n">
        <f aca="false">IF(ISNUMBER(A25),
IF(AND(A25=INT(A25), MOD(A25, 10) = 0), 0,
IF(AND(A25=INT(A25), LEN(A25)=2), 1,
IF(AND(A25=INT(A25), LEN(A25)=3), 2,
LEN(A25) - FIND(".", A25) + 2)
)
),
"")</f>
        <v>3</v>
      </c>
      <c r="C25" s="15" t="s">
        <v>112</v>
      </c>
      <c r="D25" s="10" t="str">
        <f aca="false">REPT("   ", B25*2) &amp; C25</f>
        <v>                  Energy conversion Building</v>
      </c>
      <c r="E25" s="10"/>
      <c r="F25" s="10"/>
      <c r="G25" s="10"/>
      <c r="H25" s="10"/>
      <c r="I25" s="10"/>
      <c r="J25" s="16"/>
      <c r="K25" s="17"/>
      <c r="L25" s="19"/>
      <c r="M25" s="29"/>
      <c r="N25" s="19"/>
      <c r="O25" s="19"/>
      <c r="P25" s="19"/>
      <c r="Q25" s="16"/>
      <c r="R25" s="19"/>
      <c r="S25" s="29"/>
      <c r="T25" s="21"/>
      <c r="U25" s="22"/>
      <c r="V25" s="23"/>
      <c r="W25" s="12"/>
      <c r="X25" s="24"/>
      <c r="Y25" s="24"/>
      <c r="Z25" s="12"/>
      <c r="AA25" s="13"/>
      <c r="AB25" s="13"/>
      <c r="AC25" s="12"/>
      <c r="AD25" s="13"/>
      <c r="AE25" s="13"/>
      <c r="AF25" s="13"/>
      <c r="AG25" s="12"/>
    </row>
    <row r="26" customFormat="false" ht="51.75" hidden="false" customHeight="true" outlineLevel="0" collapsed="false">
      <c r="A26" s="30" t="n">
        <v>213.11</v>
      </c>
      <c r="B26" s="9" t="n">
        <f aca="false">IF(ISNUMBER(A26),
IF(AND(A26=INT(A26), MOD(A26, 10) = 0), 0,
IF(AND(A26=INT(A26), LEN(A26)=2), 1,
IF(AND(A26=INT(A26), LEN(A26)=3), 2,
LEN(A26) - FIND(".", A26) + 2)
)
),
"")</f>
        <v>4</v>
      </c>
      <c r="C26" s="15" t="s">
        <v>113</v>
      </c>
      <c r="D26" s="10" t="str">
        <f aca="false">REPT("   ", B26*2) &amp; C26</f>
        <v>                        Energy Conversion Building Slab Roof</v>
      </c>
      <c r="E26" s="10" t="s">
        <v>35</v>
      </c>
      <c r="F26" s="10"/>
      <c r="G26" s="10"/>
      <c r="H26" s="10"/>
      <c r="I26" s="10"/>
      <c r="J26" s="16"/>
      <c r="K26" s="17" t="n">
        <f aca="false">1200</f>
        <v>1200</v>
      </c>
      <c r="L26" s="18" t="s">
        <v>80</v>
      </c>
      <c r="M26" s="21" t="s">
        <v>114</v>
      </c>
      <c r="N26" s="19"/>
      <c r="O26" s="18" t="s">
        <v>82</v>
      </c>
      <c r="P26" s="19"/>
      <c r="Q26" s="20" t="n">
        <v>2024</v>
      </c>
      <c r="R26" s="18" t="s">
        <v>96</v>
      </c>
      <c r="S26" s="21" t="s">
        <v>115</v>
      </c>
      <c r="T26" s="21" t="s">
        <v>75</v>
      </c>
      <c r="U26" s="32" t="s">
        <v>76</v>
      </c>
      <c r="V26" s="23"/>
      <c r="W26" s="12" t="s">
        <v>77</v>
      </c>
      <c r="X26" s="24" t="n">
        <f aca="false">0.9*$J26</f>
        <v>0</v>
      </c>
      <c r="Y26" s="24" t="n">
        <f aca="false">1.5*J26</f>
        <v>0</v>
      </c>
      <c r="Z26" s="12" t="s">
        <v>44</v>
      </c>
      <c r="AA26" s="13" t="n">
        <f aca="false">0.9*K26</f>
        <v>1080</v>
      </c>
      <c r="AB26" s="13" t="n">
        <f aca="false">1.3*K26</f>
        <v>1560</v>
      </c>
      <c r="AC26" s="12" t="s">
        <v>44</v>
      </c>
      <c r="AD26" s="13" t="s">
        <v>45</v>
      </c>
      <c r="AE26" s="13" t="s">
        <v>46</v>
      </c>
      <c r="AF26" s="13" t="s">
        <v>47</v>
      </c>
      <c r="AG26" s="12" t="s">
        <v>48</v>
      </c>
    </row>
    <row r="27" customFormat="false" ht="51.75" hidden="false" customHeight="true" outlineLevel="0" collapsed="false">
      <c r="A27" s="30" t="n">
        <v>213.12</v>
      </c>
      <c r="B27" s="9" t="n">
        <f aca="false">IF(ISNUMBER(A27),
IF(AND(A27=INT(A27), MOD(A27, 10) = 0), 0,
IF(AND(A27=INT(A27), LEN(A27)=2), 1,
IF(AND(A27=INT(A27), LEN(A27)=3), 2,
LEN(A27) - FIND(".", A27) + 2)
)
),
"")</f>
        <v>4</v>
      </c>
      <c r="C27" s="15" t="s">
        <v>116</v>
      </c>
      <c r="D27" s="10" t="str">
        <f aca="false">REPT("   ", B27*2) &amp; C27</f>
        <v>                        Energy Conversion Building Basement</v>
      </c>
      <c r="E27" s="10" t="s">
        <v>35</v>
      </c>
      <c r="F27" s="10"/>
      <c r="G27" s="10"/>
      <c r="H27" s="10"/>
      <c r="I27" s="10"/>
      <c r="J27" s="16"/>
      <c r="K27" s="17" t="n">
        <f aca="false">943.9</f>
        <v>943.9</v>
      </c>
      <c r="L27" s="18" t="s">
        <v>80</v>
      </c>
      <c r="M27" s="21" t="s">
        <v>117</v>
      </c>
      <c r="N27" s="19"/>
      <c r="O27" s="18" t="s">
        <v>82</v>
      </c>
      <c r="P27" s="19"/>
      <c r="Q27" s="20" t="n">
        <v>2024</v>
      </c>
      <c r="R27" s="18" t="s">
        <v>96</v>
      </c>
      <c r="S27" s="21"/>
      <c r="T27" s="21"/>
      <c r="U27" s="21"/>
      <c r="V27" s="23"/>
      <c r="W27" s="12" t="s">
        <v>77</v>
      </c>
      <c r="X27" s="24" t="n">
        <f aca="false">0.9*$J27</f>
        <v>0</v>
      </c>
      <c r="Y27" s="24" t="n">
        <f aca="false">1.5*J27</f>
        <v>0</v>
      </c>
      <c r="Z27" s="12" t="s">
        <v>44</v>
      </c>
      <c r="AA27" s="13" t="n">
        <f aca="false">0.9*K27</f>
        <v>849.51</v>
      </c>
      <c r="AB27" s="13" t="n">
        <f aca="false">1.3*K27</f>
        <v>1227.07</v>
      </c>
      <c r="AC27" s="12" t="s">
        <v>44</v>
      </c>
      <c r="AD27" s="13" t="s">
        <v>45</v>
      </c>
      <c r="AE27" s="13" t="s">
        <v>46</v>
      </c>
      <c r="AF27" s="13" t="s">
        <v>47</v>
      </c>
      <c r="AG27" s="12" t="s">
        <v>48</v>
      </c>
    </row>
    <row r="28" customFormat="false" ht="75.75" hidden="false" customHeight="true" outlineLevel="0" collapsed="false">
      <c r="A28" s="30" t="n">
        <v>213.13</v>
      </c>
      <c r="B28" s="9" t="n">
        <f aca="false">IF(ISNUMBER(A28),
IF(AND(A28=INT(A28), MOD(A28, 10) = 0), 0,
IF(AND(A28=INT(A28), LEN(A28)=2), 1,
IF(AND(A28=INT(A28), LEN(A28)=3), 2,
LEN(A28) - FIND(".", A28) + 2)
)
),
"")</f>
        <v>4</v>
      </c>
      <c r="C28" s="15" t="s">
        <v>118</v>
      </c>
      <c r="D28" s="10" t="str">
        <f aca="false">REPT("   ", B28*2) &amp; C28</f>
        <v>                        Energy Conversion Building Walls</v>
      </c>
      <c r="E28" s="10" t="s">
        <v>35</v>
      </c>
      <c r="F28" s="10"/>
      <c r="G28" s="10"/>
      <c r="H28" s="10"/>
      <c r="I28" s="10"/>
      <c r="J28" s="16"/>
      <c r="K28" s="17" t="n">
        <f aca="false">721.21</f>
        <v>721.21</v>
      </c>
      <c r="L28" s="18" t="s">
        <v>80</v>
      </c>
      <c r="M28" s="21" t="s">
        <v>119</v>
      </c>
      <c r="N28" s="19"/>
      <c r="O28" s="18" t="s">
        <v>82</v>
      </c>
      <c r="P28" s="19"/>
      <c r="Q28" s="20" t="n">
        <v>2024</v>
      </c>
      <c r="R28" s="18" t="s">
        <v>96</v>
      </c>
      <c r="S28" s="21"/>
      <c r="T28" s="21"/>
      <c r="U28" s="21"/>
      <c r="V28" s="23"/>
      <c r="W28" s="12" t="s">
        <v>77</v>
      </c>
      <c r="X28" s="24" t="n">
        <f aca="false">0.9*$J28</f>
        <v>0</v>
      </c>
      <c r="Y28" s="24" t="n">
        <f aca="false">1.5*J28</f>
        <v>0</v>
      </c>
      <c r="Z28" s="12" t="s">
        <v>44</v>
      </c>
      <c r="AA28" s="13" t="n">
        <f aca="false">0.9*K28</f>
        <v>649.089</v>
      </c>
      <c r="AB28" s="13" t="n">
        <f aca="false">1.3*K28</f>
        <v>937.573</v>
      </c>
      <c r="AC28" s="12" t="s">
        <v>44</v>
      </c>
      <c r="AD28" s="13" t="s">
        <v>45</v>
      </c>
      <c r="AE28" s="13" t="s">
        <v>46</v>
      </c>
      <c r="AF28" s="13" t="s">
        <v>47</v>
      </c>
      <c r="AG28" s="12" t="s">
        <v>48</v>
      </c>
    </row>
    <row r="29" customFormat="false" ht="26.25" hidden="false" customHeight="true" outlineLevel="0" collapsed="false">
      <c r="A29" s="30" t="n">
        <v>213.2</v>
      </c>
      <c r="B29" s="9" t="n">
        <f aca="false">IF(ISNUMBER(A29),
IF(AND(A29=INT(A29), MOD(A29, 10) = 0), 0,
IF(AND(A29=INT(A29), LEN(A29)=2), 1,
IF(AND(A29=INT(A29), LEN(A29)=3), 2,
LEN(A29) - FIND(".", A29) + 2)
)
),
"")</f>
        <v>3</v>
      </c>
      <c r="C29" s="15" t="s">
        <v>120</v>
      </c>
      <c r="D29" s="10" t="str">
        <f aca="false">REPT("   ", B29*2) &amp; C29</f>
        <v>                  Control building</v>
      </c>
      <c r="E29" s="10"/>
      <c r="F29" s="10"/>
      <c r="G29" s="10"/>
      <c r="H29" s="10"/>
      <c r="I29" s="10"/>
      <c r="J29" s="16"/>
      <c r="K29" s="17"/>
      <c r="L29" s="19"/>
      <c r="M29" s="29"/>
      <c r="N29" s="19"/>
      <c r="O29" s="19"/>
      <c r="P29" s="19"/>
      <c r="Q29" s="16"/>
      <c r="R29" s="19"/>
      <c r="S29" s="29"/>
      <c r="T29" s="21"/>
      <c r="U29" s="22"/>
      <c r="V29" s="23"/>
      <c r="W29" s="12"/>
      <c r="X29" s="24"/>
      <c r="Y29" s="24"/>
      <c r="Z29" s="12"/>
      <c r="AA29" s="13"/>
      <c r="AB29" s="13"/>
      <c r="AC29" s="12"/>
      <c r="AD29" s="13"/>
      <c r="AE29" s="13"/>
      <c r="AF29" s="13"/>
      <c r="AG29" s="12"/>
    </row>
    <row r="30" customFormat="false" ht="51.75" hidden="false" customHeight="true" outlineLevel="0" collapsed="false">
      <c r="A30" s="30" t="n">
        <v>213.21</v>
      </c>
      <c r="B30" s="9" t="n">
        <f aca="false">IF(ISNUMBER(A30),
IF(AND(A30=INT(A30), MOD(A30, 10) = 0), 0,
IF(AND(A30=INT(A30), LEN(A30)=2), 1,
IF(AND(A30=INT(A30), LEN(A30)=3), 2,
LEN(A30) - FIND(".", A30) + 2)
)
),
"")</f>
        <v>4</v>
      </c>
      <c r="C30" s="15" t="s">
        <v>121</v>
      </c>
      <c r="D30" s="10" t="str">
        <f aca="false">REPT("   ", B30*2) &amp; C30</f>
        <v>                        Control Building Slab Roof</v>
      </c>
      <c r="E30" s="10" t="s">
        <v>35</v>
      </c>
      <c r="F30" s="10"/>
      <c r="G30" s="10"/>
      <c r="H30" s="10"/>
      <c r="I30" s="10"/>
      <c r="J30" s="16"/>
      <c r="K30" s="17" t="n">
        <f aca="false">1200</f>
        <v>1200</v>
      </c>
      <c r="L30" s="18" t="s">
        <v>80</v>
      </c>
      <c r="M30" s="21" t="s">
        <v>122</v>
      </c>
      <c r="N30" s="19"/>
      <c r="O30" s="18" t="s">
        <v>82</v>
      </c>
      <c r="P30" s="19"/>
      <c r="Q30" s="20" t="n">
        <v>2024</v>
      </c>
      <c r="R30" s="18" t="s">
        <v>96</v>
      </c>
      <c r="S30" s="21" t="s">
        <v>115</v>
      </c>
      <c r="T30" s="21" t="s">
        <v>75</v>
      </c>
      <c r="U30" s="32" t="s">
        <v>76</v>
      </c>
      <c r="V30" s="23"/>
      <c r="W30" s="12" t="s">
        <v>77</v>
      </c>
      <c r="X30" s="24" t="n">
        <f aca="false">0.9*$J30</f>
        <v>0</v>
      </c>
      <c r="Y30" s="24" t="n">
        <f aca="false">1.5*J30</f>
        <v>0</v>
      </c>
      <c r="Z30" s="12" t="s">
        <v>44</v>
      </c>
      <c r="AA30" s="13" t="n">
        <f aca="false">0.9*K30</f>
        <v>1080</v>
      </c>
      <c r="AB30" s="13" t="n">
        <f aca="false">1.3*K30</f>
        <v>1560</v>
      </c>
      <c r="AC30" s="12" t="s">
        <v>44</v>
      </c>
      <c r="AD30" s="13" t="s">
        <v>45</v>
      </c>
      <c r="AE30" s="13" t="s">
        <v>46</v>
      </c>
      <c r="AF30" s="13" t="s">
        <v>47</v>
      </c>
      <c r="AG30" s="12" t="s">
        <v>48</v>
      </c>
    </row>
    <row r="31" customFormat="false" ht="51.75" hidden="false" customHeight="true" outlineLevel="0" collapsed="false">
      <c r="A31" s="30" t="n">
        <v>213.22</v>
      </c>
      <c r="B31" s="9" t="n">
        <f aca="false">IF(ISNUMBER(A31),
IF(AND(A31=INT(A31), MOD(A31, 10) = 0), 0,
IF(AND(A31=INT(A31), LEN(A31)=2), 1,
IF(AND(A31=INT(A31), LEN(A31)=3), 2,
LEN(A31) - FIND(".", A31) + 2)
)
),
"")</f>
        <v>4</v>
      </c>
      <c r="C31" s="15" t="s">
        <v>123</v>
      </c>
      <c r="D31" s="10" t="str">
        <f aca="false">REPT("   ", B31*2) &amp; C31</f>
        <v>                        Control Building Basement</v>
      </c>
      <c r="E31" s="10" t="s">
        <v>35</v>
      </c>
      <c r="F31" s="10"/>
      <c r="G31" s="10"/>
      <c r="H31" s="10"/>
      <c r="I31" s="10"/>
      <c r="J31" s="16"/>
      <c r="K31" s="17" t="n">
        <f aca="false">943.9</f>
        <v>943.9</v>
      </c>
      <c r="L31" s="18" t="s">
        <v>80</v>
      </c>
      <c r="M31" s="21" t="s">
        <v>124</v>
      </c>
      <c r="N31" s="19"/>
      <c r="O31" s="18" t="s">
        <v>82</v>
      </c>
      <c r="P31" s="19"/>
      <c r="Q31" s="20" t="n">
        <v>2024</v>
      </c>
      <c r="R31" s="18" t="s">
        <v>96</v>
      </c>
      <c r="S31" s="21"/>
      <c r="T31" s="21"/>
      <c r="U31" s="21"/>
      <c r="V31" s="23"/>
      <c r="W31" s="12" t="s">
        <v>77</v>
      </c>
      <c r="X31" s="24" t="n">
        <f aca="false">0.9*$J31</f>
        <v>0</v>
      </c>
      <c r="Y31" s="24" t="n">
        <f aca="false">1.5*J31</f>
        <v>0</v>
      </c>
      <c r="Z31" s="12" t="s">
        <v>44</v>
      </c>
      <c r="AA31" s="13" t="n">
        <f aca="false">0.9*K31</f>
        <v>849.51</v>
      </c>
      <c r="AB31" s="13" t="n">
        <f aca="false">1.3*K31</f>
        <v>1227.07</v>
      </c>
      <c r="AC31" s="12" t="s">
        <v>44</v>
      </c>
      <c r="AD31" s="13" t="s">
        <v>45</v>
      </c>
      <c r="AE31" s="13" t="s">
        <v>46</v>
      </c>
      <c r="AF31" s="13" t="s">
        <v>47</v>
      </c>
      <c r="AG31" s="12" t="s">
        <v>48</v>
      </c>
    </row>
    <row r="32" customFormat="false" ht="75.75" hidden="false" customHeight="true" outlineLevel="0" collapsed="false">
      <c r="A32" s="30" t="n">
        <v>213.23</v>
      </c>
      <c r="B32" s="9" t="n">
        <f aca="false">IF(ISNUMBER(A32),
IF(AND(A32=INT(A32), MOD(A32, 10) = 0), 0,
IF(AND(A32=INT(A32), LEN(A32)=2), 1,
IF(AND(A32=INT(A32), LEN(A32)=3), 2,
LEN(A32) - FIND(".", A32) + 2)
)
),
"")</f>
        <v>4</v>
      </c>
      <c r="C32" s="15" t="s">
        <v>125</v>
      </c>
      <c r="D32" s="10" t="str">
        <f aca="false">REPT("   ", B32*2) &amp; C32</f>
        <v>                        Control Building Walls</v>
      </c>
      <c r="E32" s="10" t="s">
        <v>35</v>
      </c>
      <c r="F32" s="10"/>
      <c r="G32" s="10"/>
      <c r="H32" s="10"/>
      <c r="I32" s="10"/>
      <c r="J32" s="16"/>
      <c r="K32" s="17" t="n">
        <f aca="false">721.21</f>
        <v>721.21</v>
      </c>
      <c r="L32" s="18" t="s">
        <v>80</v>
      </c>
      <c r="M32" s="21" t="s">
        <v>126</v>
      </c>
      <c r="N32" s="19"/>
      <c r="O32" s="18" t="s">
        <v>82</v>
      </c>
      <c r="P32" s="19"/>
      <c r="Q32" s="20" t="n">
        <v>2024</v>
      </c>
      <c r="R32" s="18" t="s">
        <v>96</v>
      </c>
      <c r="S32" s="21"/>
      <c r="T32" s="21"/>
      <c r="U32" s="21"/>
      <c r="V32" s="23"/>
      <c r="W32" s="12" t="s">
        <v>77</v>
      </c>
      <c r="X32" s="24" t="n">
        <f aca="false">0.9*$J32</f>
        <v>0</v>
      </c>
      <c r="Y32" s="24" t="n">
        <f aca="false">1.5*J32</f>
        <v>0</v>
      </c>
      <c r="Z32" s="12" t="s">
        <v>44</v>
      </c>
      <c r="AA32" s="13" t="n">
        <f aca="false">0.9*K32</f>
        <v>649.089</v>
      </c>
      <c r="AB32" s="13" t="n">
        <f aca="false">1.3*K32</f>
        <v>937.573</v>
      </c>
      <c r="AC32" s="12" t="s">
        <v>44</v>
      </c>
      <c r="AD32" s="13" t="s">
        <v>45</v>
      </c>
      <c r="AE32" s="13" t="s">
        <v>46</v>
      </c>
      <c r="AF32" s="13" t="s">
        <v>47</v>
      </c>
      <c r="AG32" s="12" t="s">
        <v>48</v>
      </c>
    </row>
    <row r="33" customFormat="false" ht="26.25" hidden="false" customHeight="true" outlineLevel="0" collapsed="false">
      <c r="A33" s="30" t="n">
        <v>213.3</v>
      </c>
      <c r="B33" s="9" t="n">
        <f aca="false">IF(ISNUMBER(A33),
IF(AND(A33=INT(A33), MOD(A33, 10) = 0), 0,
IF(AND(A33=INT(A33), LEN(A33)=2), 1,
IF(AND(A33=INT(A33), LEN(A33)=3), 2,
LEN(A33) - FIND(".", A33) + 2)
)
),
"")</f>
        <v>3</v>
      </c>
      <c r="C33" s="15" t="s">
        <v>127</v>
      </c>
      <c r="D33" s="10" t="str">
        <f aca="false">REPT("   ", B33*2) &amp; C33</f>
        <v>                  Integrated Heat Exchanger Building</v>
      </c>
      <c r="E33" s="10"/>
      <c r="F33" s="10" t="s">
        <v>128</v>
      </c>
      <c r="G33" s="10" t="s">
        <v>129</v>
      </c>
      <c r="H33" s="10"/>
      <c r="I33" s="10"/>
      <c r="J33" s="16"/>
      <c r="K33" s="17"/>
      <c r="L33" s="18"/>
      <c r="M33" s="21"/>
      <c r="N33" s="19"/>
      <c r="O33" s="18"/>
      <c r="P33" s="19"/>
      <c r="Q33" s="20"/>
      <c r="R33" s="18"/>
      <c r="S33" s="21"/>
      <c r="T33" s="21"/>
      <c r="U33" s="22"/>
      <c r="V33" s="23"/>
      <c r="W33" s="12"/>
      <c r="X33" s="24"/>
      <c r="Y33" s="24"/>
      <c r="Z33" s="12"/>
      <c r="AA33" s="13"/>
      <c r="AB33" s="13"/>
      <c r="AC33" s="12"/>
      <c r="AD33" s="13"/>
      <c r="AE33" s="13"/>
      <c r="AF33" s="13"/>
      <c r="AG33" s="12"/>
    </row>
    <row r="34" customFormat="false" ht="75.75" hidden="false" customHeight="true" outlineLevel="0" collapsed="false">
      <c r="A34" s="30" t="n">
        <v>213.31</v>
      </c>
      <c r="B34" s="9" t="n">
        <f aca="false">IF(ISNUMBER(A34),
IF(AND(A34=INT(A34), MOD(A34, 10) = 0), 0,
IF(AND(A34=INT(A34), LEN(A34)=2), 1,
IF(AND(A34=INT(A34), LEN(A34)=3), 2,
LEN(A34) - FIND(".", A34) + 2)
)
),
"")</f>
        <v>4</v>
      </c>
      <c r="C34" s="15" t="s">
        <v>130</v>
      </c>
      <c r="D34" s="10" t="str">
        <f aca="false">REPT("   ", B34*2) &amp; C34</f>
        <v>                        Integrated Heat Exchanger Building Slab Roof</v>
      </c>
      <c r="E34" s="10" t="s">
        <v>35</v>
      </c>
      <c r="F34" s="10" t="s">
        <v>128</v>
      </c>
      <c r="G34" s="10" t="s">
        <v>129</v>
      </c>
      <c r="H34" s="10"/>
      <c r="I34" s="10"/>
      <c r="J34" s="16"/>
      <c r="K34" s="17" t="n">
        <f aca="false">1200</f>
        <v>1200</v>
      </c>
      <c r="L34" s="18" t="s">
        <v>80</v>
      </c>
      <c r="M34" s="21" t="s">
        <v>131</v>
      </c>
      <c r="N34" s="19"/>
      <c r="O34" s="18" t="s">
        <v>82</v>
      </c>
      <c r="P34" s="19"/>
      <c r="Q34" s="20" t="n">
        <v>2024</v>
      </c>
      <c r="R34" s="18" t="s">
        <v>96</v>
      </c>
      <c r="S34" s="21" t="s">
        <v>115</v>
      </c>
      <c r="T34" s="21" t="s">
        <v>75</v>
      </c>
      <c r="U34" s="32" t="s">
        <v>76</v>
      </c>
      <c r="V34" s="23"/>
      <c r="W34" s="12" t="s">
        <v>77</v>
      </c>
      <c r="X34" s="24" t="n">
        <f aca="false">0.9*$J34</f>
        <v>0</v>
      </c>
      <c r="Y34" s="24" t="n">
        <f aca="false">1.5*J34</f>
        <v>0</v>
      </c>
      <c r="Z34" s="12" t="s">
        <v>44</v>
      </c>
      <c r="AA34" s="13" t="n">
        <f aca="false">0.9*K34</f>
        <v>1080</v>
      </c>
      <c r="AB34" s="13" t="n">
        <f aca="false">1.3*K34</f>
        <v>1560</v>
      </c>
      <c r="AC34" s="12" t="s">
        <v>44</v>
      </c>
      <c r="AD34" s="13" t="s">
        <v>45</v>
      </c>
      <c r="AE34" s="13" t="s">
        <v>46</v>
      </c>
      <c r="AF34" s="13" t="s">
        <v>47</v>
      </c>
      <c r="AG34" s="12" t="s">
        <v>48</v>
      </c>
    </row>
    <row r="35" customFormat="false" ht="75.75" hidden="false" customHeight="true" outlineLevel="0" collapsed="false">
      <c r="A35" s="30" t="n">
        <v>213.32</v>
      </c>
      <c r="B35" s="9" t="n">
        <f aca="false">IF(ISNUMBER(A35),
IF(AND(A35=INT(A35), MOD(A35, 10) = 0), 0,
IF(AND(A35=INT(A35), LEN(A35)=2), 1,
IF(AND(A35=INT(A35), LEN(A35)=3), 2,
LEN(A35) - FIND(".", A35) + 2)
)
),
"")</f>
        <v>4</v>
      </c>
      <c r="C35" s="15" t="s">
        <v>132</v>
      </c>
      <c r="D35" s="10" t="str">
        <f aca="false">REPT("   ", B35*2) &amp; C35</f>
        <v>                        Integrated Heat Exchanger Building Basement</v>
      </c>
      <c r="E35" s="10" t="s">
        <v>35</v>
      </c>
      <c r="F35" s="10" t="s">
        <v>128</v>
      </c>
      <c r="G35" s="10" t="s">
        <v>129</v>
      </c>
      <c r="H35" s="10"/>
      <c r="I35" s="10"/>
      <c r="J35" s="16"/>
      <c r="K35" s="17" t="n">
        <f aca="false">943.9</f>
        <v>943.9</v>
      </c>
      <c r="L35" s="18" t="s">
        <v>80</v>
      </c>
      <c r="M35" s="21" t="s">
        <v>133</v>
      </c>
      <c r="N35" s="19"/>
      <c r="O35" s="18" t="s">
        <v>82</v>
      </c>
      <c r="P35" s="19"/>
      <c r="Q35" s="20" t="n">
        <v>2024</v>
      </c>
      <c r="R35" s="18" t="s">
        <v>96</v>
      </c>
      <c r="S35" s="21"/>
      <c r="T35" s="21"/>
      <c r="U35" s="21"/>
      <c r="V35" s="23"/>
      <c r="W35" s="12" t="s">
        <v>77</v>
      </c>
      <c r="X35" s="24" t="n">
        <f aca="false">0.9*$J35</f>
        <v>0</v>
      </c>
      <c r="Y35" s="24" t="n">
        <f aca="false">1.5*J35</f>
        <v>0</v>
      </c>
      <c r="Z35" s="12" t="s">
        <v>44</v>
      </c>
      <c r="AA35" s="13" t="n">
        <f aca="false">0.9*K35</f>
        <v>849.51</v>
      </c>
      <c r="AB35" s="13" t="n">
        <f aca="false">1.3*K35</f>
        <v>1227.07</v>
      </c>
      <c r="AC35" s="12" t="s">
        <v>44</v>
      </c>
      <c r="AD35" s="13" t="s">
        <v>45</v>
      </c>
      <c r="AE35" s="13" t="s">
        <v>46</v>
      </c>
      <c r="AF35" s="13" t="s">
        <v>47</v>
      </c>
      <c r="AG35" s="12" t="s">
        <v>48</v>
      </c>
    </row>
    <row r="36" customFormat="false" ht="101.25" hidden="false" customHeight="true" outlineLevel="0" collapsed="false">
      <c r="A36" s="30" t="n">
        <v>213.33</v>
      </c>
      <c r="B36" s="9" t="n">
        <f aca="false">IF(ISNUMBER(A36),
IF(AND(A36=INT(A36), MOD(A36, 10) = 0), 0,
IF(AND(A36=INT(A36), LEN(A36)=2), 1,
IF(AND(A36=INT(A36), LEN(A36)=3), 2,
LEN(A36) - FIND(".", A36) + 2)
)
),
"")</f>
        <v>4</v>
      </c>
      <c r="C36" s="15" t="s">
        <v>134</v>
      </c>
      <c r="D36" s="10" t="str">
        <f aca="false">REPT("   ", B36*2) &amp; C36</f>
        <v>                        Integrated Heat Exchanger Building Walls</v>
      </c>
      <c r="E36" s="10" t="s">
        <v>35</v>
      </c>
      <c r="F36" s="10" t="s">
        <v>128</v>
      </c>
      <c r="G36" s="10" t="s">
        <v>129</v>
      </c>
      <c r="H36" s="10"/>
      <c r="I36" s="10"/>
      <c r="J36" s="16"/>
      <c r="K36" s="17" t="n">
        <f aca="false">721.21</f>
        <v>721.21</v>
      </c>
      <c r="L36" s="18" t="s">
        <v>80</v>
      </c>
      <c r="M36" s="21" t="s">
        <v>135</v>
      </c>
      <c r="N36" s="19"/>
      <c r="O36" s="18" t="s">
        <v>82</v>
      </c>
      <c r="P36" s="19"/>
      <c r="Q36" s="20" t="n">
        <v>2024</v>
      </c>
      <c r="R36" s="18" t="s">
        <v>96</v>
      </c>
      <c r="S36" s="21"/>
      <c r="T36" s="21"/>
      <c r="U36" s="21"/>
      <c r="V36" s="23"/>
      <c r="W36" s="12" t="s">
        <v>77</v>
      </c>
      <c r="X36" s="24" t="n">
        <f aca="false">0.9*$J36</f>
        <v>0</v>
      </c>
      <c r="Y36" s="24" t="n">
        <f aca="false">1.5*J36</f>
        <v>0</v>
      </c>
      <c r="Z36" s="12" t="s">
        <v>44</v>
      </c>
      <c r="AA36" s="13" t="n">
        <f aca="false">0.9*K36</f>
        <v>649.089</v>
      </c>
      <c r="AB36" s="13" t="n">
        <f aca="false">1.3*K36</f>
        <v>937.573</v>
      </c>
      <c r="AC36" s="12" t="s">
        <v>44</v>
      </c>
      <c r="AD36" s="13" t="s">
        <v>45</v>
      </c>
      <c r="AE36" s="13" t="s">
        <v>46</v>
      </c>
      <c r="AF36" s="13" t="s">
        <v>47</v>
      </c>
      <c r="AG36" s="12" t="s">
        <v>48</v>
      </c>
    </row>
    <row r="37" customFormat="false" ht="101.25" hidden="false" customHeight="true" outlineLevel="0" collapsed="false">
      <c r="A37" s="30" t="n">
        <v>213.34</v>
      </c>
      <c r="B37" s="9" t="n">
        <f aca="false">IF(ISNUMBER(A37),
IF(AND(A37=INT(A37), MOD(A37, 10) = 0), 0,
IF(AND(A37=INT(A37), LEN(A37)=2), 1,
IF(AND(A37=INT(A37), LEN(A37)=3), 2,
LEN(A37) - FIND(".", A37) + 2)
)
),
"")</f>
        <v>4</v>
      </c>
      <c r="C37" s="15" t="s">
        <v>136</v>
      </c>
      <c r="D37" s="10" t="str">
        <f aca="false">REPT("   ", B37*2) &amp; C37</f>
        <v>                        Integrated Heat Exchanger Building Liner</v>
      </c>
      <c r="E37" s="10" t="s">
        <v>35</v>
      </c>
      <c r="F37" s="10" t="s">
        <v>128</v>
      </c>
      <c r="G37" s="10" t="s">
        <v>129</v>
      </c>
      <c r="H37" s="10"/>
      <c r="I37" s="10"/>
      <c r="J37" s="16"/>
      <c r="K37" s="17" t="n">
        <f aca="false">60848829/9373</f>
        <v>6491.9267043636</v>
      </c>
      <c r="L37" s="18" t="s">
        <v>102</v>
      </c>
      <c r="M37" s="21" t="s">
        <v>137</v>
      </c>
      <c r="N37" s="19" t="n">
        <v>9373</v>
      </c>
      <c r="O37" s="18" t="s">
        <v>104</v>
      </c>
      <c r="P37" s="19" t="n">
        <v>1</v>
      </c>
      <c r="Q37" s="20" t="n">
        <v>2018</v>
      </c>
      <c r="R37" s="18" t="s">
        <v>96</v>
      </c>
      <c r="S37" s="21" t="s">
        <v>105</v>
      </c>
      <c r="T37" s="21" t="s">
        <v>105</v>
      </c>
      <c r="U37" s="35" t="s">
        <v>106</v>
      </c>
      <c r="V37" s="23"/>
      <c r="W37" s="12" t="s">
        <v>77</v>
      </c>
      <c r="X37" s="24" t="n">
        <f aca="false">0.9*$J37</f>
        <v>0</v>
      </c>
      <c r="Y37" s="24" t="n">
        <f aca="false">1.5*J37</f>
        <v>0</v>
      </c>
      <c r="Z37" s="12" t="s">
        <v>44</v>
      </c>
      <c r="AA37" s="13" t="n">
        <f aca="false">0.9*K37</f>
        <v>5842.73403392724</v>
      </c>
      <c r="AB37" s="13" t="n">
        <f aca="false">1.3*K37</f>
        <v>8439.50471567268</v>
      </c>
      <c r="AC37" s="12" t="s">
        <v>44</v>
      </c>
      <c r="AD37" s="13" t="s">
        <v>45</v>
      </c>
      <c r="AE37" s="13" t="s">
        <v>46</v>
      </c>
      <c r="AF37" s="13" t="s">
        <v>47</v>
      </c>
      <c r="AG37" s="12" t="s">
        <v>48</v>
      </c>
    </row>
    <row r="38" customFormat="false" ht="26.25" hidden="false" customHeight="true" outlineLevel="0" collapsed="false">
      <c r="A38" s="30" t="n">
        <v>214</v>
      </c>
      <c r="B38" s="9" t="n">
        <f aca="false">IF(ISNUMBER(A38),
IF(AND(A38=INT(A38), MOD(A38, 10) = 0), 0,
IF(AND(A38=INT(A38), LEN(A38)=2), 1,
IF(AND(A38=INT(A38), LEN(A38)=3), 2,
LEN(A38) - FIND(".", A38) + 2)
)
),
"")</f>
        <v>2</v>
      </c>
      <c r="C38" s="15" t="s">
        <v>138</v>
      </c>
      <c r="D38" s="10" t="str">
        <f aca="false">REPT("   ", B38*2) &amp; C38</f>
        <v>            Buildings to Support Main Function </v>
      </c>
      <c r="E38" s="10"/>
      <c r="F38" s="10"/>
      <c r="G38" s="10"/>
      <c r="H38" s="10"/>
      <c r="I38" s="10"/>
      <c r="J38" s="16"/>
      <c r="K38" s="17"/>
      <c r="L38" s="19"/>
      <c r="M38" s="29"/>
      <c r="N38" s="19"/>
      <c r="O38" s="19"/>
      <c r="P38" s="19"/>
      <c r="Q38" s="16"/>
      <c r="R38" s="19"/>
      <c r="S38" s="29"/>
      <c r="T38" s="18"/>
      <c r="U38" s="23"/>
      <c r="V38" s="23"/>
      <c r="W38" s="12"/>
      <c r="X38" s="24"/>
      <c r="Y38" s="24"/>
      <c r="Z38" s="12"/>
      <c r="AA38" s="13"/>
      <c r="AB38" s="13"/>
      <c r="AC38" s="12"/>
      <c r="AD38" s="13"/>
      <c r="AE38" s="13"/>
      <c r="AF38" s="13"/>
      <c r="AG38" s="12"/>
    </row>
    <row r="39" customFormat="false" ht="26.25" hidden="false" customHeight="true" outlineLevel="0" collapsed="false">
      <c r="A39" s="30" t="n">
        <v>214.1</v>
      </c>
      <c r="B39" s="9" t="n">
        <f aca="false">IF(ISNUMBER(A39),
IF(AND(A39=INT(A39), MOD(A39, 10) = 0), 0,
IF(AND(A39=INT(A39), LEN(A39)=2), 1,
IF(AND(A39=INT(A39), LEN(A39)=3), 2,
LEN(A39) - FIND(".", A39) + 2)
)
),
"")</f>
        <v>3</v>
      </c>
      <c r="C39" s="15" t="s">
        <v>139</v>
      </c>
      <c r="D39" s="10" t="str">
        <f aca="false">REPT("   ", B39*2) &amp; C39</f>
        <v>                  Fuel Management Buildings</v>
      </c>
      <c r="E39" s="10"/>
      <c r="F39" s="10"/>
      <c r="G39" s="10"/>
      <c r="H39" s="10"/>
      <c r="I39" s="10"/>
      <c r="J39" s="16"/>
      <c r="K39" s="17"/>
      <c r="L39" s="19"/>
      <c r="M39" s="29"/>
      <c r="N39" s="19"/>
      <c r="O39" s="19"/>
      <c r="P39" s="19"/>
      <c r="Q39" s="16"/>
      <c r="R39" s="19"/>
      <c r="S39" s="29"/>
      <c r="T39" s="18"/>
      <c r="U39" s="23"/>
      <c r="V39" s="23"/>
      <c r="W39" s="12"/>
      <c r="X39" s="24"/>
      <c r="Y39" s="24"/>
      <c r="Z39" s="12"/>
      <c r="AA39" s="13"/>
      <c r="AB39" s="13"/>
      <c r="AC39" s="12"/>
      <c r="AD39" s="13"/>
      <c r="AE39" s="13"/>
      <c r="AF39" s="13"/>
      <c r="AG39" s="12"/>
    </row>
    <row r="40" customFormat="false" ht="26.25" hidden="false" customHeight="true" outlineLevel="0" collapsed="false">
      <c r="A40" s="30" t="n">
        <v>214.11</v>
      </c>
      <c r="B40" s="9" t="n">
        <f aca="false">IF(ISNUMBER(A40),
IF(AND(A40=INT(A40), MOD(A40, 10) = 0), 0,
IF(AND(A40=INT(A40), LEN(A40)=2), 1,
IF(AND(A40=INT(A40), LEN(A40)=3), 2,
LEN(A40) - FIND(".", A40) + 2)
)
),
"")</f>
        <v>4</v>
      </c>
      <c r="C40" s="15" t="s">
        <v>140</v>
      </c>
      <c r="D40" s="10" t="str">
        <f aca="false">REPT("   ", B40*2) &amp; C40</f>
        <v>                        Refueling Building</v>
      </c>
      <c r="E40" s="10"/>
      <c r="F40" s="10"/>
      <c r="G40" s="10"/>
      <c r="H40" s="10"/>
      <c r="I40" s="10"/>
      <c r="J40" s="16"/>
      <c r="K40" s="17"/>
      <c r="L40" s="19"/>
      <c r="M40" s="29"/>
      <c r="N40" s="19"/>
      <c r="O40" s="19"/>
      <c r="P40" s="19"/>
      <c r="Q40" s="16"/>
      <c r="R40" s="19"/>
      <c r="S40" s="29"/>
      <c r="T40" s="18"/>
      <c r="U40" s="23"/>
      <c r="V40" s="23"/>
      <c r="W40" s="12"/>
      <c r="X40" s="24"/>
      <c r="Y40" s="24"/>
      <c r="Z40" s="12"/>
      <c r="AA40" s="13"/>
      <c r="AB40" s="13"/>
      <c r="AC40" s="12"/>
      <c r="AD40" s="13"/>
      <c r="AE40" s="13"/>
      <c r="AF40" s="13"/>
      <c r="AG40" s="12"/>
    </row>
    <row r="41" s="36" customFormat="true" ht="49.5" hidden="false" customHeight="true" outlineLevel="0" collapsed="false">
      <c r="A41" s="30" t="n">
        <v>214.111</v>
      </c>
      <c r="B41" s="9" t="n">
        <f aca="false">IF(ISNUMBER(A41),
IF(AND(A41=INT(A41), MOD(A41, 10) = 0), 0,
IF(AND(A41=INT(A41), LEN(A41)=2), 1,
IF(AND(A41=INT(A41), LEN(A41)=3), 2,
LEN(A41) - FIND(".", A41) + 2)
)
),
"")</f>
        <v>5</v>
      </c>
      <c r="C41" s="15" t="s">
        <v>141</v>
      </c>
      <c r="D41" s="10" t="str">
        <f aca="false">REPT("   ", B41*2) &amp; C41</f>
        <v>                              Refueling Building Slab Roof</v>
      </c>
      <c r="E41" s="10" t="s">
        <v>35</v>
      </c>
      <c r="F41" s="10"/>
      <c r="G41" s="10"/>
      <c r="H41" s="10"/>
      <c r="I41" s="10"/>
      <c r="J41" s="16"/>
      <c r="K41" s="17" t="n">
        <f aca="false">1200 *1.53</f>
        <v>1836</v>
      </c>
      <c r="L41" s="18" t="s">
        <v>80</v>
      </c>
      <c r="M41" s="21" t="s">
        <v>142</v>
      </c>
      <c r="N41" s="19"/>
      <c r="O41" s="18" t="s">
        <v>82</v>
      </c>
      <c r="P41" s="19"/>
      <c r="Q41" s="20" t="n">
        <v>2024</v>
      </c>
      <c r="R41" s="18" t="s">
        <v>96</v>
      </c>
      <c r="S41" s="21" t="s">
        <v>74</v>
      </c>
      <c r="T41" s="21" t="s">
        <v>75</v>
      </c>
      <c r="U41" s="32" t="s">
        <v>76</v>
      </c>
      <c r="V41" s="23"/>
      <c r="W41" s="12" t="s">
        <v>77</v>
      </c>
      <c r="X41" s="24" t="n">
        <f aca="false">0.9*$J41</f>
        <v>0</v>
      </c>
      <c r="Y41" s="24" t="n">
        <f aca="false">1.5*J41</f>
        <v>0</v>
      </c>
      <c r="Z41" s="12"/>
      <c r="AA41" s="13" t="n">
        <f aca="false">0.9*K41</f>
        <v>1652.4</v>
      </c>
      <c r="AB41" s="13" t="n">
        <f aca="false">1.3*K41</f>
        <v>2386.8</v>
      </c>
      <c r="AC41" s="12" t="s">
        <v>44</v>
      </c>
      <c r="AD41" s="13" t="s">
        <v>45</v>
      </c>
      <c r="AE41" s="13" t="s">
        <v>46</v>
      </c>
      <c r="AF41" s="13" t="s">
        <v>47</v>
      </c>
      <c r="AG41" s="12" t="s">
        <v>48</v>
      </c>
    </row>
    <row r="42" s="36" customFormat="true" ht="49.5" hidden="false" customHeight="true" outlineLevel="0" collapsed="false">
      <c r="A42" s="30" t="n">
        <v>214.112</v>
      </c>
      <c r="B42" s="9" t="n">
        <f aca="false">IF(ISNUMBER(A42),
IF(AND(A42=INT(A42), MOD(A42, 10) = 0), 0,
IF(AND(A42=INT(A42), LEN(A42)=2), 1,
IF(AND(A42=INT(A42), LEN(A42)=3), 2,
LEN(A42) - FIND(".", A42) + 2)
)
),
"")</f>
        <v>5</v>
      </c>
      <c r="C42" s="15" t="s">
        <v>143</v>
      </c>
      <c r="D42" s="10" t="str">
        <f aca="false">REPT("   ", B42*2) &amp; C42</f>
        <v>                              Refueling Building Basement</v>
      </c>
      <c r="E42" s="10" t="s">
        <v>35</v>
      </c>
      <c r="F42" s="10"/>
      <c r="G42" s="10"/>
      <c r="H42" s="10"/>
      <c r="I42" s="10"/>
      <c r="J42" s="16"/>
      <c r="K42" s="17" t="n">
        <f aca="false">943.9*1.53</f>
        <v>1444.167</v>
      </c>
      <c r="L42" s="18" t="s">
        <v>80</v>
      </c>
      <c r="M42" s="21" t="s">
        <v>144</v>
      </c>
      <c r="N42" s="19"/>
      <c r="O42" s="18" t="s">
        <v>82</v>
      </c>
      <c r="P42" s="19"/>
      <c r="Q42" s="20" t="n">
        <v>2024</v>
      </c>
      <c r="R42" s="18" t="s">
        <v>96</v>
      </c>
      <c r="S42" s="21"/>
      <c r="T42" s="21"/>
      <c r="U42" s="21"/>
      <c r="V42" s="23"/>
      <c r="W42" s="12" t="s">
        <v>77</v>
      </c>
      <c r="X42" s="24" t="n">
        <f aca="false">0.9*$J42</f>
        <v>0</v>
      </c>
      <c r="Y42" s="24" t="n">
        <f aca="false">1.5*J42</f>
        <v>0</v>
      </c>
      <c r="Z42" s="12" t="s">
        <v>44</v>
      </c>
      <c r="AA42" s="13" t="n">
        <f aca="false">0.9*K42</f>
        <v>1299.7503</v>
      </c>
      <c r="AB42" s="13" t="n">
        <f aca="false">1.3*K42</f>
        <v>1877.4171</v>
      </c>
      <c r="AC42" s="12" t="s">
        <v>44</v>
      </c>
      <c r="AD42" s="13" t="s">
        <v>45</v>
      </c>
      <c r="AE42" s="13" t="s">
        <v>46</v>
      </c>
      <c r="AF42" s="13" t="s">
        <v>47</v>
      </c>
      <c r="AG42" s="12" t="s">
        <v>48</v>
      </c>
    </row>
    <row r="43" s="36" customFormat="true" ht="74.25" hidden="false" customHeight="true" outlineLevel="0" collapsed="false">
      <c r="A43" s="30" t="n">
        <v>214.113</v>
      </c>
      <c r="B43" s="9" t="n">
        <f aca="false">IF(ISNUMBER(A43),
IF(AND(A43=INT(A43), MOD(A43, 10) = 0), 0,
IF(AND(A43=INT(A43), LEN(A43)=2), 1,
IF(AND(A43=INT(A43), LEN(A43)=3), 2,
LEN(A43) - FIND(".", A43) + 2)
)
),
"")</f>
        <v>5</v>
      </c>
      <c r="C43" s="15" t="s">
        <v>145</v>
      </c>
      <c r="D43" s="10" t="str">
        <f aca="false">REPT("   ", B43*2) &amp; C43</f>
        <v>                              Refueling Building Walls</v>
      </c>
      <c r="E43" s="10" t="s">
        <v>35</v>
      </c>
      <c r="F43" s="10"/>
      <c r="G43" s="10"/>
      <c r="H43" s="10"/>
      <c r="I43" s="10"/>
      <c r="J43" s="16"/>
      <c r="K43" s="17" t="n">
        <f aca="false">721.21*1.53</f>
        <v>1103.4513</v>
      </c>
      <c r="L43" s="18" t="s">
        <v>80</v>
      </c>
      <c r="M43" s="21" t="s">
        <v>146</v>
      </c>
      <c r="N43" s="19"/>
      <c r="O43" s="18" t="s">
        <v>82</v>
      </c>
      <c r="P43" s="19"/>
      <c r="Q43" s="20" t="n">
        <v>2024</v>
      </c>
      <c r="R43" s="18" t="s">
        <v>96</v>
      </c>
      <c r="S43" s="21"/>
      <c r="T43" s="21"/>
      <c r="U43" s="21"/>
      <c r="V43" s="23"/>
      <c r="W43" s="12" t="s">
        <v>77</v>
      </c>
      <c r="X43" s="24" t="n">
        <f aca="false">0.9*$J43</f>
        <v>0</v>
      </c>
      <c r="Y43" s="24" t="n">
        <f aca="false">1.5*J43</f>
        <v>0</v>
      </c>
      <c r="Z43" s="12" t="s">
        <v>44</v>
      </c>
      <c r="AA43" s="13" t="n">
        <f aca="false">0.9*K43</f>
        <v>993.10617</v>
      </c>
      <c r="AB43" s="13" t="n">
        <f aca="false">1.3*K43</f>
        <v>1434.48669</v>
      </c>
      <c r="AC43" s="12" t="s">
        <v>44</v>
      </c>
      <c r="AD43" s="13" t="s">
        <v>45</v>
      </c>
      <c r="AE43" s="13" t="s">
        <v>46</v>
      </c>
      <c r="AF43" s="13" t="s">
        <v>47</v>
      </c>
      <c r="AG43" s="12" t="s">
        <v>48</v>
      </c>
    </row>
    <row r="44" customFormat="false" ht="26.25" hidden="false" customHeight="true" outlineLevel="0" collapsed="false">
      <c r="A44" s="30" t="n">
        <v>214.12</v>
      </c>
      <c r="B44" s="9" t="n">
        <f aca="false">IF(ISNUMBER(A44),
IF(AND(A44=INT(A44), MOD(A44, 10) = 0), 0,
IF(AND(A44=INT(A44), LEN(A44)=2), 1,
IF(AND(A44=INT(A44), LEN(A44)=3), 2,
LEN(A44) - FIND(".", A44) + 2)
)
),
"")</f>
        <v>4</v>
      </c>
      <c r="C44" s="15" t="s">
        <v>147</v>
      </c>
      <c r="D44" s="10" t="str">
        <f aca="false">REPT("   ", B44*2) &amp; C44</f>
        <v>                        Spent Fuel Building</v>
      </c>
      <c r="E44" s="10"/>
      <c r="F44" s="10"/>
      <c r="G44" s="10"/>
      <c r="H44" s="10"/>
      <c r="I44" s="10"/>
      <c r="J44" s="16"/>
      <c r="K44" s="17"/>
      <c r="L44" s="19"/>
      <c r="M44" s="29"/>
      <c r="N44" s="19"/>
      <c r="O44" s="19"/>
      <c r="P44" s="19"/>
      <c r="Q44" s="16"/>
      <c r="R44" s="19"/>
      <c r="S44" s="29"/>
      <c r="T44" s="18"/>
      <c r="U44" s="23"/>
      <c r="V44" s="23"/>
      <c r="W44" s="12"/>
      <c r="X44" s="24"/>
      <c r="Y44" s="24"/>
      <c r="Z44" s="12"/>
      <c r="AA44" s="13"/>
      <c r="AB44" s="13"/>
      <c r="AC44" s="12"/>
      <c r="AD44" s="13"/>
      <c r="AE44" s="13"/>
      <c r="AF44" s="13"/>
      <c r="AG44" s="12"/>
    </row>
    <row r="45" s="36" customFormat="true" ht="49.5" hidden="false" customHeight="true" outlineLevel="0" collapsed="false">
      <c r="A45" s="30" t="n">
        <v>214.121</v>
      </c>
      <c r="B45" s="9" t="n">
        <f aca="false">IF(ISNUMBER(A45),
IF(AND(A45=INT(A45), MOD(A45, 10) = 0), 0,
IF(AND(A45=INT(A45), LEN(A45)=2), 1,
IF(AND(A45=INT(A45), LEN(A45)=3), 2,
LEN(A45) - FIND(".", A45) + 2)
)
),
"")</f>
        <v>5</v>
      </c>
      <c r="C45" s="15" t="s">
        <v>148</v>
      </c>
      <c r="D45" s="10" t="str">
        <f aca="false">REPT("   ", B45*2) &amp; C45</f>
        <v>                              Spent Fuel Building Slab Roof</v>
      </c>
      <c r="E45" s="10" t="s">
        <v>35</v>
      </c>
      <c r="F45" s="10"/>
      <c r="G45" s="10"/>
      <c r="H45" s="10"/>
      <c r="I45" s="10"/>
      <c r="J45" s="16"/>
      <c r="K45" s="17" t="n">
        <f aca="false">1200 *1.53</f>
        <v>1836</v>
      </c>
      <c r="L45" s="18" t="s">
        <v>80</v>
      </c>
      <c r="M45" s="21" t="s">
        <v>149</v>
      </c>
      <c r="N45" s="19"/>
      <c r="O45" s="18" t="s">
        <v>82</v>
      </c>
      <c r="P45" s="19"/>
      <c r="Q45" s="20" t="n">
        <v>2024</v>
      </c>
      <c r="R45" s="19" t="s">
        <v>96</v>
      </c>
      <c r="S45" s="21" t="s">
        <v>74</v>
      </c>
      <c r="T45" s="21" t="s">
        <v>75</v>
      </c>
      <c r="U45" s="32" t="s">
        <v>76</v>
      </c>
      <c r="V45" s="23"/>
      <c r="W45" s="12" t="s">
        <v>77</v>
      </c>
      <c r="X45" s="24" t="n">
        <f aca="false">0.9*$J45</f>
        <v>0</v>
      </c>
      <c r="Y45" s="24" t="n">
        <f aca="false">1.5*J45</f>
        <v>0</v>
      </c>
      <c r="Z45" s="12" t="s">
        <v>44</v>
      </c>
      <c r="AA45" s="13" t="n">
        <f aca="false">0.9*K45</f>
        <v>1652.4</v>
      </c>
      <c r="AB45" s="13" t="n">
        <f aca="false">1.3*K45</f>
        <v>2386.8</v>
      </c>
      <c r="AC45" s="12" t="s">
        <v>44</v>
      </c>
      <c r="AD45" s="13" t="s">
        <v>45</v>
      </c>
      <c r="AE45" s="13" t="s">
        <v>46</v>
      </c>
      <c r="AF45" s="13" t="s">
        <v>47</v>
      </c>
      <c r="AG45" s="12" t="s">
        <v>48</v>
      </c>
    </row>
    <row r="46" s="36" customFormat="true" ht="49.5" hidden="false" customHeight="true" outlineLevel="0" collapsed="false">
      <c r="A46" s="30" t="n">
        <v>214.122</v>
      </c>
      <c r="B46" s="9" t="n">
        <f aca="false">IF(ISNUMBER(A46),
IF(AND(A46=INT(A46), MOD(A46, 10) = 0), 0,
IF(AND(A46=INT(A46), LEN(A46)=2), 1,
IF(AND(A46=INT(A46), LEN(A46)=3), 2,
LEN(A46) - FIND(".", A46) + 2)
)
),
"")</f>
        <v>5</v>
      </c>
      <c r="C46" s="15" t="s">
        <v>150</v>
      </c>
      <c r="D46" s="10" t="str">
        <f aca="false">REPT("   ", B46*2) &amp; C46</f>
        <v>                              Spent Fuel Building Basement</v>
      </c>
      <c r="E46" s="10" t="s">
        <v>35</v>
      </c>
      <c r="F46" s="10"/>
      <c r="G46" s="10"/>
      <c r="H46" s="10"/>
      <c r="I46" s="10"/>
      <c r="J46" s="16"/>
      <c r="K46" s="17" t="n">
        <f aca="false">943.9*1.53</f>
        <v>1444.167</v>
      </c>
      <c r="L46" s="18" t="s">
        <v>80</v>
      </c>
      <c r="M46" s="21" t="s">
        <v>151</v>
      </c>
      <c r="N46" s="19"/>
      <c r="O46" s="18" t="s">
        <v>82</v>
      </c>
      <c r="P46" s="19"/>
      <c r="Q46" s="20" t="n">
        <v>2024</v>
      </c>
      <c r="R46" s="19" t="s">
        <v>96</v>
      </c>
      <c r="S46" s="21"/>
      <c r="T46" s="21"/>
      <c r="U46" s="21"/>
      <c r="V46" s="23"/>
      <c r="W46" s="12" t="s">
        <v>77</v>
      </c>
      <c r="X46" s="24" t="n">
        <f aca="false">0.9*$J46</f>
        <v>0</v>
      </c>
      <c r="Y46" s="24" t="n">
        <f aca="false">1.5*J46</f>
        <v>0</v>
      </c>
      <c r="Z46" s="12" t="s">
        <v>44</v>
      </c>
      <c r="AA46" s="13" t="n">
        <f aca="false">0.9*K46</f>
        <v>1299.7503</v>
      </c>
      <c r="AB46" s="13" t="n">
        <f aca="false">1.3*K46</f>
        <v>1877.4171</v>
      </c>
      <c r="AC46" s="12" t="s">
        <v>44</v>
      </c>
      <c r="AD46" s="13" t="s">
        <v>45</v>
      </c>
      <c r="AE46" s="13" t="s">
        <v>46</v>
      </c>
      <c r="AF46" s="13" t="s">
        <v>47</v>
      </c>
      <c r="AG46" s="12" t="s">
        <v>48</v>
      </c>
    </row>
    <row r="47" s="36" customFormat="true" ht="74.25" hidden="false" customHeight="true" outlineLevel="0" collapsed="false">
      <c r="A47" s="30" t="n">
        <v>214.123</v>
      </c>
      <c r="B47" s="9" t="n">
        <f aca="false">IF(ISNUMBER(A47),
IF(AND(A47=INT(A47), MOD(A47, 10) = 0), 0,
IF(AND(A47=INT(A47), LEN(A47)=2), 1,
IF(AND(A47=INT(A47), LEN(A47)=3), 2,
LEN(A47) - FIND(".", A47) + 2)
)
),
"")</f>
        <v>5</v>
      </c>
      <c r="C47" s="15" t="s">
        <v>152</v>
      </c>
      <c r="D47" s="10" t="str">
        <f aca="false">REPT("   ", B47*2) &amp; C47</f>
        <v>                              Spent Fuel Building Walls</v>
      </c>
      <c r="E47" s="10" t="s">
        <v>35</v>
      </c>
      <c r="F47" s="10"/>
      <c r="G47" s="10"/>
      <c r="H47" s="10"/>
      <c r="I47" s="10"/>
      <c r="J47" s="16"/>
      <c r="K47" s="17" t="n">
        <f aca="false">721.21*1.53</f>
        <v>1103.4513</v>
      </c>
      <c r="L47" s="18" t="s">
        <v>80</v>
      </c>
      <c r="M47" s="21" t="s">
        <v>153</v>
      </c>
      <c r="N47" s="19"/>
      <c r="O47" s="18" t="s">
        <v>82</v>
      </c>
      <c r="P47" s="19"/>
      <c r="Q47" s="20" t="n">
        <v>2024</v>
      </c>
      <c r="R47" s="18" t="s">
        <v>96</v>
      </c>
      <c r="S47" s="21"/>
      <c r="T47" s="21"/>
      <c r="U47" s="21"/>
      <c r="V47" s="23"/>
      <c r="W47" s="12" t="s">
        <v>77</v>
      </c>
      <c r="X47" s="24" t="n">
        <f aca="false">0.9*$J47</f>
        <v>0</v>
      </c>
      <c r="Y47" s="24" t="n">
        <f aca="false">1.5*J47</f>
        <v>0</v>
      </c>
      <c r="Z47" s="12" t="s">
        <v>44</v>
      </c>
      <c r="AA47" s="13" t="n">
        <f aca="false">0.9*K47</f>
        <v>993.10617</v>
      </c>
      <c r="AB47" s="13" t="n">
        <f aca="false">1.3*K47</f>
        <v>1434.48669</v>
      </c>
      <c r="AC47" s="12" t="s">
        <v>44</v>
      </c>
      <c r="AD47" s="13" t="s">
        <v>45</v>
      </c>
      <c r="AE47" s="13" t="s">
        <v>46</v>
      </c>
      <c r="AF47" s="13" t="s">
        <v>47</v>
      </c>
      <c r="AG47" s="12" t="s">
        <v>48</v>
      </c>
    </row>
    <row r="48" customFormat="false" ht="51.75" hidden="false" customHeight="true" outlineLevel="0" collapsed="false">
      <c r="A48" s="30" t="n">
        <v>214.7</v>
      </c>
      <c r="B48" s="9" t="n">
        <f aca="false">IF(ISNUMBER(A48),
IF(AND(A48=INT(A48), MOD(A48, 10) = 0), 0,
IF(AND(A48=INT(A48), LEN(A48)=2), 1,
IF(AND(A48=INT(A48), LEN(A48)=3), 2,
LEN(A48) - FIND(".", A48) + 2)
)
),
"")</f>
        <v>3</v>
      </c>
      <c r="C48" s="15" t="s">
        <v>154</v>
      </c>
      <c r="D48" s="10" t="str">
        <f aca="false">REPT("   ", B48*2) &amp; C48</f>
        <v>                  Emergency and Start-up Power Systems Building</v>
      </c>
      <c r="E48" s="10"/>
      <c r="F48" s="10"/>
      <c r="G48" s="10"/>
      <c r="H48" s="10"/>
      <c r="I48" s="10"/>
      <c r="J48" s="16"/>
      <c r="K48" s="17"/>
      <c r="L48" s="18"/>
      <c r="M48" s="21"/>
      <c r="N48" s="19"/>
      <c r="O48" s="18"/>
      <c r="P48" s="19"/>
      <c r="Q48" s="20"/>
      <c r="R48" s="18"/>
      <c r="S48" s="21"/>
      <c r="T48" s="18"/>
      <c r="U48" s="23"/>
      <c r="V48" s="23"/>
      <c r="W48" s="12"/>
      <c r="X48" s="24"/>
      <c r="Y48" s="24"/>
      <c r="Z48" s="12"/>
      <c r="AA48" s="13"/>
      <c r="AB48" s="13"/>
      <c r="AC48" s="12"/>
      <c r="AD48" s="13"/>
      <c r="AE48" s="13"/>
      <c r="AF48" s="13"/>
      <c r="AG48" s="12"/>
    </row>
    <row r="49" customFormat="false" ht="26.25" hidden="false" customHeight="true" outlineLevel="0" collapsed="false">
      <c r="A49" s="30" t="n">
        <v>214.71</v>
      </c>
      <c r="B49" s="9" t="n">
        <f aca="false">IF(ISNUMBER(A49),
IF(AND(A49=INT(A49), MOD(A49, 10) = 0), 0,
IF(AND(A49=INT(A49), LEN(A49)=2), 1,
IF(AND(A49=INT(A49), LEN(A49)=3), 2,
LEN(A49) - FIND(".", A49) + 2)
)
),
"")</f>
        <v>4</v>
      </c>
      <c r="C49" s="15" t="s">
        <v>155</v>
      </c>
      <c r="D49" s="10" t="str">
        <f aca="false">REPT("   ", B49*2) &amp; C49</f>
        <v>                        Emergency Building</v>
      </c>
      <c r="E49" s="10"/>
      <c r="F49" s="10"/>
      <c r="G49" s="10"/>
      <c r="H49" s="10"/>
      <c r="I49" s="10"/>
      <c r="J49" s="16"/>
      <c r="K49" s="17"/>
      <c r="L49" s="18"/>
      <c r="M49" s="21"/>
      <c r="N49" s="19"/>
      <c r="O49" s="18"/>
      <c r="P49" s="19"/>
      <c r="Q49" s="20"/>
      <c r="R49" s="18"/>
      <c r="S49" s="21"/>
      <c r="T49" s="18"/>
      <c r="U49" s="23"/>
      <c r="V49" s="23"/>
      <c r="W49" s="12"/>
      <c r="X49" s="24"/>
      <c r="Y49" s="24"/>
      <c r="Z49" s="12"/>
      <c r="AA49" s="13"/>
      <c r="AB49" s="13"/>
      <c r="AC49" s="12"/>
      <c r="AD49" s="13"/>
      <c r="AE49" s="13"/>
      <c r="AF49" s="13"/>
      <c r="AG49" s="12"/>
    </row>
    <row r="50" s="36" customFormat="true" ht="49.5" hidden="false" customHeight="true" outlineLevel="0" collapsed="false">
      <c r="A50" s="30" t="n">
        <v>214.711</v>
      </c>
      <c r="B50" s="9" t="n">
        <f aca="false">IF(ISNUMBER(A50),
IF(AND(A50=INT(A50), MOD(A50, 10) = 0), 0,
IF(AND(A50=INT(A50), LEN(A50)=2), 1,
IF(AND(A50=INT(A50), LEN(A50)=3), 2,
LEN(A50) - FIND(".", A50) + 2)
)
),
"")</f>
        <v>5</v>
      </c>
      <c r="C50" s="15" t="s">
        <v>156</v>
      </c>
      <c r="D50" s="10" t="str">
        <f aca="false">REPT("   ", B50*2) &amp; C50</f>
        <v>                              Emergency Building Slab Roof</v>
      </c>
      <c r="E50" s="10" t="s">
        <v>35</v>
      </c>
      <c r="F50" s="10"/>
      <c r="G50" s="10"/>
      <c r="H50" s="10"/>
      <c r="I50" s="10"/>
      <c r="J50" s="16"/>
      <c r="K50" s="17" t="n">
        <f aca="false">1200</f>
        <v>1200</v>
      </c>
      <c r="L50" s="18" t="s">
        <v>80</v>
      </c>
      <c r="M50" s="21" t="s">
        <v>157</v>
      </c>
      <c r="N50" s="19"/>
      <c r="O50" s="18" t="s">
        <v>82</v>
      </c>
      <c r="P50" s="19"/>
      <c r="Q50" s="20" t="n">
        <v>2024</v>
      </c>
      <c r="R50" s="19" t="s">
        <v>96</v>
      </c>
      <c r="S50" s="21" t="s">
        <v>115</v>
      </c>
      <c r="T50" s="21" t="s">
        <v>75</v>
      </c>
      <c r="U50" s="32" t="s">
        <v>76</v>
      </c>
      <c r="V50" s="23"/>
      <c r="W50" s="12" t="s">
        <v>77</v>
      </c>
      <c r="X50" s="24" t="n">
        <f aca="false">0.9*$J50</f>
        <v>0</v>
      </c>
      <c r="Y50" s="24" t="n">
        <f aca="false">1.5*J50</f>
        <v>0</v>
      </c>
      <c r="Z50" s="12" t="s">
        <v>44</v>
      </c>
      <c r="AA50" s="13" t="n">
        <f aca="false">0.9*K50</f>
        <v>1080</v>
      </c>
      <c r="AB50" s="13" t="n">
        <f aca="false">1.3*K50</f>
        <v>1560</v>
      </c>
      <c r="AC50" s="12" t="s">
        <v>44</v>
      </c>
      <c r="AD50" s="13" t="s">
        <v>45</v>
      </c>
      <c r="AE50" s="13" t="s">
        <v>46</v>
      </c>
      <c r="AF50" s="13" t="s">
        <v>47</v>
      </c>
      <c r="AG50" s="12" t="s">
        <v>48</v>
      </c>
    </row>
    <row r="51" s="36" customFormat="true" ht="49.5" hidden="false" customHeight="true" outlineLevel="0" collapsed="false">
      <c r="A51" s="30" t="n">
        <v>214.712</v>
      </c>
      <c r="B51" s="9" t="n">
        <f aca="false">IF(ISNUMBER(A51),
IF(AND(A51=INT(A51), MOD(A51, 10) = 0), 0,
IF(AND(A51=INT(A51), LEN(A51)=2), 1,
IF(AND(A51=INT(A51), LEN(A51)=3), 2,
LEN(A51) - FIND(".", A51) + 2)
)
),
"")</f>
        <v>5</v>
      </c>
      <c r="C51" s="15" t="s">
        <v>158</v>
      </c>
      <c r="D51" s="10" t="str">
        <f aca="false">REPT("   ", B51*2) &amp; C51</f>
        <v>                              Emergency Building Basement</v>
      </c>
      <c r="E51" s="10" t="s">
        <v>35</v>
      </c>
      <c r="F51" s="10"/>
      <c r="G51" s="10"/>
      <c r="H51" s="10"/>
      <c r="I51" s="10"/>
      <c r="J51" s="16"/>
      <c r="K51" s="17" t="n">
        <f aca="false">943.9</f>
        <v>943.9</v>
      </c>
      <c r="L51" s="18" t="s">
        <v>80</v>
      </c>
      <c r="M51" s="21" t="s">
        <v>159</v>
      </c>
      <c r="N51" s="19"/>
      <c r="O51" s="18" t="s">
        <v>82</v>
      </c>
      <c r="P51" s="19"/>
      <c r="Q51" s="20" t="n">
        <v>2024</v>
      </c>
      <c r="R51" s="19" t="s">
        <v>96</v>
      </c>
      <c r="S51" s="21"/>
      <c r="T51" s="21"/>
      <c r="U51" s="21"/>
      <c r="V51" s="23"/>
      <c r="W51" s="12" t="s">
        <v>77</v>
      </c>
      <c r="X51" s="24" t="n">
        <f aca="false">0.9*$J51</f>
        <v>0</v>
      </c>
      <c r="Y51" s="24" t="n">
        <f aca="false">1.5*J51</f>
        <v>0</v>
      </c>
      <c r="Z51" s="12" t="s">
        <v>44</v>
      </c>
      <c r="AA51" s="13" t="n">
        <f aca="false">0.9*K51</f>
        <v>849.51</v>
      </c>
      <c r="AB51" s="13" t="n">
        <f aca="false">1.3*K51</f>
        <v>1227.07</v>
      </c>
      <c r="AC51" s="12" t="s">
        <v>44</v>
      </c>
      <c r="AD51" s="13" t="s">
        <v>45</v>
      </c>
      <c r="AE51" s="13" t="s">
        <v>46</v>
      </c>
      <c r="AF51" s="13" t="s">
        <v>47</v>
      </c>
      <c r="AG51" s="12" t="s">
        <v>48</v>
      </c>
    </row>
    <row r="52" s="36" customFormat="true" ht="74.25" hidden="false" customHeight="true" outlineLevel="0" collapsed="false">
      <c r="A52" s="30" t="n">
        <v>214.713</v>
      </c>
      <c r="B52" s="9" t="n">
        <f aca="false">IF(ISNUMBER(A52),
IF(AND(A52=INT(A52), MOD(A52, 10) = 0), 0,
IF(AND(A52=INT(A52), LEN(A52)=2), 1,
IF(AND(A52=INT(A52), LEN(A52)=3), 2,
LEN(A52) - FIND(".", A52) + 2)
)
),
"")</f>
        <v>5</v>
      </c>
      <c r="C52" s="15" t="s">
        <v>160</v>
      </c>
      <c r="D52" s="10" t="str">
        <f aca="false">REPT("   ", B52*2) &amp; C52</f>
        <v>                              Emergency Building Walls</v>
      </c>
      <c r="E52" s="10" t="s">
        <v>35</v>
      </c>
      <c r="F52" s="10"/>
      <c r="G52" s="10"/>
      <c r="H52" s="10"/>
      <c r="I52" s="10"/>
      <c r="J52" s="16"/>
      <c r="K52" s="17" t="n">
        <f aca="false">721.21</f>
        <v>721.21</v>
      </c>
      <c r="L52" s="18" t="s">
        <v>80</v>
      </c>
      <c r="M52" s="21" t="s">
        <v>161</v>
      </c>
      <c r="N52" s="19"/>
      <c r="O52" s="18" t="s">
        <v>82</v>
      </c>
      <c r="P52" s="19"/>
      <c r="Q52" s="20" t="n">
        <v>2024</v>
      </c>
      <c r="R52" s="18" t="s">
        <v>96</v>
      </c>
      <c r="S52" s="21"/>
      <c r="T52" s="21"/>
      <c r="U52" s="21"/>
      <c r="V52" s="23"/>
      <c r="W52" s="12" t="s">
        <v>77</v>
      </c>
      <c r="X52" s="24" t="n">
        <f aca="false">0.9*$J52</f>
        <v>0</v>
      </c>
      <c r="Y52" s="24" t="n">
        <f aca="false">1.5*J52</f>
        <v>0</v>
      </c>
      <c r="Z52" s="12" t="s">
        <v>44</v>
      </c>
      <c r="AA52" s="13" t="n">
        <f aca="false">0.9*K52</f>
        <v>649.089</v>
      </c>
      <c r="AB52" s="13" t="n">
        <f aca="false">1.3*K52</f>
        <v>937.573</v>
      </c>
      <c r="AC52" s="12" t="s">
        <v>44</v>
      </c>
      <c r="AD52" s="13" t="s">
        <v>45</v>
      </c>
      <c r="AE52" s="13" t="s">
        <v>46</v>
      </c>
      <c r="AF52" s="13" t="s">
        <v>47</v>
      </c>
      <c r="AG52" s="12" t="s">
        <v>48</v>
      </c>
    </row>
    <row r="53" customFormat="false" ht="184.5" hidden="false" customHeight="true" outlineLevel="0" collapsed="false">
      <c r="A53" s="30" t="n">
        <v>214.72</v>
      </c>
      <c r="B53" s="9" t="n">
        <f aca="false">IF(ISNUMBER(A53),
IF(AND(A53=INT(A53), MOD(A53, 10) = 0), 0,
IF(AND(A53=INT(A53), LEN(A53)=2), 1,
IF(AND(A53=INT(A53), LEN(A53)=3), 2,
LEN(A53) - FIND(".", A53) + 2)
)
),
"")</f>
        <v>4</v>
      </c>
      <c r="C53" s="37" t="s">
        <v>162</v>
      </c>
      <c r="D53" s="10" t="str">
        <f aca="false">REPT("   ", B53*2) &amp; C53</f>
        <v>                        Diesel Generator</v>
      </c>
      <c r="E53" s="10" t="s">
        <v>35</v>
      </c>
      <c r="F53" s="10"/>
      <c r="G53" s="10"/>
      <c r="H53" s="10"/>
      <c r="I53" s="10"/>
      <c r="J53" s="16"/>
      <c r="K53" s="38" t="n">
        <f aca="false">MARVEL_Cost!C11/N53</f>
        <v>2717311.56626506</v>
      </c>
      <c r="L53" s="18" t="s">
        <v>108</v>
      </c>
      <c r="M53" s="21" t="s">
        <v>109</v>
      </c>
      <c r="N53" s="18" t="n">
        <f aca="false">'Design Variables'!B3/1000</f>
        <v>0.083</v>
      </c>
      <c r="O53" s="18" t="s">
        <v>110</v>
      </c>
      <c r="P53" s="18" t="n">
        <v>0.7</v>
      </c>
      <c r="Q53" s="20" t="n">
        <v>2024</v>
      </c>
      <c r="R53" s="18" t="s">
        <v>163</v>
      </c>
      <c r="S53" s="21" t="s">
        <v>164</v>
      </c>
      <c r="T53" s="21" t="s">
        <v>165</v>
      </c>
      <c r="U53" s="39" t="s">
        <v>166</v>
      </c>
      <c r="V53" s="23"/>
      <c r="W53" s="12" t="s">
        <v>167</v>
      </c>
      <c r="X53" s="24" t="n">
        <f aca="false">0.9*$J53</f>
        <v>0</v>
      </c>
      <c r="Y53" s="24" t="n">
        <f aca="false">1.5*J53</f>
        <v>0</v>
      </c>
      <c r="Z53" s="12" t="s">
        <v>44</v>
      </c>
      <c r="AA53" s="13" t="n">
        <f aca="false">0.9*K53</f>
        <v>2445580.40963855</v>
      </c>
      <c r="AB53" s="13" t="n">
        <f aca="false">1.3*K53</f>
        <v>3532505.03614458</v>
      </c>
      <c r="AC53" s="12" t="s">
        <v>44</v>
      </c>
      <c r="AD53" s="13" t="s">
        <v>45</v>
      </c>
      <c r="AE53" s="13" t="s">
        <v>46</v>
      </c>
      <c r="AF53" s="13" t="s">
        <v>47</v>
      </c>
      <c r="AG53" s="12" t="s">
        <v>48</v>
      </c>
    </row>
    <row r="54" customFormat="false" ht="22.5" hidden="false" customHeight="true" outlineLevel="0" collapsed="false">
      <c r="A54" s="30" t="n">
        <v>214.8</v>
      </c>
      <c r="B54" s="9" t="n">
        <f aca="false">IF(ISNUMBER(A54),
IF(AND(A54=INT(A54), MOD(A54, 10) = 0), 0,
IF(AND(A54=INT(A54), LEN(A54)=2), 1,
IF(AND(A54=INT(A54), LEN(A54)=3), 2,
LEN(A54) - FIND(".", A54) + 2)
)
),
"")</f>
        <v>3</v>
      </c>
      <c r="C54" s="37" t="s">
        <v>168</v>
      </c>
      <c r="D54" s="10" t="str">
        <f aca="false">REPT("   ", B54*2) &amp; C54</f>
        <v>                  Auxilliary Building</v>
      </c>
      <c r="E54" s="10"/>
      <c r="F54" s="10"/>
      <c r="G54" s="10"/>
      <c r="H54" s="10"/>
      <c r="I54" s="10"/>
      <c r="J54" s="16"/>
      <c r="K54" s="38"/>
      <c r="L54" s="18"/>
      <c r="M54" s="21"/>
      <c r="N54" s="18"/>
      <c r="O54" s="18"/>
      <c r="P54" s="18"/>
      <c r="Q54" s="20"/>
      <c r="R54" s="18"/>
      <c r="S54" s="21"/>
      <c r="T54" s="21"/>
      <c r="U54" s="39"/>
      <c r="V54" s="23"/>
      <c r="W54" s="12"/>
      <c r="X54" s="24"/>
      <c r="Y54" s="24"/>
      <c r="Z54" s="12"/>
      <c r="AA54" s="13"/>
      <c r="AB54" s="13"/>
      <c r="AC54" s="12"/>
      <c r="AD54" s="13"/>
      <c r="AE54" s="13"/>
      <c r="AF54" s="13"/>
      <c r="AG54" s="12"/>
    </row>
    <row r="55" customFormat="false" ht="26.25" hidden="false" customHeight="true" outlineLevel="0" collapsed="false">
      <c r="A55" s="30" t="n">
        <v>214.81</v>
      </c>
      <c r="B55" s="9" t="n">
        <f aca="false">IF(ISNUMBER(A55),
IF(AND(A55=INT(A55), MOD(A55, 10) = 0), 0,
IF(AND(A55=INT(A55), LEN(A55)=2), 1,
IF(AND(A55=INT(A55), LEN(A55)=3), 2,
LEN(A55) - FIND(".", A55) + 2)
)
),
"")</f>
        <v>4</v>
      </c>
      <c r="C55" s="37" t="s">
        <v>169</v>
      </c>
      <c r="D55" s="10" t="str">
        <f aca="false">REPT("   ", B55*2) &amp; C55</f>
        <v>                        Maniplator Building</v>
      </c>
      <c r="E55" s="10"/>
      <c r="F55" s="10"/>
      <c r="G55" s="18"/>
      <c r="H55" s="18"/>
      <c r="I55" s="18"/>
      <c r="J55" s="16"/>
      <c r="K55" s="38"/>
      <c r="L55" s="18"/>
      <c r="M55" s="21"/>
      <c r="N55" s="18"/>
      <c r="O55" s="18"/>
      <c r="P55" s="18"/>
      <c r="Q55" s="20"/>
      <c r="R55" s="18"/>
      <c r="S55" s="21"/>
      <c r="T55" s="21"/>
      <c r="U55" s="39"/>
      <c r="V55" s="23"/>
      <c r="W55" s="12"/>
      <c r="X55" s="24"/>
      <c r="Y55" s="24"/>
      <c r="Z55" s="12"/>
      <c r="AA55" s="13"/>
      <c r="AB55" s="13"/>
      <c r="AC55" s="12"/>
      <c r="AD55" s="13"/>
      <c r="AE55" s="13"/>
      <c r="AF55" s="13"/>
      <c r="AG55" s="12"/>
    </row>
    <row r="56" customFormat="false" ht="75.75" hidden="false" customHeight="true" outlineLevel="0" collapsed="false">
      <c r="A56" s="30" t="n">
        <v>214.811</v>
      </c>
      <c r="B56" s="9" t="n">
        <f aca="false">IF(ISNUMBER(A56),
IF(AND(A56=INT(A56), MOD(A56, 10) = 0), 0,
IF(AND(A56=INT(A56), LEN(A56)=2), 1,
IF(AND(A56=INT(A56), LEN(A56)=3), 2,
LEN(A56) - FIND(".", A56) + 2)
)
),
"")</f>
        <v>5</v>
      </c>
      <c r="C56" s="37" t="s">
        <v>170</v>
      </c>
      <c r="D56" s="10" t="str">
        <f aca="false">REPT("   ", B56*2) &amp; C56</f>
        <v>                              Manipulator Building Slab Roof</v>
      </c>
      <c r="E56" s="10" t="s">
        <v>35</v>
      </c>
      <c r="F56" s="10"/>
      <c r="G56" s="18"/>
      <c r="H56" s="18"/>
      <c r="I56" s="18"/>
      <c r="J56" s="16"/>
      <c r="K56" s="17" t="n">
        <f aca="false">1200</f>
        <v>1200</v>
      </c>
      <c r="L56" s="18" t="s">
        <v>80</v>
      </c>
      <c r="M56" s="37" t="s">
        <v>171</v>
      </c>
      <c r="N56" s="18"/>
      <c r="O56" s="18" t="s">
        <v>82</v>
      </c>
      <c r="P56" s="19"/>
      <c r="Q56" s="20" t="n">
        <v>2024</v>
      </c>
      <c r="R56" s="19" t="s">
        <v>96</v>
      </c>
      <c r="S56" s="21" t="s">
        <v>115</v>
      </c>
      <c r="T56" s="21" t="s">
        <v>75</v>
      </c>
      <c r="U56" s="32" t="s">
        <v>76</v>
      </c>
      <c r="V56" s="40" t="s">
        <v>172</v>
      </c>
      <c r="W56" s="12" t="s">
        <v>77</v>
      </c>
      <c r="X56" s="24" t="n">
        <f aca="false">0.9*$J56</f>
        <v>0</v>
      </c>
      <c r="Y56" s="24" t="n">
        <f aca="false">1.5*J56</f>
        <v>0</v>
      </c>
      <c r="Z56" s="12" t="s">
        <v>44</v>
      </c>
      <c r="AA56" s="13" t="n">
        <f aca="false">0.9*K56</f>
        <v>1080</v>
      </c>
      <c r="AB56" s="13" t="n">
        <f aca="false">1.3*K56</f>
        <v>1560</v>
      </c>
      <c r="AC56" s="12" t="s">
        <v>44</v>
      </c>
      <c r="AD56" s="13" t="s">
        <v>45</v>
      </c>
      <c r="AE56" s="13" t="s">
        <v>46</v>
      </c>
      <c r="AF56" s="13" t="s">
        <v>47</v>
      </c>
      <c r="AG56" s="12" t="s">
        <v>48</v>
      </c>
    </row>
    <row r="57" customFormat="false" ht="75.75" hidden="false" customHeight="true" outlineLevel="0" collapsed="false">
      <c r="A57" s="30" t="n">
        <v>214.812</v>
      </c>
      <c r="B57" s="9" t="n">
        <f aca="false">IF(ISNUMBER(A57),
IF(AND(A57=INT(A57), MOD(A57, 10) = 0), 0,
IF(AND(A57=INT(A57), LEN(A57)=2), 1,
IF(AND(A57=INT(A57), LEN(A57)=3), 2,
LEN(A57) - FIND(".", A57) + 2)
)
),
"")</f>
        <v>5</v>
      </c>
      <c r="C57" s="37" t="s">
        <v>173</v>
      </c>
      <c r="D57" s="10" t="str">
        <f aca="false">REPT("   ", B57*2) &amp; C57</f>
        <v>                              ManipulatorBuilding Basement</v>
      </c>
      <c r="E57" s="10" t="s">
        <v>35</v>
      </c>
      <c r="F57" s="10"/>
      <c r="G57" s="18"/>
      <c r="H57" s="18"/>
      <c r="I57" s="18"/>
      <c r="J57" s="16"/>
      <c r="K57" s="17" t="n">
        <f aca="false">943.9</f>
        <v>943.9</v>
      </c>
      <c r="L57" s="18" t="s">
        <v>80</v>
      </c>
      <c r="M57" s="37" t="s">
        <v>174</v>
      </c>
      <c r="N57" s="18"/>
      <c r="O57" s="18" t="s">
        <v>82</v>
      </c>
      <c r="P57" s="19"/>
      <c r="Q57" s="20" t="n">
        <v>2024</v>
      </c>
      <c r="R57" s="19" t="s">
        <v>96</v>
      </c>
      <c r="S57" s="21"/>
      <c r="T57" s="21"/>
      <c r="U57" s="21"/>
      <c r="V57" s="40"/>
      <c r="W57" s="12" t="s">
        <v>77</v>
      </c>
      <c r="X57" s="24" t="n">
        <f aca="false">0.9*$J57</f>
        <v>0</v>
      </c>
      <c r="Y57" s="24" t="n">
        <f aca="false">1.5*J57</f>
        <v>0</v>
      </c>
      <c r="Z57" s="12" t="s">
        <v>44</v>
      </c>
      <c r="AA57" s="13" t="n">
        <f aca="false">0.9*K57</f>
        <v>849.51</v>
      </c>
      <c r="AB57" s="13" t="n">
        <f aca="false">1.3*K57</f>
        <v>1227.07</v>
      </c>
      <c r="AC57" s="12" t="s">
        <v>44</v>
      </c>
      <c r="AD57" s="13" t="s">
        <v>45</v>
      </c>
      <c r="AE57" s="13" t="s">
        <v>46</v>
      </c>
      <c r="AF57" s="13" t="s">
        <v>47</v>
      </c>
      <c r="AG57" s="12" t="s">
        <v>48</v>
      </c>
    </row>
    <row r="58" customFormat="false" ht="75.75" hidden="false" customHeight="true" outlineLevel="0" collapsed="false">
      <c r="A58" s="30" t="n">
        <v>214.813</v>
      </c>
      <c r="B58" s="9" t="n">
        <f aca="false">IF(ISNUMBER(A58),
IF(AND(A58=INT(A58), MOD(A58, 10) = 0), 0,
IF(AND(A58=INT(A58), LEN(A58)=2), 1,
IF(AND(A58=INT(A58), LEN(A58)=3), 2,
LEN(A58) - FIND(".", A58) + 2)
)
),
"")</f>
        <v>5</v>
      </c>
      <c r="C58" s="37" t="s">
        <v>175</v>
      </c>
      <c r="D58" s="10" t="str">
        <f aca="false">REPT("   ", B58*2) &amp; C58</f>
        <v>                              Manipulator Building Exterior Walls</v>
      </c>
      <c r="E58" s="10" t="s">
        <v>35</v>
      </c>
      <c r="F58" s="10"/>
      <c r="G58" s="18"/>
      <c r="H58" s="18"/>
      <c r="I58" s="18"/>
      <c r="J58" s="16"/>
      <c r="K58" s="17" t="n">
        <f aca="false">721.21</f>
        <v>721.21</v>
      </c>
      <c r="L58" s="18" t="s">
        <v>80</v>
      </c>
      <c r="M58" s="37" t="s">
        <v>176</v>
      </c>
      <c r="N58" s="18"/>
      <c r="O58" s="18" t="s">
        <v>82</v>
      </c>
      <c r="P58" s="19"/>
      <c r="Q58" s="20" t="n">
        <v>2024</v>
      </c>
      <c r="R58" s="18" t="s">
        <v>96</v>
      </c>
      <c r="S58" s="21"/>
      <c r="T58" s="21"/>
      <c r="U58" s="21"/>
      <c r="V58" s="40"/>
      <c r="W58" s="12" t="s">
        <v>77</v>
      </c>
      <c r="X58" s="24" t="n">
        <f aca="false">0.9*$J58</f>
        <v>0</v>
      </c>
      <c r="Y58" s="24" t="n">
        <f aca="false">1.5*J58</f>
        <v>0</v>
      </c>
      <c r="Z58" s="12" t="s">
        <v>44</v>
      </c>
      <c r="AA58" s="13" t="n">
        <f aca="false">0.9*K58</f>
        <v>649.089</v>
      </c>
      <c r="AB58" s="13" t="n">
        <f aca="false">1.3*K58</f>
        <v>937.573</v>
      </c>
      <c r="AC58" s="12" t="s">
        <v>44</v>
      </c>
      <c r="AD58" s="13" t="s">
        <v>45</v>
      </c>
      <c r="AE58" s="13" t="s">
        <v>46</v>
      </c>
      <c r="AF58" s="13" t="s">
        <v>47</v>
      </c>
      <c r="AG58" s="12" t="s">
        <v>48</v>
      </c>
    </row>
    <row r="59" customFormat="false" ht="26.25" hidden="false" customHeight="true" outlineLevel="0" collapsed="false">
      <c r="A59" s="30" t="n">
        <v>215</v>
      </c>
      <c r="B59" s="9" t="n">
        <f aca="false">IF(ISNUMBER(A59),
IF(AND(A59=INT(A59), MOD(A59, 10) = 0), 0,
IF(AND(A59=INT(A59), LEN(A59)=2), 1,
IF(AND(A59=INT(A59), LEN(A59)=3), 2,
LEN(A59) - FIND(".", A59) + 2)
)
),
"")</f>
        <v>2</v>
      </c>
      <c r="C59" s="37" t="s">
        <v>177</v>
      </c>
      <c r="D59" s="10" t="str">
        <f aca="false">REPT("   ", B59*2) &amp; C59</f>
        <v>            Supply Chain Buildings</v>
      </c>
      <c r="E59" s="10"/>
      <c r="F59" s="10"/>
      <c r="G59" s="10"/>
      <c r="H59" s="10"/>
      <c r="I59" s="10"/>
      <c r="J59" s="16"/>
      <c r="K59" s="38"/>
      <c r="L59" s="18"/>
      <c r="M59" s="21"/>
      <c r="N59" s="18"/>
      <c r="O59" s="18"/>
      <c r="P59" s="18"/>
      <c r="Q59" s="20"/>
      <c r="R59" s="18"/>
      <c r="S59" s="21"/>
      <c r="T59" s="21"/>
      <c r="U59" s="39"/>
      <c r="V59" s="23"/>
      <c r="W59" s="12"/>
      <c r="X59" s="24"/>
      <c r="Y59" s="24"/>
      <c r="Z59" s="12"/>
      <c r="AA59" s="13"/>
      <c r="AB59" s="13"/>
      <c r="AC59" s="12"/>
      <c r="AD59" s="13"/>
      <c r="AE59" s="13"/>
      <c r="AF59" s="13"/>
      <c r="AG59" s="12"/>
    </row>
    <row r="60" customFormat="false" ht="26.25" hidden="false" customHeight="true" outlineLevel="0" collapsed="false">
      <c r="A60" s="30" t="n">
        <v>215.1</v>
      </c>
      <c r="B60" s="9" t="n">
        <f aca="false">IF(ISNUMBER(A60),
IF(AND(A60=INT(A60), MOD(A60, 10) = 0), 0,
IF(AND(A60=INT(A60), LEN(A60)=2), 1,
IF(AND(A60=INT(A60), LEN(A60)=3), 2,
LEN(A60) - FIND(".", A60) + 2)
)
),
"")</f>
        <v>3</v>
      </c>
      <c r="C60" s="37" t="s">
        <v>178</v>
      </c>
      <c r="D60" s="10" t="str">
        <f aca="false">REPT("   ", B60*2) &amp; C60</f>
        <v>                  Storage Building</v>
      </c>
      <c r="E60" s="10"/>
      <c r="F60" s="10"/>
      <c r="G60" s="10"/>
      <c r="H60" s="10"/>
      <c r="I60" s="10"/>
      <c r="J60" s="16"/>
      <c r="K60" s="38"/>
      <c r="L60" s="18"/>
      <c r="M60" s="21"/>
      <c r="N60" s="18"/>
      <c r="O60" s="18"/>
      <c r="P60" s="18"/>
      <c r="Q60" s="20"/>
      <c r="R60" s="18"/>
      <c r="S60" s="21"/>
      <c r="T60" s="21"/>
      <c r="U60" s="39"/>
      <c r="V60" s="23"/>
      <c r="W60" s="12"/>
      <c r="X60" s="24"/>
      <c r="Y60" s="24"/>
      <c r="Z60" s="12"/>
      <c r="AA60" s="13"/>
      <c r="AB60" s="13"/>
      <c r="AC60" s="12"/>
      <c r="AD60" s="13"/>
      <c r="AE60" s="13"/>
      <c r="AF60" s="13"/>
      <c r="AG60" s="12"/>
    </row>
    <row r="61" customFormat="false" ht="51.75" hidden="false" customHeight="true" outlineLevel="0" collapsed="false">
      <c r="A61" s="30" t="n">
        <v>215.11</v>
      </c>
      <c r="B61" s="9" t="n">
        <f aca="false">IF(ISNUMBER(A61),
IF(AND(A61=INT(A61), MOD(A61, 10) = 0), 0,
IF(AND(A61=INT(A61), LEN(A61)=2), 1,
IF(AND(A61=INT(A61), LEN(A61)=3), 2,
LEN(A61) - FIND(".", A61) + 2)
)
),
"")</f>
        <v>4</v>
      </c>
      <c r="C61" s="37" t="s">
        <v>179</v>
      </c>
      <c r="D61" s="10" t="str">
        <f aca="false">REPT("   ", B61*2) &amp; C61</f>
        <v>                        Storage Building Slab Roof</v>
      </c>
      <c r="E61" s="10" t="s">
        <v>35</v>
      </c>
      <c r="F61" s="10"/>
      <c r="G61" s="10"/>
      <c r="H61" s="10"/>
      <c r="I61" s="10"/>
      <c r="J61" s="16"/>
      <c r="K61" s="17" t="n">
        <f aca="false">1200</f>
        <v>1200</v>
      </c>
      <c r="L61" s="18" t="s">
        <v>80</v>
      </c>
      <c r="M61" s="21" t="s">
        <v>180</v>
      </c>
      <c r="N61" s="18"/>
      <c r="O61" s="18" t="s">
        <v>82</v>
      </c>
      <c r="P61" s="18"/>
      <c r="Q61" s="20" t="n">
        <v>2024</v>
      </c>
      <c r="R61" s="18" t="s">
        <v>96</v>
      </c>
      <c r="S61" s="21" t="s">
        <v>115</v>
      </c>
      <c r="T61" s="21" t="s">
        <v>75</v>
      </c>
      <c r="U61" s="32" t="s">
        <v>76</v>
      </c>
      <c r="V61" s="23"/>
      <c r="W61" s="12" t="s">
        <v>77</v>
      </c>
      <c r="X61" s="24" t="n">
        <f aca="false">0.9*$J61</f>
        <v>0</v>
      </c>
      <c r="Y61" s="24" t="n">
        <f aca="false">1.5*J61</f>
        <v>0</v>
      </c>
      <c r="Z61" s="12" t="s">
        <v>44</v>
      </c>
      <c r="AA61" s="13" t="n">
        <f aca="false">0.9*K61</f>
        <v>1080</v>
      </c>
      <c r="AB61" s="13" t="n">
        <f aca="false">1.3*K61</f>
        <v>1560</v>
      </c>
      <c r="AC61" s="12" t="s">
        <v>44</v>
      </c>
      <c r="AD61" s="13" t="s">
        <v>45</v>
      </c>
      <c r="AE61" s="13" t="s">
        <v>46</v>
      </c>
      <c r="AF61" s="13" t="s">
        <v>47</v>
      </c>
      <c r="AG61" s="12" t="s">
        <v>48</v>
      </c>
    </row>
    <row r="62" customFormat="false" ht="51.75" hidden="false" customHeight="true" outlineLevel="0" collapsed="false">
      <c r="A62" s="30" t="n">
        <v>215.12</v>
      </c>
      <c r="B62" s="9" t="n">
        <f aca="false">IF(ISNUMBER(A62),
IF(AND(A62=INT(A62), MOD(A62, 10) = 0), 0,
IF(AND(A62=INT(A62), LEN(A62)=2), 1,
IF(AND(A62=INT(A62), LEN(A62)=3), 2,
LEN(A62) - FIND(".", A62) + 2)
)
),
"")</f>
        <v>4</v>
      </c>
      <c r="C62" s="37" t="s">
        <v>181</v>
      </c>
      <c r="D62" s="10" t="str">
        <f aca="false">REPT("   ", B62*2) &amp; C62</f>
        <v>                        Storage Building Basement</v>
      </c>
      <c r="E62" s="10" t="s">
        <v>35</v>
      </c>
      <c r="F62" s="10"/>
      <c r="G62" s="10"/>
      <c r="H62" s="10"/>
      <c r="I62" s="10"/>
      <c r="J62" s="16"/>
      <c r="K62" s="17" t="n">
        <f aca="false">943.9</f>
        <v>943.9</v>
      </c>
      <c r="L62" s="18" t="s">
        <v>80</v>
      </c>
      <c r="M62" s="21" t="s">
        <v>182</v>
      </c>
      <c r="N62" s="18"/>
      <c r="O62" s="18" t="s">
        <v>82</v>
      </c>
      <c r="P62" s="18"/>
      <c r="Q62" s="20" t="n">
        <v>2024</v>
      </c>
      <c r="R62" s="18" t="s">
        <v>96</v>
      </c>
      <c r="S62" s="21"/>
      <c r="T62" s="21"/>
      <c r="U62" s="21"/>
      <c r="V62" s="23"/>
      <c r="W62" s="12" t="s">
        <v>77</v>
      </c>
      <c r="X62" s="24" t="n">
        <f aca="false">0.9*$J62</f>
        <v>0</v>
      </c>
      <c r="Y62" s="24" t="n">
        <f aca="false">1.5*J62</f>
        <v>0</v>
      </c>
      <c r="Z62" s="12" t="s">
        <v>44</v>
      </c>
      <c r="AA62" s="13" t="n">
        <f aca="false">0.9*K62</f>
        <v>849.51</v>
      </c>
      <c r="AB62" s="13" t="n">
        <f aca="false">1.3*K62</f>
        <v>1227.07</v>
      </c>
      <c r="AC62" s="12" t="s">
        <v>44</v>
      </c>
      <c r="AD62" s="13" t="s">
        <v>45</v>
      </c>
      <c r="AE62" s="13" t="s">
        <v>46</v>
      </c>
      <c r="AF62" s="13" t="s">
        <v>47</v>
      </c>
      <c r="AG62" s="12" t="s">
        <v>48</v>
      </c>
    </row>
    <row r="63" customFormat="false" ht="75.75" hidden="false" customHeight="true" outlineLevel="0" collapsed="false">
      <c r="A63" s="30" t="n">
        <v>215.13</v>
      </c>
      <c r="B63" s="9" t="n">
        <f aca="false">IF(ISNUMBER(A63),
IF(AND(A63=INT(A63), MOD(A63, 10) = 0), 0,
IF(AND(A63=INT(A63), LEN(A63)=2), 1,
IF(AND(A63=INT(A63), LEN(A63)=3), 2,
LEN(A63) - FIND(".", A63) + 2)
)
),
"")</f>
        <v>4</v>
      </c>
      <c r="C63" s="37" t="s">
        <v>183</v>
      </c>
      <c r="D63" s="10" t="str">
        <f aca="false">REPT("   ", B63*2) &amp; C63</f>
        <v>                        Storage Building Walls</v>
      </c>
      <c r="E63" s="10" t="s">
        <v>35</v>
      </c>
      <c r="F63" s="10"/>
      <c r="G63" s="10"/>
      <c r="H63" s="10"/>
      <c r="I63" s="10"/>
      <c r="J63" s="16"/>
      <c r="K63" s="17" t="n">
        <f aca="false">721.21</f>
        <v>721.21</v>
      </c>
      <c r="L63" s="18" t="s">
        <v>80</v>
      </c>
      <c r="M63" s="21" t="s">
        <v>184</v>
      </c>
      <c r="N63" s="18"/>
      <c r="O63" s="18" t="s">
        <v>82</v>
      </c>
      <c r="P63" s="18"/>
      <c r="Q63" s="20" t="n">
        <v>2024</v>
      </c>
      <c r="R63" s="18" t="s">
        <v>96</v>
      </c>
      <c r="S63" s="21"/>
      <c r="T63" s="21"/>
      <c r="U63" s="21"/>
      <c r="V63" s="23"/>
      <c r="W63" s="12" t="s">
        <v>77</v>
      </c>
      <c r="X63" s="24" t="n">
        <f aca="false">0.9*$J63</f>
        <v>0</v>
      </c>
      <c r="Y63" s="24" t="n">
        <f aca="false">1.5*J63</f>
        <v>0</v>
      </c>
      <c r="Z63" s="12" t="s">
        <v>44</v>
      </c>
      <c r="AA63" s="13" t="n">
        <f aca="false">0.9*K63</f>
        <v>649.089</v>
      </c>
      <c r="AB63" s="13" t="n">
        <f aca="false">1.3*K63</f>
        <v>937.573</v>
      </c>
      <c r="AC63" s="12" t="s">
        <v>44</v>
      </c>
      <c r="AD63" s="13" t="s">
        <v>45</v>
      </c>
      <c r="AE63" s="13" t="s">
        <v>46</v>
      </c>
      <c r="AF63" s="13" t="s">
        <v>47</v>
      </c>
      <c r="AG63" s="12" t="s">
        <v>48</v>
      </c>
    </row>
    <row r="64" customFormat="false" ht="26.25" hidden="false" customHeight="true" outlineLevel="0" collapsed="false">
      <c r="A64" s="30" t="n">
        <v>215.4</v>
      </c>
      <c r="B64" s="9" t="n">
        <f aca="false">IF(ISNUMBER(A64),
IF(AND(A64=INT(A64), MOD(A64, 10) = 0), 0,
IF(AND(A64=INT(A64), LEN(A64)=2), 1,
IF(AND(A64=INT(A64), LEN(A64)=3), 2,
LEN(A64) - FIND(".", A64) + 2)
)
),
"")</f>
        <v>3</v>
      </c>
      <c r="C64" s="37" t="s">
        <v>185</v>
      </c>
      <c r="D64" s="10" t="str">
        <f aca="false">REPT("   ", B64*2) &amp; C64</f>
        <v>                  Radwaste Building</v>
      </c>
      <c r="E64" s="10"/>
      <c r="F64" s="10"/>
      <c r="G64" s="10"/>
      <c r="H64" s="10"/>
      <c r="I64" s="10"/>
      <c r="J64" s="16"/>
      <c r="K64" s="38"/>
      <c r="L64" s="18"/>
      <c r="M64" s="21"/>
      <c r="N64" s="18"/>
      <c r="O64" s="18"/>
      <c r="P64" s="18"/>
      <c r="Q64" s="20"/>
      <c r="R64" s="18"/>
      <c r="S64" s="21"/>
      <c r="T64" s="21"/>
      <c r="U64" s="39"/>
      <c r="V64" s="23"/>
      <c r="W64" s="12"/>
      <c r="X64" s="24"/>
      <c r="Y64" s="24"/>
      <c r="Z64" s="12"/>
      <c r="AA64" s="13"/>
      <c r="AB64" s="13"/>
      <c r="AC64" s="12"/>
      <c r="AD64" s="13"/>
      <c r="AE64" s="13"/>
      <c r="AF64" s="13"/>
      <c r="AG64" s="12"/>
    </row>
    <row r="65" customFormat="false" ht="51.75" hidden="false" customHeight="true" outlineLevel="0" collapsed="false">
      <c r="A65" s="30" t="n">
        <v>215.41</v>
      </c>
      <c r="B65" s="9" t="n">
        <f aca="false">IF(ISNUMBER(A65),
IF(AND(A65=INT(A65), MOD(A65, 10) = 0), 0,
IF(AND(A65=INT(A65), LEN(A65)=2), 1,
IF(AND(A65=INT(A65), LEN(A65)=3), 2,
LEN(A65) - FIND(".", A65) + 2)
)
),
"")</f>
        <v>4</v>
      </c>
      <c r="C65" s="37" t="s">
        <v>186</v>
      </c>
      <c r="D65" s="10" t="str">
        <f aca="false">REPT("   ", B65*2) &amp; C65</f>
        <v>                        Radwaste Building Slab Roof</v>
      </c>
      <c r="E65" s="10" t="s">
        <v>35</v>
      </c>
      <c r="F65" s="10"/>
      <c r="G65" s="10"/>
      <c r="H65" s="10"/>
      <c r="I65" s="10"/>
      <c r="J65" s="16"/>
      <c r="K65" s="17" t="n">
        <f aca="false">1200 *1.53</f>
        <v>1836</v>
      </c>
      <c r="L65" s="18" t="s">
        <v>80</v>
      </c>
      <c r="M65" s="21" t="s">
        <v>187</v>
      </c>
      <c r="N65" s="18"/>
      <c r="O65" s="18" t="s">
        <v>82</v>
      </c>
      <c r="P65" s="18"/>
      <c r="Q65" s="20" t="n">
        <v>2024</v>
      </c>
      <c r="R65" s="18" t="s">
        <v>96</v>
      </c>
      <c r="S65" s="21" t="s">
        <v>74</v>
      </c>
      <c r="T65" s="21" t="s">
        <v>75</v>
      </c>
      <c r="U65" s="32" t="s">
        <v>76</v>
      </c>
      <c r="V65" s="23"/>
      <c r="W65" s="12" t="s">
        <v>77</v>
      </c>
      <c r="X65" s="24" t="n">
        <f aca="false">0.9*$J65</f>
        <v>0</v>
      </c>
      <c r="Y65" s="24" t="n">
        <f aca="false">1.5*J65</f>
        <v>0</v>
      </c>
      <c r="Z65" s="12" t="s">
        <v>44</v>
      </c>
      <c r="AA65" s="13" t="n">
        <f aca="false">0.9*K65</f>
        <v>1652.4</v>
      </c>
      <c r="AB65" s="13" t="n">
        <f aca="false">1.3*K65</f>
        <v>2386.8</v>
      </c>
      <c r="AC65" s="12" t="s">
        <v>44</v>
      </c>
      <c r="AD65" s="13" t="s">
        <v>45</v>
      </c>
      <c r="AE65" s="13" t="s">
        <v>46</v>
      </c>
      <c r="AF65" s="13" t="s">
        <v>47</v>
      </c>
      <c r="AG65" s="12" t="s">
        <v>48</v>
      </c>
    </row>
    <row r="66" customFormat="false" ht="51.75" hidden="false" customHeight="true" outlineLevel="0" collapsed="false">
      <c r="A66" s="30" t="n">
        <v>215.42</v>
      </c>
      <c r="B66" s="9" t="n">
        <f aca="false">IF(ISNUMBER(A66),
IF(AND(A66=INT(A66), MOD(A66, 10) = 0), 0,
IF(AND(A66=INT(A66), LEN(A66)=2), 1,
IF(AND(A66=INT(A66), LEN(A66)=3), 2,
LEN(A66) - FIND(".", A66) + 2)
)
),
"")</f>
        <v>4</v>
      </c>
      <c r="C66" s="37" t="s">
        <v>188</v>
      </c>
      <c r="D66" s="10" t="str">
        <f aca="false">REPT("   ", B66*2) &amp; C66</f>
        <v>                        Radwaste Building Basement</v>
      </c>
      <c r="E66" s="10" t="s">
        <v>35</v>
      </c>
      <c r="F66" s="10"/>
      <c r="G66" s="10"/>
      <c r="H66" s="10"/>
      <c r="I66" s="10"/>
      <c r="J66" s="16"/>
      <c r="K66" s="17" t="n">
        <f aca="false">943.9*1.53</f>
        <v>1444.167</v>
      </c>
      <c r="L66" s="18" t="s">
        <v>80</v>
      </c>
      <c r="M66" s="21" t="s">
        <v>189</v>
      </c>
      <c r="N66" s="18"/>
      <c r="O66" s="18" t="s">
        <v>82</v>
      </c>
      <c r="P66" s="18"/>
      <c r="Q66" s="20" t="n">
        <v>2024</v>
      </c>
      <c r="R66" s="18" t="s">
        <v>96</v>
      </c>
      <c r="S66" s="21"/>
      <c r="T66" s="21"/>
      <c r="U66" s="21"/>
      <c r="V66" s="23"/>
      <c r="W66" s="12" t="s">
        <v>77</v>
      </c>
      <c r="X66" s="24" t="n">
        <f aca="false">0.9*$J66</f>
        <v>0</v>
      </c>
      <c r="Y66" s="24" t="n">
        <f aca="false">1.5*J66</f>
        <v>0</v>
      </c>
      <c r="Z66" s="12" t="s">
        <v>44</v>
      </c>
      <c r="AA66" s="13" t="n">
        <f aca="false">0.9*K66</f>
        <v>1299.7503</v>
      </c>
      <c r="AB66" s="13" t="n">
        <f aca="false">1.3*K66</f>
        <v>1877.4171</v>
      </c>
      <c r="AC66" s="12" t="s">
        <v>44</v>
      </c>
      <c r="AD66" s="13" t="s">
        <v>45</v>
      </c>
      <c r="AE66" s="13" t="s">
        <v>46</v>
      </c>
      <c r="AF66" s="13" t="s">
        <v>47</v>
      </c>
      <c r="AG66" s="12" t="s">
        <v>48</v>
      </c>
    </row>
    <row r="67" customFormat="false" ht="75.75" hidden="false" customHeight="true" outlineLevel="0" collapsed="false">
      <c r="A67" s="30" t="n">
        <v>215.43</v>
      </c>
      <c r="B67" s="9" t="n">
        <f aca="false">IF(ISNUMBER(A67),
IF(AND(A67=INT(A67), MOD(A67, 10) = 0), 0,
IF(AND(A67=INT(A67), LEN(A67)=2), 1,
IF(AND(A67=INT(A67), LEN(A67)=3), 2,
LEN(A67) - FIND(".", A67) + 2)
)
),
"")</f>
        <v>4</v>
      </c>
      <c r="C67" s="37" t="s">
        <v>190</v>
      </c>
      <c r="D67" s="10" t="str">
        <f aca="false">REPT("   ", B67*2) &amp; C67</f>
        <v>                        Radwaste Building Walls</v>
      </c>
      <c r="E67" s="10" t="s">
        <v>35</v>
      </c>
      <c r="F67" s="10"/>
      <c r="G67" s="10"/>
      <c r="H67" s="10"/>
      <c r="I67" s="10"/>
      <c r="J67" s="16"/>
      <c r="K67" s="17" t="n">
        <f aca="false">721.21*1.53</f>
        <v>1103.4513</v>
      </c>
      <c r="L67" s="18" t="s">
        <v>80</v>
      </c>
      <c r="M67" s="21" t="s">
        <v>191</v>
      </c>
      <c r="N67" s="18"/>
      <c r="O67" s="18" t="s">
        <v>82</v>
      </c>
      <c r="P67" s="18"/>
      <c r="Q67" s="20" t="n">
        <v>2024</v>
      </c>
      <c r="R67" s="18" t="s">
        <v>96</v>
      </c>
      <c r="S67" s="21"/>
      <c r="T67" s="21"/>
      <c r="U67" s="21"/>
      <c r="V67" s="23"/>
      <c r="W67" s="12" t="s">
        <v>77</v>
      </c>
      <c r="X67" s="24" t="n">
        <f aca="false">0.9*$J67</f>
        <v>0</v>
      </c>
      <c r="Y67" s="24" t="n">
        <f aca="false">1.5*J67</f>
        <v>0</v>
      </c>
      <c r="Z67" s="12" t="s">
        <v>44</v>
      </c>
      <c r="AA67" s="13" t="n">
        <f aca="false">0.9*K67</f>
        <v>993.10617</v>
      </c>
      <c r="AB67" s="13" t="n">
        <f aca="false">1.3*K67</f>
        <v>1434.48669</v>
      </c>
      <c r="AC67" s="12" t="s">
        <v>44</v>
      </c>
      <c r="AD67" s="13" t="s">
        <v>45</v>
      </c>
      <c r="AE67" s="13" t="s">
        <v>46</v>
      </c>
      <c r="AF67" s="13" t="s">
        <v>47</v>
      </c>
      <c r="AG67" s="12" t="s">
        <v>48</v>
      </c>
    </row>
    <row r="68" customFormat="false" ht="26.25" hidden="false" customHeight="true" outlineLevel="0" collapsed="false">
      <c r="A68" s="6" t="n">
        <v>22</v>
      </c>
      <c r="B68" s="9" t="n">
        <f aca="false">IF(ISNUMBER(A68),
IF(AND(A68=INT(A68), MOD(A68, 10) = 0), 0,
IF(AND(A68=INT(A68), LEN(A68)=2), 1,
IF(AND(A68=INT(A68), LEN(A68)=3), 2,
LEN(A68) - FIND(".", A68) + 2)
)
),
"")</f>
        <v>1</v>
      </c>
      <c r="C68" s="37" t="s">
        <v>192</v>
      </c>
      <c r="D68" s="10" t="str">
        <f aca="false">REPT("   ", B68*2) &amp; C68</f>
        <v>      Reactor System</v>
      </c>
      <c r="E68" s="10"/>
      <c r="F68" s="10"/>
      <c r="G68" s="10"/>
      <c r="H68" s="10"/>
      <c r="I68" s="10"/>
      <c r="J68" s="16"/>
      <c r="K68" s="17"/>
      <c r="L68" s="19"/>
      <c r="M68" s="26"/>
      <c r="N68" s="23"/>
      <c r="O68" s="23"/>
      <c r="P68" s="23"/>
      <c r="Q68" s="20"/>
      <c r="R68" s="23"/>
      <c r="S68" s="26"/>
      <c r="T68" s="23"/>
      <c r="U68" s="23"/>
      <c r="V68" s="23"/>
      <c r="W68" s="12"/>
      <c r="X68" s="24"/>
      <c r="Y68" s="24"/>
      <c r="Z68" s="12"/>
      <c r="AA68" s="13"/>
      <c r="AB68" s="13"/>
      <c r="AC68" s="12"/>
      <c r="AD68" s="13"/>
      <c r="AE68" s="13"/>
      <c r="AF68" s="13"/>
      <c r="AG68" s="12"/>
    </row>
    <row r="69" customFormat="false" ht="26.25" hidden="false" customHeight="true" outlineLevel="0" collapsed="false">
      <c r="A69" s="30" t="n">
        <v>221</v>
      </c>
      <c r="B69" s="9" t="n">
        <f aca="false">IF(ISNUMBER(A69),
IF(AND(A69=INT(A69), MOD(A69, 10) = 0), 0,
IF(AND(A69=INT(A69), LEN(A69)=2), 1,
IF(AND(A69=INT(A69), LEN(A69)=3), 2,
LEN(A69) - FIND(".", A69) + 2)
)
),
"")</f>
        <v>2</v>
      </c>
      <c r="C69" s="37" t="s">
        <v>193</v>
      </c>
      <c r="D69" s="10" t="str">
        <f aca="false">REPT("   ", B69*2) &amp; C69</f>
        <v>            Reactor Components</v>
      </c>
      <c r="E69" s="10"/>
      <c r="F69" s="10"/>
      <c r="G69" s="10"/>
      <c r="H69" s="10"/>
      <c r="I69" s="10"/>
      <c r="J69" s="16"/>
      <c r="K69" s="17"/>
      <c r="L69" s="19"/>
      <c r="M69" s="26"/>
      <c r="N69" s="23"/>
      <c r="O69" s="23"/>
      <c r="P69" s="23"/>
      <c r="Q69" s="20"/>
      <c r="R69" s="23"/>
      <c r="S69" s="26"/>
      <c r="T69" s="23"/>
      <c r="U69" s="23"/>
      <c r="V69" s="23"/>
      <c r="W69" s="12"/>
      <c r="X69" s="24"/>
      <c r="Y69" s="24"/>
      <c r="Z69" s="12"/>
      <c r="AA69" s="13"/>
      <c r="AB69" s="13"/>
      <c r="AC69" s="12"/>
      <c r="AD69" s="13"/>
      <c r="AE69" s="13"/>
      <c r="AF69" s="13"/>
      <c r="AG69" s="12"/>
    </row>
    <row r="70" customFormat="false" ht="53.25" hidden="false" customHeight="true" outlineLevel="0" collapsed="false">
      <c r="A70" s="30" t="n">
        <v>221.1</v>
      </c>
      <c r="B70" s="9" t="n">
        <f aca="false">IF(ISNUMBER(A70),
IF(AND(A70=INT(A70), MOD(A70, 10) = 0), 0,
IF(AND(A70=INT(A70), LEN(A70)=2), 1,
IF(AND(A70=INT(A70), LEN(A70)=3), 2,
LEN(A70) - FIND(".", A70) + 2)
)
),
"")</f>
        <v>3</v>
      </c>
      <c r="C70" s="37" t="s">
        <v>194</v>
      </c>
      <c r="D70" s="10" t="str">
        <f aca="false">REPT("   ", B70*2) &amp; C70</f>
        <v>                  Reactor Vessel and Accessories</v>
      </c>
      <c r="E70" s="10"/>
      <c r="F70" s="10"/>
      <c r="G70" s="10"/>
      <c r="H70" s="10"/>
      <c r="I70" s="10"/>
      <c r="J70" s="16"/>
      <c r="K70" s="41"/>
      <c r="L70" s="23"/>
      <c r="M70" s="26"/>
      <c r="N70" s="23"/>
      <c r="O70" s="23"/>
      <c r="P70" s="23"/>
      <c r="Q70" s="20"/>
      <c r="R70" s="23"/>
      <c r="S70" s="26"/>
      <c r="T70" s="23"/>
      <c r="U70" s="23"/>
      <c r="V70" s="23"/>
      <c r="W70" s="12"/>
      <c r="X70" s="24"/>
      <c r="Y70" s="24"/>
      <c r="Z70" s="12"/>
      <c r="AA70" s="13"/>
      <c r="AB70" s="13"/>
      <c r="AC70" s="12"/>
      <c r="AD70" s="13"/>
      <c r="AE70" s="13"/>
      <c r="AF70" s="13"/>
      <c r="AG70" s="12"/>
    </row>
    <row r="71" customFormat="false" ht="111.75" hidden="false" customHeight="true" outlineLevel="0" collapsed="false">
      <c r="A71" s="30" t="n">
        <v>221.11</v>
      </c>
      <c r="B71" s="9" t="n">
        <f aca="false">IF(ISNUMBER(A71),
IF(AND(A71=INT(A71), MOD(A71, 10) = 0), 0,
IF(AND(A71=INT(A71), LEN(A71)=2), 1,
IF(AND(A71=INT(A71), LEN(A71)=3), 2,
LEN(A71) - FIND(".", A71) + 2)
)
),
"")</f>
        <v>4</v>
      </c>
      <c r="C71" s="37" t="s">
        <v>195</v>
      </c>
      <c r="D71" s="10" t="str">
        <f aca="false">REPT("   ", B71*2) &amp; C71</f>
        <v>                        Reactor Support</v>
      </c>
      <c r="E71" s="10" t="s">
        <v>35</v>
      </c>
      <c r="F71" s="10"/>
      <c r="G71" s="10"/>
      <c r="H71" s="10"/>
      <c r="I71" s="10"/>
      <c r="J71" s="16"/>
      <c r="K71" s="42" t="n">
        <f aca="false">MARVEL_Cost!C16/N71</f>
        <v>311.557989374745</v>
      </c>
      <c r="L71" s="23" t="s">
        <v>196</v>
      </c>
      <c r="M71" s="26" t="s">
        <v>197</v>
      </c>
      <c r="N71" s="23" t="n">
        <f aca="false">1000*('Design Variables'!B52+'Design Variables'!B49)</f>
        <v>2447</v>
      </c>
      <c r="O71" s="23" t="s">
        <v>198</v>
      </c>
      <c r="P71" s="23" t="n">
        <v>0.85</v>
      </c>
      <c r="Q71" s="20" t="n">
        <v>2018</v>
      </c>
      <c r="R71" s="23" t="s">
        <v>96</v>
      </c>
      <c r="S71" s="26" t="s">
        <v>199</v>
      </c>
      <c r="T71" s="26"/>
      <c r="U71" s="37"/>
      <c r="V71" s="26" t="s">
        <v>200</v>
      </c>
      <c r="W71" s="12" t="s">
        <v>201</v>
      </c>
      <c r="X71" s="24" t="n">
        <f aca="false">0.9*$J71</f>
        <v>0</v>
      </c>
      <c r="Y71" s="24" t="n">
        <f aca="false">1.5*J71</f>
        <v>0</v>
      </c>
      <c r="Z71" s="12" t="s">
        <v>44</v>
      </c>
      <c r="AA71" s="13" t="n">
        <f aca="false">0.9*K71</f>
        <v>280.40219043727</v>
      </c>
      <c r="AB71" s="13" t="n">
        <f aca="false">1.3*K71</f>
        <v>405.025386187168</v>
      </c>
      <c r="AC71" s="12" t="s">
        <v>44</v>
      </c>
      <c r="AD71" s="13" t="s">
        <v>45</v>
      </c>
      <c r="AE71" s="13" t="s">
        <v>46</v>
      </c>
      <c r="AF71" s="13" t="s">
        <v>47</v>
      </c>
      <c r="AG71" s="12" t="s">
        <v>48</v>
      </c>
    </row>
    <row r="72" customFormat="false" ht="53.25" hidden="false" customHeight="true" outlineLevel="0" collapsed="false">
      <c r="A72" s="30" t="n">
        <v>221.12</v>
      </c>
      <c r="B72" s="9" t="n">
        <f aca="false">IF(ISNUMBER(A72),
IF(AND(A72=INT(A72), MOD(A72, 10) = 0), 0,
IF(AND(A72=INT(A72), LEN(A72)=2), 1,
IF(AND(A72=INT(A72), LEN(A72)=3), 2,
LEN(A72) - FIND(".", A72) + 2)
)
),
"")</f>
        <v>4</v>
      </c>
      <c r="C72" s="37" t="s">
        <v>202</v>
      </c>
      <c r="D72" s="10" t="str">
        <f aca="false">REPT("   ", B72*2) &amp; C72</f>
        <v>                        Outer Vessel Structure</v>
      </c>
      <c r="E72" s="10" t="s">
        <v>35</v>
      </c>
      <c r="F72" s="10" t="s">
        <v>203</v>
      </c>
      <c r="G72" s="10" t="s">
        <v>204</v>
      </c>
      <c r="H72" s="10"/>
      <c r="I72" s="10"/>
      <c r="J72" s="16"/>
      <c r="K72" s="42" t="n">
        <f aca="false">MARVEL_Cost!C17/N72</f>
        <v>757.207687460618</v>
      </c>
      <c r="L72" s="23" t="s">
        <v>196</v>
      </c>
      <c r="M72" s="26" t="s">
        <v>205</v>
      </c>
      <c r="N72" s="43" t="n">
        <f aca="false">'Design Variables'!B52*1000</f>
        <v>1587</v>
      </c>
      <c r="O72" s="23" t="s">
        <v>198</v>
      </c>
      <c r="P72" s="23"/>
      <c r="Q72" s="20" t="n">
        <v>2017</v>
      </c>
      <c r="R72" s="23" t="s">
        <v>96</v>
      </c>
      <c r="S72" s="26" t="s">
        <v>206</v>
      </c>
      <c r="T72" s="44" t="s">
        <v>207</v>
      </c>
      <c r="U72" s="37"/>
      <c r="V72" s="23"/>
      <c r="W72" s="12" t="s">
        <v>201</v>
      </c>
      <c r="X72" s="24" t="n">
        <f aca="false">0.9*$J72</f>
        <v>0</v>
      </c>
      <c r="Y72" s="24" t="n">
        <f aca="false">1.5*J72</f>
        <v>0</v>
      </c>
      <c r="Z72" s="12" t="s">
        <v>44</v>
      </c>
      <c r="AA72" s="13" t="n">
        <f aca="false">0.9*K72</f>
        <v>681.486918714556</v>
      </c>
      <c r="AB72" s="13" t="n">
        <f aca="false">1.3*K72</f>
        <v>984.369993698803</v>
      </c>
      <c r="AC72" s="12" t="s">
        <v>44</v>
      </c>
      <c r="AD72" s="13" t="s">
        <v>45</v>
      </c>
      <c r="AE72" s="13" t="s">
        <v>46</v>
      </c>
      <c r="AF72" s="13" t="s">
        <v>47</v>
      </c>
      <c r="AG72" s="12" t="s">
        <v>48</v>
      </c>
    </row>
    <row r="73" customFormat="false" ht="53.25" hidden="false" customHeight="true" outlineLevel="0" collapsed="false">
      <c r="A73" s="30" t="n">
        <v>221.12</v>
      </c>
      <c r="B73" s="9" t="n">
        <f aca="false">IF(ISNUMBER(A73),
IF(AND(A73=INT(A73), MOD(A73, 10) = 0), 0,
IF(AND(A73=INT(A73), LEN(A73)=2), 1,
IF(AND(A73=INT(A73), LEN(A73)=3), 2,
LEN(A73) - FIND(".", A73) + 2)
)
),
"")</f>
        <v>4</v>
      </c>
      <c r="C73" s="37" t="s">
        <v>202</v>
      </c>
      <c r="D73" s="10" t="str">
        <f aca="false">REPT("   ", B73*2) &amp; C73</f>
        <v>                        Outer Vessel Structure</v>
      </c>
      <c r="E73" s="10" t="s">
        <v>35</v>
      </c>
      <c r="F73" s="10" t="s">
        <v>203</v>
      </c>
      <c r="G73" s="10" t="s">
        <v>208</v>
      </c>
      <c r="H73" s="10"/>
      <c r="I73" s="10"/>
      <c r="J73" s="16"/>
      <c r="K73" s="42" t="n">
        <v>154.08</v>
      </c>
      <c r="L73" s="23" t="s">
        <v>196</v>
      </c>
      <c r="M73" s="26" t="s">
        <v>205</v>
      </c>
      <c r="N73" s="43"/>
      <c r="O73" s="23"/>
      <c r="P73" s="23"/>
      <c r="Q73" s="20" t="n">
        <v>2017</v>
      </c>
      <c r="R73" s="23" t="s">
        <v>96</v>
      </c>
      <c r="S73" s="26" t="s">
        <v>206</v>
      </c>
      <c r="T73" s="44"/>
      <c r="U73" s="37"/>
      <c r="V73" s="23"/>
      <c r="W73" s="12" t="s">
        <v>201</v>
      </c>
      <c r="X73" s="24" t="n">
        <f aca="false">0.9*$J73</f>
        <v>0</v>
      </c>
      <c r="Y73" s="24" t="n">
        <f aca="false">1.5*J73</f>
        <v>0</v>
      </c>
      <c r="Z73" s="12" t="s">
        <v>44</v>
      </c>
      <c r="AA73" s="13" t="n">
        <f aca="false">0.9*K73</f>
        <v>138.672</v>
      </c>
      <c r="AB73" s="13" t="n">
        <f aca="false">1.3*K73</f>
        <v>200.304</v>
      </c>
      <c r="AC73" s="12" t="s">
        <v>44</v>
      </c>
      <c r="AD73" s="13" t="s">
        <v>45</v>
      </c>
      <c r="AE73" s="13" t="s">
        <v>46</v>
      </c>
      <c r="AF73" s="13" t="s">
        <v>47</v>
      </c>
      <c r="AG73" s="12" t="s">
        <v>48</v>
      </c>
    </row>
    <row r="74" customFormat="false" ht="53.25" hidden="false" customHeight="true" outlineLevel="0" collapsed="false">
      <c r="A74" s="30" t="n">
        <v>221.12</v>
      </c>
      <c r="B74" s="9" t="n">
        <f aca="false">IF(ISNUMBER(A74),
    IF(AND(A74=INT(A74), MOD(A74, 10) = 0), 0,
        IF(AND(A74=INT(A74), LEN(A74)=2), 1,
            IF(AND(A74=INT(A74), LEN(A74)=3), 2,
                LEN(A74) - FIND(".", A74) + 2)
        )
    ),
"")</f>
        <v>4</v>
      </c>
      <c r="C74" s="37" t="s">
        <v>202</v>
      </c>
      <c r="D74" s="10" t="str">
        <f aca="false">REPT("   ", B74*2) &amp; C74</f>
        <v>                        Outer Vessel Structure</v>
      </c>
      <c r="E74" s="10" t="s">
        <v>35</v>
      </c>
      <c r="F74" s="10" t="s">
        <v>203</v>
      </c>
      <c r="G74" s="10" t="s">
        <v>209</v>
      </c>
      <c r="H74" s="10"/>
      <c r="I74" s="10"/>
      <c r="J74" s="16"/>
      <c r="K74" s="42" t="n">
        <v>444.08</v>
      </c>
      <c r="L74" s="23" t="s">
        <v>196</v>
      </c>
      <c r="M74" s="26" t="s">
        <v>205</v>
      </c>
      <c r="N74" s="43"/>
      <c r="O74" s="23"/>
      <c r="P74" s="23"/>
      <c r="Q74" s="20" t="n">
        <v>2017</v>
      </c>
      <c r="R74" s="23" t="s">
        <v>96</v>
      </c>
      <c r="S74" s="26" t="s">
        <v>206</v>
      </c>
      <c r="T74" s="44"/>
      <c r="U74" s="37"/>
      <c r="V74" s="23"/>
      <c r="W74" s="12" t="s">
        <v>201</v>
      </c>
      <c r="X74" s="24" t="n">
        <f aca="false">0.9*$J74</f>
        <v>0</v>
      </c>
      <c r="Y74" s="24" t="n">
        <f aca="false">1.5*J74</f>
        <v>0</v>
      </c>
      <c r="Z74" s="12" t="s">
        <v>44</v>
      </c>
      <c r="AA74" s="13" t="n">
        <f aca="false">0.9*K74</f>
        <v>399.672</v>
      </c>
      <c r="AB74" s="13" t="n">
        <f aca="false">1.3*K74</f>
        <v>577.304</v>
      </c>
      <c r="AC74" s="12" t="s">
        <v>44</v>
      </c>
      <c r="AD74" s="13" t="s">
        <v>45</v>
      </c>
      <c r="AE74" s="13" t="s">
        <v>46</v>
      </c>
      <c r="AF74" s="13" t="s">
        <v>47</v>
      </c>
      <c r="AG74" s="12" t="s">
        <v>48</v>
      </c>
    </row>
    <row r="75" customFormat="false" ht="53.25" hidden="false" customHeight="true" outlineLevel="0" collapsed="false">
      <c r="A75" s="30" t="n">
        <v>221.13</v>
      </c>
      <c r="B75" s="9" t="n">
        <f aca="false">IF(ISNUMBER(A75),
IF(AND(A75=INT(A75), MOD(A75, 10) = 0), 0,
IF(AND(A75=INT(A75), LEN(A75)=2), 1,
IF(AND(A75=INT(A75), LEN(A75)=3), 2,
LEN(A75) - FIND(".", A75) + 2)
)
),
"")</f>
        <v>4</v>
      </c>
      <c r="C75" s="37" t="s">
        <v>210</v>
      </c>
      <c r="D75" s="10" t="str">
        <f aca="false">REPT("   ", B75*2) &amp; C75</f>
        <v>                        Inner Vessel Structure</v>
      </c>
      <c r="E75" s="10" t="s">
        <v>35</v>
      </c>
      <c r="F75" s="10" t="s">
        <v>211</v>
      </c>
      <c r="G75" s="10" t="s">
        <v>204</v>
      </c>
      <c r="H75" s="10"/>
      <c r="I75" s="10"/>
      <c r="J75" s="16" t="n">
        <f aca="false">MARVEL_Cost!C37+MARVEL_Cost!C36</f>
        <v>3369444.6</v>
      </c>
      <c r="K75" s="42" t="n">
        <f aca="false">(MARVEL_Cost!C35)/N75</f>
        <v>1768.35581395349</v>
      </c>
      <c r="L75" s="23" t="s">
        <v>196</v>
      </c>
      <c r="M75" s="26" t="s">
        <v>212</v>
      </c>
      <c r="N75" s="23" t="n">
        <f aca="false">1000*'Design Variables'!B49</f>
        <v>860</v>
      </c>
      <c r="O75" s="23"/>
      <c r="P75" s="23"/>
      <c r="Q75" s="20" t="n">
        <v>2017</v>
      </c>
      <c r="R75" s="23" t="s">
        <v>96</v>
      </c>
      <c r="S75" s="26" t="s">
        <v>206</v>
      </c>
      <c r="T75" s="44"/>
      <c r="U75" s="37"/>
      <c r="V75" s="26" t="s">
        <v>213</v>
      </c>
      <c r="W75" s="12" t="s">
        <v>201</v>
      </c>
      <c r="X75" s="24" t="n">
        <f aca="false">0.9*$J75</f>
        <v>3032500.14</v>
      </c>
      <c r="Y75" s="24" t="n">
        <f aca="false">1.5*J75</f>
        <v>5054166.9</v>
      </c>
      <c r="Z75" s="12" t="s">
        <v>44</v>
      </c>
      <c r="AA75" s="13" t="n">
        <f aca="false">0.9*K75</f>
        <v>1591.52023255814</v>
      </c>
      <c r="AB75" s="13" t="n">
        <f aca="false">1.3*K75</f>
        <v>2298.86255813954</v>
      </c>
      <c r="AC75" s="12" t="s">
        <v>44</v>
      </c>
      <c r="AD75" s="13" t="s">
        <v>45</v>
      </c>
      <c r="AE75" s="13" t="s">
        <v>46</v>
      </c>
      <c r="AF75" s="13" t="s">
        <v>47</v>
      </c>
      <c r="AG75" s="12" t="s">
        <v>48</v>
      </c>
    </row>
    <row r="76" customFormat="false" ht="53.25" hidden="false" customHeight="true" outlineLevel="0" collapsed="false">
      <c r="A76" s="30" t="n">
        <v>221.13</v>
      </c>
      <c r="B76" s="9" t="n">
        <f aca="false">IF(ISNUMBER(A76),
IF(AND(A76=INT(A76), MOD(A76, 10) = 0), 0,
IF(AND(A76=INT(A76), LEN(A76)=2), 1,
IF(AND(A76=INT(A76), LEN(A76)=3), 2,
LEN(A76) - FIND(".", A76) + 2)
)
),
"")</f>
        <v>4</v>
      </c>
      <c r="C76" s="37" t="s">
        <v>210</v>
      </c>
      <c r="D76" s="10" t="str">
        <f aca="false">REPT("   ", B76*2) &amp; C76</f>
        <v>                        Inner Vessel Structure</v>
      </c>
      <c r="E76" s="10" t="s">
        <v>35</v>
      </c>
      <c r="F76" s="10" t="s">
        <v>211</v>
      </c>
      <c r="G76" s="10" t="s">
        <v>208</v>
      </c>
      <c r="H76" s="10"/>
      <c r="I76" s="10"/>
      <c r="J76" s="16"/>
      <c r="K76" s="42" t="n">
        <v>154.08</v>
      </c>
      <c r="L76" s="23" t="s">
        <v>196</v>
      </c>
      <c r="M76" s="26" t="s">
        <v>212</v>
      </c>
      <c r="N76" s="23"/>
      <c r="O76" s="23"/>
      <c r="P76" s="23"/>
      <c r="Q76" s="20" t="n">
        <v>2017</v>
      </c>
      <c r="R76" s="23" t="s">
        <v>96</v>
      </c>
      <c r="S76" s="26" t="s">
        <v>206</v>
      </c>
      <c r="T76" s="44"/>
      <c r="U76" s="37"/>
      <c r="V76" s="26"/>
      <c r="W76" s="12" t="s">
        <v>201</v>
      </c>
      <c r="X76" s="24" t="n">
        <f aca="false">0.9*$J76</f>
        <v>0</v>
      </c>
      <c r="Y76" s="24" t="n">
        <f aca="false">1.5*J76</f>
        <v>0</v>
      </c>
      <c r="Z76" s="12" t="s">
        <v>44</v>
      </c>
      <c r="AA76" s="13" t="n">
        <f aca="false">0.9*K76</f>
        <v>138.672</v>
      </c>
      <c r="AB76" s="13" t="n">
        <f aca="false">1.3*K76</f>
        <v>200.304</v>
      </c>
      <c r="AC76" s="12" t="s">
        <v>44</v>
      </c>
      <c r="AD76" s="13" t="s">
        <v>45</v>
      </c>
      <c r="AE76" s="13" t="s">
        <v>46</v>
      </c>
      <c r="AF76" s="13" t="s">
        <v>47</v>
      </c>
      <c r="AG76" s="12" t="s">
        <v>48</v>
      </c>
    </row>
    <row r="77" customFormat="false" ht="53.25" hidden="false" customHeight="true" outlineLevel="0" collapsed="false">
      <c r="A77" s="30" t="n">
        <v>221.13</v>
      </c>
      <c r="B77" s="9" t="n">
        <f aca="false">IF(ISNUMBER(A77),
    IF(AND(A77=INT(A77), MOD(A77, 10) = 0), 0,
        IF(AND(A77=INT(A77), LEN(A77)=2), 1,
            IF(AND(A77=INT(A77), LEN(A77)=3), 2,
                LEN(A77) - FIND(".", A77) + 2)
        )
    ),
"")</f>
        <v>4</v>
      </c>
      <c r="C77" s="37" t="s">
        <v>210</v>
      </c>
      <c r="D77" s="10" t="str">
        <f aca="false">REPT("   ", B77*2) &amp; C77</f>
        <v>                        Inner Vessel Structure</v>
      </c>
      <c r="E77" s="10" t="s">
        <v>35</v>
      </c>
      <c r="F77" s="10" t="s">
        <v>211</v>
      </c>
      <c r="G77" s="10" t="s">
        <v>209</v>
      </c>
      <c r="H77" s="10"/>
      <c r="I77" s="10"/>
      <c r="J77" s="16"/>
      <c r="K77" s="42" t="n">
        <v>444.08</v>
      </c>
      <c r="L77" s="23" t="s">
        <v>196</v>
      </c>
      <c r="M77" s="26" t="s">
        <v>212</v>
      </c>
      <c r="N77" s="23"/>
      <c r="O77" s="23"/>
      <c r="P77" s="23"/>
      <c r="Q77" s="20" t="n">
        <v>2017</v>
      </c>
      <c r="R77" s="23" t="s">
        <v>96</v>
      </c>
      <c r="S77" s="26" t="s">
        <v>206</v>
      </c>
      <c r="T77" s="44"/>
      <c r="U77" s="37"/>
      <c r="V77" s="26"/>
      <c r="W77" s="12" t="s">
        <v>201</v>
      </c>
      <c r="X77" s="24" t="n">
        <f aca="false">0.9*$J77</f>
        <v>0</v>
      </c>
      <c r="Y77" s="24" t="n">
        <f aca="false">1.5*J77</f>
        <v>0</v>
      </c>
      <c r="Z77" s="12" t="s">
        <v>44</v>
      </c>
      <c r="AA77" s="13" t="n">
        <f aca="false">0.9*K77</f>
        <v>399.672</v>
      </c>
      <c r="AB77" s="13" t="n">
        <f aca="false">1.3*K77</f>
        <v>577.304</v>
      </c>
      <c r="AC77" s="12" t="s">
        <v>44</v>
      </c>
      <c r="AD77" s="13" t="s">
        <v>45</v>
      </c>
      <c r="AE77" s="13" t="s">
        <v>46</v>
      </c>
      <c r="AF77" s="13" t="s">
        <v>47</v>
      </c>
      <c r="AG77" s="12" t="s">
        <v>48</v>
      </c>
    </row>
    <row r="78" customFormat="false" ht="53.25" hidden="false" customHeight="true" outlineLevel="0" collapsed="false">
      <c r="A78" s="30" t="n">
        <v>221.2</v>
      </c>
      <c r="B78" s="9" t="n">
        <f aca="false">IF(ISNUMBER(A78),
IF(AND(A78=INT(A78), MOD(A78, 10) = 0), 0,
IF(AND(A78=INT(A78), LEN(A78)=2), 1,
IF(AND(A78=INT(A78), LEN(A78)=3), 2,
LEN(A78) - FIND(".", A78) + 2)
)
),
"")</f>
        <v>3</v>
      </c>
      <c r="C78" s="37" t="s">
        <v>214</v>
      </c>
      <c r="D78" s="10" t="str">
        <f aca="false">REPT("   ", B78*2) &amp; C78</f>
        <v>                  Reactor Control Devices</v>
      </c>
      <c r="E78" s="10"/>
      <c r="F78" s="10"/>
      <c r="G78" s="10"/>
      <c r="H78" s="10"/>
      <c r="I78" s="10"/>
      <c r="J78" s="16"/>
      <c r="K78" s="42"/>
      <c r="L78" s="23"/>
      <c r="M78" s="26"/>
      <c r="N78" s="23"/>
      <c r="O78" s="23"/>
      <c r="P78" s="23"/>
      <c r="Q78" s="20"/>
      <c r="R78" s="23"/>
      <c r="S78" s="26"/>
      <c r="T78" s="23"/>
      <c r="U78" s="23"/>
      <c r="V78" s="23"/>
      <c r="W78" s="12"/>
      <c r="X78" s="24"/>
      <c r="Y78" s="24"/>
      <c r="Z78" s="12"/>
      <c r="AA78" s="13"/>
      <c r="AB78" s="13"/>
      <c r="AC78" s="12"/>
      <c r="AD78" s="13"/>
      <c r="AE78" s="13"/>
      <c r="AF78" s="13"/>
      <c r="AG78" s="12"/>
    </row>
    <row r="79" customFormat="false" ht="53.25" hidden="false" customHeight="true" outlineLevel="0" collapsed="false">
      <c r="A79" s="30" t="n">
        <v>221.21</v>
      </c>
      <c r="B79" s="9" t="n">
        <f aca="false">IF(ISNUMBER(A79),
IF(AND(A79=INT(A79), MOD(A79, 10) = 0), 0,
IF(AND(A79=INT(A79), LEN(A79)=2), 1,
IF(AND(A79=INT(A79), LEN(A79)=3), 2,
LEN(A79) - FIND(".", A79) + 2)
)
),
"")</f>
        <v>4</v>
      </c>
      <c r="C79" s="37" t="s">
        <v>215</v>
      </c>
      <c r="D79" s="10" t="str">
        <f aca="false">REPT("   ", B79*2) &amp; C79</f>
        <v>                        Reactivity Control System </v>
      </c>
      <c r="E79" s="10"/>
      <c r="F79" s="10"/>
      <c r="G79" s="10"/>
      <c r="H79" s="10"/>
      <c r="I79" s="10"/>
      <c r="J79" s="16"/>
      <c r="K79" s="42"/>
      <c r="L79" s="23"/>
      <c r="M79" s="26"/>
      <c r="N79" s="23"/>
      <c r="O79" s="23"/>
      <c r="P79" s="23"/>
      <c r="Q79" s="20"/>
      <c r="R79" s="23"/>
      <c r="S79" s="26"/>
      <c r="T79" s="23"/>
      <c r="U79" s="23"/>
      <c r="V79" s="23"/>
      <c r="W79" s="12"/>
      <c r="X79" s="24"/>
      <c r="Y79" s="24"/>
      <c r="Z79" s="12"/>
      <c r="AA79" s="13"/>
      <c r="AB79" s="13"/>
      <c r="AC79" s="12"/>
      <c r="AD79" s="13"/>
      <c r="AE79" s="13"/>
      <c r="AF79" s="13"/>
      <c r="AG79" s="12"/>
    </row>
    <row r="80" s="36" customFormat="true" ht="74.25" hidden="false" customHeight="true" outlineLevel="0" collapsed="false">
      <c r="A80" s="30" t="n">
        <v>221.211</v>
      </c>
      <c r="B80" s="9" t="n">
        <f aca="false">IF(ISNUMBER(A80),
IF(AND(A80=INT(A80), MOD(A80, 10) = 0), 0,
IF(AND(A80=INT(A80), LEN(A80)=2), 1,
IF(AND(A80=INT(A80), LEN(A80)=3), 2,
LEN(A80) - FIND(".", A80) + 2)
)
),
"")</f>
        <v>5</v>
      </c>
      <c r="C80" s="37" t="s">
        <v>216</v>
      </c>
      <c r="D80" s="10" t="str">
        <f aca="false">REPT("   ", B80*2) &amp; C80</f>
        <v>                              Reactivity Control System Fabrication</v>
      </c>
      <c r="E80" s="10" t="s">
        <v>35</v>
      </c>
      <c r="F80" s="10"/>
      <c r="G80" s="10"/>
      <c r="H80" s="10"/>
      <c r="I80" s="10"/>
      <c r="J80" s="16"/>
      <c r="K80" s="42" t="n">
        <f aca="false">MARVEL_Cost!C21/'Design Variables'!B21</f>
        <v>347890</v>
      </c>
      <c r="L80" s="23" t="s">
        <v>217</v>
      </c>
      <c r="M80" s="26" t="s">
        <v>218</v>
      </c>
      <c r="N80" s="23"/>
      <c r="O80" s="23"/>
      <c r="P80" s="23"/>
      <c r="Q80" s="20" t="n">
        <v>2024</v>
      </c>
      <c r="R80" s="23" t="s">
        <v>96</v>
      </c>
      <c r="S80" s="26" t="s">
        <v>219</v>
      </c>
      <c r="T80" s="44" t="s">
        <v>220</v>
      </c>
      <c r="U80" s="45" t="s">
        <v>221</v>
      </c>
      <c r="V80" s="26" t="s">
        <v>222</v>
      </c>
      <c r="W80" s="12" t="s">
        <v>223</v>
      </c>
      <c r="X80" s="24" t="n">
        <f aca="false">0.9*$J80</f>
        <v>0</v>
      </c>
      <c r="Y80" s="24" t="n">
        <f aca="false">1.5*J80</f>
        <v>0</v>
      </c>
      <c r="Z80" s="12" t="s">
        <v>44</v>
      </c>
      <c r="AA80" s="13" t="n">
        <f aca="false">0.9*K80</f>
        <v>313101</v>
      </c>
      <c r="AB80" s="13" t="n">
        <f aca="false">1.3*K80</f>
        <v>452257</v>
      </c>
      <c r="AC80" s="12" t="s">
        <v>44</v>
      </c>
      <c r="AD80" s="13" t="s">
        <v>45</v>
      </c>
      <c r="AE80" s="13" t="s">
        <v>46</v>
      </c>
      <c r="AF80" s="13" t="s">
        <v>47</v>
      </c>
      <c r="AG80" s="12" t="s">
        <v>48</v>
      </c>
    </row>
    <row r="81" s="36" customFormat="true" ht="13.5" hidden="false" customHeight="false" outlineLevel="0" collapsed="false">
      <c r="A81" s="30" t="n">
        <v>221.212</v>
      </c>
      <c r="B81" s="9" t="n">
        <f aca="false">IF(ISNUMBER(A81),
IF(AND(A81=INT(A81), MOD(A81, 10) = 0), 0,
IF(AND(A81=INT(A81), LEN(A81)=2), 1,
IF(AND(A81=INT(A81), LEN(A81)=3), 2,
LEN(A81) - FIND(".", A81) + 2)
)
),
"")</f>
        <v>5</v>
      </c>
      <c r="C81" s="37" t="s">
        <v>224</v>
      </c>
      <c r="D81" s="10" t="str">
        <f aca="false">REPT("   ", B81*2) &amp; C81</f>
        <v>                              Installation</v>
      </c>
      <c r="E81" s="10" t="s">
        <v>35</v>
      </c>
      <c r="F81" s="10"/>
      <c r="G81" s="10"/>
      <c r="H81" s="10"/>
      <c r="I81" s="10"/>
      <c r="J81" s="16"/>
      <c r="K81" s="42" t="n">
        <f aca="false">MARVEL_Cost!C22/'Design Variables'!B21</f>
        <v>80665.75</v>
      </c>
      <c r="L81" s="23" t="s">
        <v>217</v>
      </c>
      <c r="M81" s="26" t="s">
        <v>218</v>
      </c>
      <c r="N81" s="23"/>
      <c r="O81" s="23"/>
      <c r="P81" s="23"/>
      <c r="Q81" s="20" t="n">
        <v>2024</v>
      </c>
      <c r="R81" s="23" t="s">
        <v>73</v>
      </c>
      <c r="S81" s="26" t="s">
        <v>219</v>
      </c>
      <c r="T81" s="44"/>
      <c r="U81" s="44"/>
      <c r="V81" s="23"/>
      <c r="W81" s="12" t="s">
        <v>223</v>
      </c>
      <c r="X81" s="24" t="n">
        <f aca="false">0.9*$J81</f>
        <v>0</v>
      </c>
      <c r="Y81" s="24" t="n">
        <f aca="false">1.5*J81</f>
        <v>0</v>
      </c>
      <c r="Z81" s="12" t="s">
        <v>44</v>
      </c>
      <c r="AA81" s="13" t="n">
        <f aca="false">0.9*K81</f>
        <v>72599.175</v>
      </c>
      <c r="AB81" s="13" t="n">
        <f aca="false">1.3*K81</f>
        <v>104865.475</v>
      </c>
      <c r="AC81" s="12" t="s">
        <v>44</v>
      </c>
      <c r="AD81" s="13" t="s">
        <v>45</v>
      </c>
      <c r="AE81" s="13" t="s">
        <v>46</v>
      </c>
      <c r="AF81" s="13" t="s">
        <v>47</v>
      </c>
      <c r="AG81" s="12" t="s">
        <v>48</v>
      </c>
    </row>
    <row r="82" s="36" customFormat="true" ht="53.25" hidden="false" customHeight="true" outlineLevel="0" collapsed="false">
      <c r="A82" s="30" t="n">
        <v>221.213</v>
      </c>
      <c r="B82" s="9" t="n">
        <f aca="false">IF(ISNUMBER(A82),
IF(AND(A82=INT(A82), MOD(A82, 10) = 0), 0,
IF(AND(A82=INT(A82), LEN(A82)=2), 1,
IF(AND(A82=INT(A82), LEN(A82)=3), 2,
LEN(A82) - FIND(".", A82) + 2)
)
),
"")</f>
        <v>5</v>
      </c>
      <c r="C82" s="37" t="s">
        <v>225</v>
      </c>
      <c r="D82" s="10" t="str">
        <f aca="false">REPT("   ", B82*2) &amp; C82</f>
        <v>                              Control Drums Materials (Absorber)</v>
      </c>
      <c r="E82" s="10" t="s">
        <v>35</v>
      </c>
      <c r="F82" s="10" t="s">
        <v>226</v>
      </c>
      <c r="G82" s="10" t="s">
        <v>227</v>
      </c>
      <c r="H82" s="10"/>
      <c r="I82" s="10"/>
      <c r="J82" s="16"/>
      <c r="K82" s="42" t="n">
        <f aca="false">400000/N82</f>
        <v>14285.7142857143</v>
      </c>
      <c r="L82" s="23" t="s">
        <v>196</v>
      </c>
      <c r="M82" s="26" t="s">
        <v>228</v>
      </c>
      <c r="N82" s="23" t="n">
        <f aca="false">'Design Variables'!B28+'Design Variables'!B29</f>
        <v>28</v>
      </c>
      <c r="O82" s="23" t="s">
        <v>198</v>
      </c>
      <c r="P82" s="23" t="n">
        <v>1</v>
      </c>
      <c r="Q82" s="20" t="n">
        <v>2024</v>
      </c>
      <c r="R82" s="23" t="s">
        <v>229</v>
      </c>
      <c r="S82" s="26" t="s">
        <v>219</v>
      </c>
      <c r="T82" s="44"/>
      <c r="U82" s="44"/>
      <c r="V82" s="23"/>
      <c r="W82" s="12" t="s">
        <v>167</v>
      </c>
      <c r="X82" s="24" t="n">
        <f aca="false">0.9*$J82</f>
        <v>0</v>
      </c>
      <c r="Y82" s="24" t="n">
        <f aca="false">1.5*J82</f>
        <v>0</v>
      </c>
      <c r="Z82" s="12" t="s">
        <v>44</v>
      </c>
      <c r="AA82" s="13" t="n">
        <f aca="false">0.9*K82</f>
        <v>12857.1428571429</v>
      </c>
      <c r="AB82" s="13" t="n">
        <f aca="false">1.3*K82</f>
        <v>18571.4285714286</v>
      </c>
      <c r="AC82" s="12" t="s">
        <v>44</v>
      </c>
      <c r="AD82" s="13" t="s">
        <v>45</v>
      </c>
      <c r="AE82" s="13" t="s">
        <v>46</v>
      </c>
      <c r="AF82" s="13" t="s">
        <v>47</v>
      </c>
      <c r="AG82" s="12" t="s">
        <v>48</v>
      </c>
    </row>
    <row r="83" s="36" customFormat="true" ht="53.25" hidden="false" customHeight="true" outlineLevel="0" collapsed="false">
      <c r="A83" s="30" t="n">
        <v>221.213</v>
      </c>
      <c r="B83" s="9" t="n">
        <f aca="false">IF(ISNUMBER(A83),
    IF(AND(A83=INT(A83), MOD(A83, 10) = 0), 0,
        IF(AND(A83=INT(A83), LEN(A83)=2), 1,
            IF(AND(A83=INT(A83), LEN(A83)=3), 2,
                LEN(A83) - FIND(".", A83) + 2)
        )
    ),
"")</f>
        <v>5</v>
      </c>
      <c r="C83" s="37" t="s">
        <v>225</v>
      </c>
      <c r="D83" s="10" t="str">
        <f aca="false">REPT("   ", B83*2) &amp; C83</f>
        <v>                              Control Drums Materials (Absorber)</v>
      </c>
      <c r="E83" s="10" t="s">
        <v>35</v>
      </c>
      <c r="F83" s="10" t="s">
        <v>226</v>
      </c>
      <c r="G83" s="10" t="s">
        <v>230</v>
      </c>
      <c r="H83" s="10"/>
      <c r="I83" s="10"/>
      <c r="J83" s="16"/>
      <c r="K83" s="42" t="n">
        <v>10064</v>
      </c>
      <c r="L83" s="23" t="s">
        <v>196</v>
      </c>
      <c r="M83" s="26" t="s">
        <v>228</v>
      </c>
      <c r="N83" s="23"/>
      <c r="O83" s="23"/>
      <c r="P83" s="23"/>
      <c r="Q83" s="20" t="n">
        <v>2023</v>
      </c>
      <c r="R83" s="23" t="s">
        <v>229</v>
      </c>
      <c r="S83" s="26" t="s">
        <v>231</v>
      </c>
      <c r="T83" s="44"/>
      <c r="U83" s="44"/>
      <c r="V83" s="23"/>
      <c r="W83" s="12" t="s">
        <v>167</v>
      </c>
      <c r="X83" s="24" t="n">
        <f aca="false">0.9*$J83</f>
        <v>0</v>
      </c>
      <c r="Y83" s="24" t="n">
        <f aca="false">1.5*J83</f>
        <v>0</v>
      </c>
      <c r="Z83" s="12" t="s">
        <v>44</v>
      </c>
      <c r="AA83" s="13" t="n">
        <f aca="false">0.9*K83</f>
        <v>9057.6</v>
      </c>
      <c r="AB83" s="13" t="n">
        <f aca="false">1.3*K83</f>
        <v>13083.2</v>
      </c>
      <c r="AC83" s="12" t="s">
        <v>44</v>
      </c>
      <c r="AD83" s="13" t="s">
        <v>45</v>
      </c>
      <c r="AE83" s="13" t="s">
        <v>46</v>
      </c>
      <c r="AF83" s="13" t="s">
        <v>47</v>
      </c>
      <c r="AG83" s="12" t="s">
        <v>48</v>
      </c>
    </row>
    <row r="84" s="36" customFormat="true" ht="53.25" hidden="false" customHeight="true" outlineLevel="0" collapsed="false">
      <c r="A84" s="30" t="n">
        <v>221.214</v>
      </c>
      <c r="B84" s="9" t="n">
        <f aca="false">IF(ISNUMBER(A84),
IF(AND(A84=INT(A84), MOD(A84, 10) = 0), 0,
IF(AND(A84=INT(A84), LEN(A84)=2), 1,
IF(AND(A84=INT(A84), LEN(A84)=3), 2,
LEN(A84) - FIND(".", A84) + 2)
)
),
"")</f>
        <v>5</v>
      </c>
      <c r="C84" s="37" t="s">
        <v>232</v>
      </c>
      <c r="D84" s="10" t="str">
        <f aca="false">REPT("   ", B84*2) &amp; C84</f>
        <v>                              Control Drums Materials (Reflector)</v>
      </c>
      <c r="E84" s="10" t="s">
        <v>35</v>
      </c>
      <c r="F84" s="10" t="s">
        <v>233</v>
      </c>
      <c r="G84" s="10" t="s">
        <v>234</v>
      </c>
      <c r="H84" s="10"/>
      <c r="I84" s="10"/>
      <c r="J84" s="16"/>
      <c r="K84" s="46" t="n">
        <f aca="false">MARVEL_Cost!C27/N84</f>
        <v>10062.893081761</v>
      </c>
      <c r="L84" s="23" t="s">
        <v>196</v>
      </c>
      <c r="M84" s="26" t="s">
        <v>235</v>
      </c>
      <c r="N84" s="23" t="n">
        <f aca="false">'Design Variables'!B17</f>
        <v>318</v>
      </c>
      <c r="O84" s="23" t="s">
        <v>198</v>
      </c>
      <c r="P84" s="23" t="n">
        <v>1</v>
      </c>
      <c r="Q84" s="20" t="n">
        <v>2024</v>
      </c>
      <c r="R84" s="23" t="s">
        <v>229</v>
      </c>
      <c r="S84" s="26" t="s">
        <v>219</v>
      </c>
      <c r="T84" s="44"/>
      <c r="U84" s="44"/>
      <c r="V84" s="23"/>
      <c r="W84" s="12" t="s">
        <v>236</v>
      </c>
      <c r="X84" s="24" t="n">
        <f aca="false">0.9*$J84</f>
        <v>0</v>
      </c>
      <c r="Y84" s="24" t="n">
        <f aca="false">1.5*J84</f>
        <v>0</v>
      </c>
      <c r="Z84" s="12" t="s">
        <v>44</v>
      </c>
      <c r="AA84" s="13" t="n">
        <f aca="false">0.9*K84</f>
        <v>9056.60377358491</v>
      </c>
      <c r="AB84" s="13" t="n">
        <f aca="false">1.3*K84</f>
        <v>13081.7610062893</v>
      </c>
      <c r="AC84" s="12" t="s">
        <v>44</v>
      </c>
      <c r="AD84" s="13" t="s">
        <v>45</v>
      </c>
      <c r="AE84" s="13" t="s">
        <v>46</v>
      </c>
      <c r="AF84" s="13" t="s">
        <v>47</v>
      </c>
      <c r="AG84" s="12" t="s">
        <v>48</v>
      </c>
    </row>
    <row r="85" s="36" customFormat="true" ht="53.25" hidden="false" customHeight="true" outlineLevel="0" collapsed="false">
      <c r="A85" s="30" t="n">
        <v>221.214</v>
      </c>
      <c r="B85" s="9" t="n">
        <f aca="false">IF(ISNUMBER(A85),
IF(AND(A85=INT(A85), MOD(A85, 10) = 0), 0,
IF(AND(A85=INT(A85), LEN(A85)=2), 1,
IF(AND(A85=INT(A85), LEN(A85)=3), 2,
LEN(A85) - FIND(".", A85) + 2)
)
),
"")</f>
        <v>5</v>
      </c>
      <c r="C85" s="47" t="s">
        <v>232</v>
      </c>
      <c r="D85" s="10" t="str">
        <f aca="false">REPT("   ", B85*2) &amp; C85</f>
        <v>                              Control Drums Materials (Reflector)</v>
      </c>
      <c r="E85" s="10" t="s">
        <v>35</v>
      </c>
      <c r="F85" s="10" t="s">
        <v>233</v>
      </c>
      <c r="G85" s="10" t="s">
        <v>237</v>
      </c>
      <c r="H85" s="10"/>
      <c r="I85" s="10"/>
      <c r="J85" s="19"/>
      <c r="K85" s="46" t="n">
        <f aca="false">MARVEL_Cost!C28/N85</f>
        <v>44736.8421052632</v>
      </c>
      <c r="L85" s="23" t="s">
        <v>196</v>
      </c>
      <c r="M85" s="26" t="s">
        <v>235</v>
      </c>
      <c r="N85" s="23" t="n">
        <f aca="false">1000*'Design Variables'!B19</f>
        <v>19</v>
      </c>
      <c r="O85" s="23" t="s">
        <v>198</v>
      </c>
      <c r="P85" s="23" t="n">
        <v>1</v>
      </c>
      <c r="Q85" s="20" t="n">
        <v>2024</v>
      </c>
      <c r="R85" s="23" t="s">
        <v>229</v>
      </c>
      <c r="S85" s="26" t="s">
        <v>219</v>
      </c>
      <c r="T85" s="48"/>
      <c r="U85" s="45"/>
      <c r="V85" s="23"/>
      <c r="W85" s="12" t="s">
        <v>238</v>
      </c>
      <c r="X85" s="24" t="n">
        <f aca="false">0.9*$J85</f>
        <v>0</v>
      </c>
      <c r="Y85" s="24" t="n">
        <f aca="false">1.5*J85</f>
        <v>0</v>
      </c>
      <c r="Z85" s="12" t="s">
        <v>44</v>
      </c>
      <c r="AA85" s="13" t="n">
        <f aca="false">0.9*K85</f>
        <v>40263.1578947369</v>
      </c>
      <c r="AB85" s="13" t="n">
        <f aca="false">1.3*K85</f>
        <v>58157.8947368421</v>
      </c>
      <c r="AC85" s="12" t="s">
        <v>44</v>
      </c>
      <c r="AD85" s="13" t="s">
        <v>45</v>
      </c>
      <c r="AE85" s="13" t="s">
        <v>46</v>
      </c>
      <c r="AF85" s="13" t="s">
        <v>47</v>
      </c>
      <c r="AG85" s="12" t="s">
        <v>48</v>
      </c>
      <c r="AJ85" s="49"/>
    </row>
    <row r="86" s="36" customFormat="true" ht="53.25" hidden="false" customHeight="true" outlineLevel="0" collapsed="false">
      <c r="A86" s="30" t="n">
        <v>221.214</v>
      </c>
      <c r="B86" s="9" t="n">
        <f aca="false">IF(ISNUMBER(A86),
    IF(AND(A86=INT(A86), MOD(A86, 10) = 0), 0,
        IF(AND(A86=INT(A86), LEN(A86)=2), 1,
            IF(AND(A86=INT(A86), LEN(A86)=3), 2,
                LEN(A86) - FIND(".", A86) + 2)
        )
    ),
"")</f>
        <v>5</v>
      </c>
      <c r="C86" s="37" t="s">
        <v>232</v>
      </c>
      <c r="D86" s="10" t="str">
        <f aca="false">REPT("   ", B86*2) &amp; C86</f>
        <v>                              Control Drums Materials (Reflector)</v>
      </c>
      <c r="E86" s="10" t="s">
        <v>35</v>
      </c>
      <c r="F86" s="10" t="s">
        <v>233</v>
      </c>
      <c r="G86" s="10" t="s">
        <v>239</v>
      </c>
      <c r="H86" s="10"/>
      <c r="I86" s="10"/>
      <c r="J86" s="16"/>
      <c r="K86" s="46" t="n">
        <v>80</v>
      </c>
      <c r="L86" s="23" t="s">
        <v>196</v>
      </c>
      <c r="M86" s="26" t="s">
        <v>235</v>
      </c>
      <c r="N86" s="23"/>
      <c r="O86" s="23"/>
      <c r="P86" s="23"/>
      <c r="Q86" s="20" t="n">
        <v>2022</v>
      </c>
      <c r="R86" s="23" t="s">
        <v>229</v>
      </c>
      <c r="S86" s="26" t="s">
        <v>240</v>
      </c>
      <c r="T86" s="44" t="s">
        <v>241</v>
      </c>
      <c r="U86" s="45"/>
      <c r="V86" s="23"/>
      <c r="W86" s="12" t="s">
        <v>167</v>
      </c>
      <c r="X86" s="24" t="n">
        <f aca="false">0.9*$J86</f>
        <v>0</v>
      </c>
      <c r="Y86" s="24" t="n">
        <f aca="false">1.5*J86</f>
        <v>0</v>
      </c>
      <c r="Z86" s="12" t="s">
        <v>44</v>
      </c>
      <c r="AA86" s="13" t="n">
        <f aca="false">0.9*K86</f>
        <v>72</v>
      </c>
      <c r="AB86" s="13" t="n">
        <f aca="false">1.3*K86</f>
        <v>104</v>
      </c>
      <c r="AC86" s="12" t="s">
        <v>44</v>
      </c>
      <c r="AD86" s="13" t="s">
        <v>45</v>
      </c>
      <c r="AE86" s="13" t="s">
        <v>46</v>
      </c>
      <c r="AF86" s="13" t="s">
        <v>47</v>
      </c>
      <c r="AG86" s="12" t="s">
        <v>48</v>
      </c>
    </row>
    <row r="87" s="36" customFormat="true" ht="53.25" hidden="false" customHeight="true" outlineLevel="0" collapsed="false">
      <c r="A87" s="30" t="n">
        <v>221.215</v>
      </c>
      <c r="B87" s="9" t="n">
        <f aca="false">IF(ISNUMBER(A87),
IF(AND(A87=INT(A87), MOD(A87, 10) = 0), 0,
IF(AND(A87=INT(A87), LEN(A87)=2), 1,
IF(AND(A87=INT(A87), LEN(A87)=3), 2,
LEN(A87) - FIND(".", A87) + 2)
)
),
"")</f>
        <v>5</v>
      </c>
      <c r="C87" s="37" t="s">
        <v>242</v>
      </c>
      <c r="D87" s="10" t="str">
        <f aca="false">REPT("   ", B87*2) &amp; C87</f>
        <v>                              Control System Drive Mechanism</v>
      </c>
      <c r="E87" s="10" t="s">
        <v>35</v>
      </c>
      <c r="F87" s="10"/>
      <c r="G87" s="10"/>
      <c r="H87" s="10"/>
      <c r="I87" s="10"/>
      <c r="J87" s="16"/>
      <c r="K87" s="42" t="n">
        <v>74759</v>
      </c>
      <c r="L87" s="23" t="s">
        <v>217</v>
      </c>
      <c r="M87" s="26" t="s">
        <v>218</v>
      </c>
      <c r="N87" s="23"/>
      <c r="O87" s="23"/>
      <c r="P87" s="23"/>
      <c r="Q87" s="20" t="n">
        <v>2023</v>
      </c>
      <c r="R87" s="23" t="s">
        <v>96</v>
      </c>
      <c r="S87" s="26" t="s">
        <v>231</v>
      </c>
      <c r="T87" s="44" t="s">
        <v>243</v>
      </c>
      <c r="U87" s="45"/>
      <c r="V87" s="23" t="s">
        <v>244</v>
      </c>
      <c r="W87" s="12" t="s">
        <v>223</v>
      </c>
      <c r="X87" s="24" t="n">
        <f aca="false">0.9*$J87</f>
        <v>0</v>
      </c>
      <c r="Y87" s="24" t="n">
        <f aca="false">1.5*J87</f>
        <v>0</v>
      </c>
      <c r="Z87" s="12" t="s">
        <v>44</v>
      </c>
      <c r="AA87" s="13" t="n">
        <f aca="false">0.9*K87</f>
        <v>67283.1</v>
      </c>
      <c r="AB87" s="13" t="n">
        <f aca="false">1.3*K87</f>
        <v>97186.7</v>
      </c>
      <c r="AC87" s="12" t="s">
        <v>44</v>
      </c>
      <c r="AD87" s="13" t="s">
        <v>45</v>
      </c>
      <c r="AE87" s="13" t="s">
        <v>46</v>
      </c>
      <c r="AF87" s="13" t="s">
        <v>47</v>
      </c>
      <c r="AG87" s="12" t="s">
        <v>48</v>
      </c>
    </row>
    <row r="88" s="36" customFormat="true" ht="39.75" hidden="false" customHeight="true" outlineLevel="0" collapsed="false">
      <c r="A88" s="30" t="n">
        <v>221.216</v>
      </c>
      <c r="B88" s="9" t="n">
        <f aca="false">IF(ISNUMBER(A88),IF(AND(A88=INT(A88),MOD(A88,10)=0),0,IF(AND(A88=INT(A88),LEN(A88)=2),1,IF(AND(A88=INT(A88),LEN(A88)=3),2,LEN(A88)-FIND(".",A88)+2))),"")</f>
        <v>5</v>
      </c>
      <c r="C88" s="37" t="s">
        <v>245</v>
      </c>
      <c r="D88" s="10" t="str">
        <f aca="false">REPT("   ",B88*2)&amp;C88</f>
        <v>                              Shutdown Rod Absorber Material</v>
      </c>
      <c r="E88" s="10" t="s">
        <v>35</v>
      </c>
      <c r="F88" s="10" t="s">
        <v>246</v>
      </c>
      <c r="G88" s="10" t="s">
        <v>227</v>
      </c>
      <c r="H88" s="10"/>
      <c r="I88" s="10"/>
      <c r="J88" s="16"/>
      <c r="K88" s="42" t="n">
        <v>14285.7142857143</v>
      </c>
      <c r="L88" s="23" t="s">
        <v>196</v>
      </c>
      <c r="M88" s="26" t="s">
        <v>247</v>
      </c>
      <c r="N88" s="23" t="n">
        <v>28</v>
      </c>
      <c r="O88" s="23" t="s">
        <v>198</v>
      </c>
      <c r="P88" s="23" t="n">
        <v>1</v>
      </c>
      <c r="Q88" s="20" t="n">
        <v>2024</v>
      </c>
      <c r="R88" s="23" t="s">
        <v>229</v>
      </c>
      <c r="S88" s="26" t="s">
        <v>219</v>
      </c>
      <c r="T88" s="50"/>
      <c r="U88" s="50"/>
      <c r="V88" s="23" t="s">
        <v>248</v>
      </c>
      <c r="W88" s="12" t="s">
        <v>167</v>
      </c>
      <c r="X88" s="24" t="n">
        <f aca="false">0.9*$J88</f>
        <v>0</v>
      </c>
      <c r="Y88" s="24" t="n">
        <f aca="false">1.5*J88</f>
        <v>0</v>
      </c>
      <c r="Z88" s="12" t="s">
        <v>44</v>
      </c>
      <c r="AA88" s="13" t="n">
        <f aca="false">0.9*K88</f>
        <v>12857.1428571429</v>
      </c>
      <c r="AB88" s="13" t="n">
        <f aca="false">1.3*K88</f>
        <v>18571.4285714286</v>
      </c>
      <c r="AC88" s="12"/>
      <c r="AD88" s="13"/>
      <c r="AE88" s="13"/>
      <c r="AF88" s="13"/>
      <c r="AG88" s="12"/>
    </row>
    <row r="89" s="36" customFormat="true" ht="39.75" hidden="false" customHeight="true" outlineLevel="0" collapsed="false">
      <c r="A89" s="30" t="n">
        <v>221.216</v>
      </c>
      <c r="B89" s="9" t="n">
        <f aca="false">IF(ISNUMBER(A89),IF(AND(A89=INT(A89),MOD(A89,10)=0),0,IF(AND(A89=INT(A89),LEN(A89)=2),1,IF(AND(A89=INT(A89),LEN(A89)=3),2,LEN(A89)-FIND(".",A89)+2))),"")</f>
        <v>5</v>
      </c>
      <c r="C89" s="37" t="s">
        <v>245</v>
      </c>
      <c r="D89" s="10" t="str">
        <f aca="false">REPT("   ",B89*2)&amp;C89</f>
        <v>                              Shutdown Rod Absorber Material</v>
      </c>
      <c r="E89" s="10" t="s">
        <v>35</v>
      </c>
      <c r="F89" s="10" t="s">
        <v>246</v>
      </c>
      <c r="G89" s="10" t="s">
        <v>230</v>
      </c>
      <c r="H89" s="10"/>
      <c r="I89" s="10"/>
      <c r="J89" s="16"/>
      <c r="K89" s="42" t="n">
        <v>10064</v>
      </c>
      <c r="L89" s="23" t="s">
        <v>196</v>
      </c>
      <c r="M89" s="26" t="s">
        <v>247</v>
      </c>
      <c r="N89" s="23"/>
      <c r="O89" s="23" t="s">
        <v>198</v>
      </c>
      <c r="P89" s="23" t="n">
        <v>1</v>
      </c>
      <c r="Q89" s="20" t="n">
        <v>2023</v>
      </c>
      <c r="R89" s="23" t="s">
        <v>229</v>
      </c>
      <c r="S89" s="26" t="s">
        <v>231</v>
      </c>
      <c r="T89" s="51" t="s">
        <v>249</v>
      </c>
      <c r="U89" s="51"/>
      <c r="V89" s="23" t="s">
        <v>250</v>
      </c>
      <c r="W89" s="12" t="s">
        <v>167</v>
      </c>
      <c r="X89" s="24" t="n">
        <f aca="false">0.9*$J89</f>
        <v>0</v>
      </c>
      <c r="Y89" s="24" t="n">
        <f aca="false">1.5*J89</f>
        <v>0</v>
      </c>
      <c r="Z89" s="12" t="s">
        <v>44</v>
      </c>
      <c r="AA89" s="13" t="n">
        <f aca="false">0.9*K89</f>
        <v>9057.6</v>
      </c>
      <c r="AB89" s="13" t="n">
        <f aca="false">1.3*K89</f>
        <v>13083.2</v>
      </c>
      <c r="AC89" s="12"/>
      <c r="AD89" s="13"/>
      <c r="AE89" s="13"/>
      <c r="AF89" s="13"/>
      <c r="AG89" s="12"/>
    </row>
    <row r="90" s="36" customFormat="true" ht="39.75" hidden="false" customHeight="true" outlineLevel="0" collapsed="false">
      <c r="A90" s="30" t="n">
        <v>221.217</v>
      </c>
      <c r="B90" s="9" t="n">
        <f aca="false">IF(ISNUMBER(A90),IF(AND(A90=INT(A90),MOD(A90,10)=0),0,IF(AND(A90=INT(A90),LEN(A90)=2),1,IF(AND(A90=INT(A90),LEN(A90)=3),2,LEN(A90)-FIND(".",A90)+2))),"")</f>
        <v>5</v>
      </c>
      <c r="C90" s="37" t="s">
        <v>251</v>
      </c>
      <c r="D90" s="10" t="str">
        <f aca="false">REPT("   ",B90*2)&amp;C90</f>
        <v>                              Shutdown Rod Cladding Material</v>
      </c>
      <c r="E90" s="10" t="s">
        <v>35</v>
      </c>
      <c r="F90" s="10" t="s">
        <v>252</v>
      </c>
      <c r="G90" s="10" t="s">
        <v>253</v>
      </c>
      <c r="H90" s="10"/>
      <c r="I90" s="10"/>
      <c r="J90" s="16"/>
      <c r="K90" s="42" t="n">
        <v>757.207687460618</v>
      </c>
      <c r="L90" s="23" t="s">
        <v>196</v>
      </c>
      <c r="M90" s="26" t="s">
        <v>254</v>
      </c>
      <c r="N90" s="23" t="n">
        <v>1587</v>
      </c>
      <c r="O90" s="23" t="s">
        <v>198</v>
      </c>
      <c r="P90" s="23" t="n">
        <v>1</v>
      </c>
      <c r="Q90" s="20" t="n">
        <v>2017</v>
      </c>
      <c r="R90" s="23" t="s">
        <v>96</v>
      </c>
      <c r="S90" s="26" t="s">
        <v>206</v>
      </c>
      <c r="T90" s="51" t="s">
        <v>255</v>
      </c>
      <c r="U90" s="50"/>
      <c r="V90" s="23" t="s">
        <v>256</v>
      </c>
      <c r="W90" s="12" t="s">
        <v>167</v>
      </c>
      <c r="X90" s="24" t="n">
        <f aca="false">0.9*$J90</f>
        <v>0</v>
      </c>
      <c r="Y90" s="24" t="n">
        <f aca="false">1.5*J90</f>
        <v>0</v>
      </c>
      <c r="Z90" s="12" t="s">
        <v>44</v>
      </c>
      <c r="AA90" s="13" t="n">
        <f aca="false">0.9*K90</f>
        <v>681.486918714556</v>
      </c>
      <c r="AB90" s="13" t="n">
        <f aca="false">1.3*K90</f>
        <v>984.369993698803</v>
      </c>
      <c r="AC90" s="12"/>
      <c r="AD90" s="13"/>
      <c r="AE90" s="13"/>
      <c r="AF90" s="13"/>
      <c r="AG90" s="12"/>
    </row>
    <row r="91" customFormat="false" ht="26.25" hidden="false" customHeight="true" outlineLevel="0" collapsed="false">
      <c r="A91" s="30" t="n">
        <v>221.3</v>
      </c>
      <c r="B91" s="9" t="n">
        <f aca="false">IF(ISNUMBER(A91),
IF(AND(A91=INT(A91), MOD(A91, 10) = 0), 0,
IF(AND(A91=INT(A91), LEN(A91)=2), 1,
IF(AND(A91=INT(A91), LEN(A91)=3), 2,
LEN(A91) - FIND(".", A91) + 2)
)
),
"")</f>
        <v>3</v>
      </c>
      <c r="C91" s="37" t="s">
        <v>257</v>
      </c>
      <c r="D91" s="10" t="str">
        <f aca="false">REPT("   ", B91*2) &amp; C91</f>
        <v>                  Non-Fuel Core Internals</v>
      </c>
      <c r="E91" s="10" t="s">
        <v>35</v>
      </c>
      <c r="F91" s="10"/>
      <c r="G91" s="10"/>
      <c r="H91" s="10"/>
      <c r="I91" s="10"/>
      <c r="J91" s="16"/>
      <c r="K91" s="42"/>
      <c r="L91" s="23"/>
      <c r="M91" s="23"/>
      <c r="N91" s="23"/>
      <c r="O91" s="23"/>
      <c r="P91" s="23"/>
      <c r="Q91" s="20"/>
      <c r="R91" s="23"/>
      <c r="S91" s="26"/>
      <c r="T91" s="23"/>
      <c r="U91" s="50"/>
      <c r="V91" s="23"/>
      <c r="W91" s="12"/>
      <c r="X91" s="24"/>
      <c r="Y91" s="24"/>
      <c r="Z91" s="12"/>
      <c r="AA91" s="13"/>
      <c r="AB91" s="13"/>
      <c r="AC91" s="12"/>
      <c r="AD91" s="13"/>
      <c r="AE91" s="13"/>
      <c r="AF91" s="13"/>
      <c r="AG91" s="12"/>
    </row>
    <row r="92" customFormat="false" ht="25.5" hidden="false" customHeight="true" outlineLevel="0" collapsed="false">
      <c r="A92" s="30" t="n">
        <v>221.31</v>
      </c>
      <c r="B92" s="9" t="n">
        <f aca="false">IF(ISNUMBER(A92),
    IF(AND(A92=INT(A92), MOD(A92, 10) = 0), 0,
        IF(AND(A92=INT(A92), LEN(A92)=2), 1,
            IF(AND(A92=INT(A92), LEN(A92)=3), 2,
                LEN(A92) - FIND(".", A92) + 2)
        )
    ),
"")</f>
        <v>4</v>
      </c>
      <c r="C92" s="37" t="s">
        <v>258</v>
      </c>
      <c r="D92" s="10" t="str">
        <f aca="false">REPT("   ", B92*2) &amp; C92</f>
        <v>                        Reflector</v>
      </c>
      <c r="E92" s="10"/>
      <c r="F92" s="10"/>
      <c r="G92" s="10"/>
      <c r="H92" s="10"/>
      <c r="I92" s="10"/>
      <c r="J92" s="16"/>
      <c r="K92" s="46"/>
      <c r="L92" s="23"/>
      <c r="M92" s="26"/>
      <c r="N92" s="23"/>
      <c r="O92" s="23"/>
      <c r="P92" s="23"/>
      <c r="Q92" s="20"/>
      <c r="R92" s="23"/>
      <c r="S92" s="26"/>
      <c r="T92" s="26"/>
      <c r="U92" s="50"/>
      <c r="V92" s="23"/>
      <c r="W92" s="12"/>
      <c r="X92" s="24"/>
      <c r="Y92" s="24"/>
      <c r="Z92" s="12"/>
      <c r="AA92" s="13"/>
      <c r="AB92" s="13"/>
      <c r="AC92" s="12"/>
      <c r="AD92" s="13"/>
      <c r="AE92" s="13"/>
      <c r="AF92" s="13"/>
      <c r="AG92" s="12"/>
    </row>
    <row r="93" customFormat="false" ht="25.5" hidden="false" customHeight="true" outlineLevel="0" collapsed="false">
      <c r="A93" s="30" t="n">
        <v>221.311</v>
      </c>
      <c r="B93" s="9" t="n">
        <f aca="false">IF(ISNUMBER(A93),
IF(AND(A93=INT(A93), MOD(A93, 10) = 0), 0,
IF(AND(A93=INT(A93), LEN(A93)=2), 1,
IF(AND(A93=INT(A93), LEN(A93)=3), 2,
LEN(A93) - FIND(".", A93) + 2)
)
),
"")</f>
        <v>5</v>
      </c>
      <c r="C93" s="37" t="s">
        <v>259</v>
      </c>
      <c r="D93" s="10" t="str">
        <f aca="false">REPT("   ", B93*2) &amp; C93</f>
        <v>                              Radial Reflector</v>
      </c>
      <c r="E93" s="10" t="s">
        <v>35</v>
      </c>
      <c r="F93" s="10" t="s">
        <v>259</v>
      </c>
      <c r="G93" s="10" t="s">
        <v>234</v>
      </c>
      <c r="H93" s="10"/>
      <c r="I93" s="10"/>
      <c r="J93" s="16" t="n">
        <f aca="false">MARVEL_Cost!C29</f>
        <v>120231</v>
      </c>
      <c r="K93" s="46" t="n">
        <f aca="false">MARVEL_Cost!C27/N93</f>
        <v>10062.893081761</v>
      </c>
      <c r="L93" s="23" t="s">
        <v>196</v>
      </c>
      <c r="M93" s="26" t="s">
        <v>260</v>
      </c>
      <c r="N93" s="23" t="n">
        <f aca="false">'Design Variables'!B17</f>
        <v>318</v>
      </c>
      <c r="O93" s="23" t="s">
        <v>198</v>
      </c>
      <c r="P93" s="23" t="n">
        <v>1</v>
      </c>
      <c r="Q93" s="20" t="n">
        <v>2024</v>
      </c>
      <c r="R93" s="23" t="s">
        <v>229</v>
      </c>
      <c r="S93" s="26" t="s">
        <v>219</v>
      </c>
      <c r="T93" s="26" t="s">
        <v>220</v>
      </c>
      <c r="U93" s="50" t="s">
        <v>221</v>
      </c>
      <c r="V93" s="23"/>
      <c r="W93" s="12" t="s">
        <v>236</v>
      </c>
      <c r="X93" s="24" t="n">
        <f aca="false">0.9*$J93</f>
        <v>108207.9</v>
      </c>
      <c r="Y93" s="24" t="n">
        <f aca="false">1.5*J93</f>
        <v>180346.5</v>
      </c>
      <c r="Z93" s="12" t="s">
        <v>44</v>
      </c>
      <c r="AA93" s="13" t="n">
        <f aca="false">0.9*K93</f>
        <v>9056.60377358491</v>
      </c>
      <c r="AB93" s="13" t="n">
        <f aca="false">1.3*K93</f>
        <v>13081.7610062893</v>
      </c>
      <c r="AC93" s="12" t="s">
        <v>44</v>
      </c>
      <c r="AD93" s="13" t="s">
        <v>45</v>
      </c>
      <c r="AE93" s="13" t="s">
        <v>46</v>
      </c>
      <c r="AF93" s="13" t="s">
        <v>47</v>
      </c>
      <c r="AG93" s="12" t="s">
        <v>48</v>
      </c>
    </row>
    <row r="94" customFormat="false" ht="25.5" hidden="false" customHeight="true" outlineLevel="0" collapsed="false">
      <c r="A94" s="30" t="n">
        <v>221.312</v>
      </c>
      <c r="B94" s="9" t="n">
        <f aca="false">IF(ISNUMBER(A94),
    IF(AND(A94=INT(A94), MOD(A94, 10) = 0), 0,
        IF(AND(A94=INT(A94), LEN(A94)=2), 1,
            IF(AND(A94=INT(A94), LEN(A94)=3), 2,
                LEN(A94) - FIND(".", A94) + 2)
        )
    ),
"")</f>
        <v>5</v>
      </c>
      <c r="C94" s="37" t="s">
        <v>261</v>
      </c>
      <c r="D94" s="10" t="str">
        <f aca="false">REPT("   ", B94*2) &amp; C94</f>
        <v>                              Axial Reflector</v>
      </c>
      <c r="E94" s="10" t="s">
        <v>35</v>
      </c>
      <c r="F94" s="10" t="s">
        <v>261</v>
      </c>
      <c r="G94" s="10" t="s">
        <v>234</v>
      </c>
      <c r="H94" s="10"/>
      <c r="I94" s="10"/>
      <c r="J94" s="16" t="n">
        <v>120231</v>
      </c>
      <c r="K94" s="46" t="n">
        <v>10062.893081761</v>
      </c>
      <c r="L94" s="23" t="s">
        <v>196</v>
      </c>
      <c r="M94" s="26" t="s">
        <v>262</v>
      </c>
      <c r="N94" s="23" t="n">
        <v>318</v>
      </c>
      <c r="O94" s="23" t="s">
        <v>198</v>
      </c>
      <c r="P94" s="23" t="n">
        <v>1</v>
      </c>
      <c r="Q94" s="20" t="n">
        <v>2024</v>
      </c>
      <c r="R94" s="23" t="s">
        <v>229</v>
      </c>
      <c r="S94" s="26" t="s">
        <v>219</v>
      </c>
      <c r="T94" s="26" t="s">
        <v>220</v>
      </c>
      <c r="U94" s="50"/>
      <c r="V94" s="23"/>
      <c r="W94" s="12" t="s">
        <v>236</v>
      </c>
      <c r="X94" s="24" t="n">
        <f aca="false">0.9*$J94</f>
        <v>108207.9</v>
      </c>
      <c r="Y94" s="24" t="n">
        <f aca="false">1.5*J94</f>
        <v>180346.5</v>
      </c>
      <c r="Z94" s="12" t="s">
        <v>44</v>
      </c>
      <c r="AA94" s="13" t="n">
        <f aca="false">0.9*K94</f>
        <v>9056.60377358491</v>
      </c>
      <c r="AB94" s="13" t="n">
        <f aca="false">1.3*K94</f>
        <v>13081.7610062893</v>
      </c>
      <c r="AC94" s="12" t="s">
        <v>44</v>
      </c>
      <c r="AD94" s="13" t="s">
        <v>45</v>
      </c>
      <c r="AE94" s="13" t="s">
        <v>46</v>
      </c>
      <c r="AF94" s="13" t="s">
        <v>47</v>
      </c>
      <c r="AG94" s="12" t="s">
        <v>48</v>
      </c>
    </row>
    <row r="95" customFormat="false" ht="25.5" hidden="false" customHeight="true" outlineLevel="0" collapsed="false">
      <c r="A95" s="30" t="n">
        <v>221.311</v>
      </c>
      <c r="B95" s="9" t="n">
        <f aca="false">IF(ISNUMBER(A95),
    IF(AND(A95=INT(A95), MOD(A95, 10) = 0), 0,
        IF(AND(A95=INT(A95), LEN(A95)=2), 1,
            IF(AND(A95=INT(A95), LEN(A95)=3), 2,
                LEN(A95) - FIND(".", A95) + 2)
        )
    ),
"")</f>
        <v>5</v>
      </c>
      <c r="C95" s="37" t="s">
        <v>259</v>
      </c>
      <c r="D95" s="10" t="str">
        <f aca="false">REPT("   ", B95*2) &amp; C95</f>
        <v>                              Radial Reflector</v>
      </c>
      <c r="E95" s="10" t="s">
        <v>35</v>
      </c>
      <c r="F95" s="10" t="s">
        <v>259</v>
      </c>
      <c r="G95" s="10" t="s">
        <v>237</v>
      </c>
      <c r="H95" s="10"/>
      <c r="I95" s="10"/>
      <c r="J95" s="16"/>
      <c r="K95" s="46" t="n">
        <f aca="false">MARVEL_Cost!C28/N85</f>
        <v>44736.8421052632</v>
      </c>
      <c r="L95" s="23" t="s">
        <v>196</v>
      </c>
      <c r="M95" s="26" t="s">
        <v>260</v>
      </c>
      <c r="N95" s="23" t="n">
        <f aca="false">1000*'Design Variables'!B19</f>
        <v>19</v>
      </c>
      <c r="O95" s="23" t="s">
        <v>198</v>
      </c>
      <c r="P95" s="23" t="n">
        <v>1</v>
      </c>
      <c r="Q95" s="20" t="n">
        <v>2024</v>
      </c>
      <c r="R95" s="23" t="s">
        <v>229</v>
      </c>
      <c r="S95" s="26" t="s">
        <v>219</v>
      </c>
      <c r="T95" s="26" t="s">
        <v>220</v>
      </c>
      <c r="U95" s="50"/>
      <c r="V95" s="23"/>
      <c r="W95" s="12" t="s">
        <v>238</v>
      </c>
      <c r="X95" s="24" t="n">
        <f aca="false">0.9*$J95</f>
        <v>0</v>
      </c>
      <c r="Y95" s="24" t="n">
        <f aca="false">1.5*J95</f>
        <v>0</v>
      </c>
      <c r="Z95" s="12" t="s">
        <v>44</v>
      </c>
      <c r="AA95" s="13" t="n">
        <f aca="false">0.9*K95</f>
        <v>40263.1578947369</v>
      </c>
      <c r="AB95" s="13" t="n">
        <f aca="false">1.3*K95</f>
        <v>58157.8947368421</v>
      </c>
      <c r="AC95" s="12" t="s">
        <v>44</v>
      </c>
      <c r="AD95" s="13" t="s">
        <v>45</v>
      </c>
      <c r="AE95" s="13" t="s">
        <v>46</v>
      </c>
      <c r="AF95" s="13" t="s">
        <v>47</v>
      </c>
      <c r="AG95" s="12" t="s">
        <v>48</v>
      </c>
    </row>
    <row r="96" customFormat="false" ht="25.5" hidden="false" customHeight="true" outlineLevel="0" collapsed="false">
      <c r="A96" s="30" t="n">
        <v>221.312</v>
      </c>
      <c r="B96" s="9" t="n">
        <f aca="false">IF(ISNUMBER(A96),
    IF(AND(A96=INT(A96), MOD(A96, 10) = 0), 0,
        IF(AND(A96=INT(A96), LEN(A96)=2), 1,
            IF(AND(A96=INT(A96), LEN(A96)=3), 2,
                LEN(A96) - FIND(".", A96) + 2)
        )
    ),
"")</f>
        <v>5</v>
      </c>
      <c r="C96" s="37" t="s">
        <v>261</v>
      </c>
      <c r="D96" s="10" t="str">
        <f aca="false">REPT("   ", B96*2) &amp; C96</f>
        <v>                              Axial Reflector</v>
      </c>
      <c r="E96" s="10" t="s">
        <v>35</v>
      </c>
      <c r="F96" s="10" t="s">
        <v>261</v>
      </c>
      <c r="G96" s="10" t="s">
        <v>237</v>
      </c>
      <c r="H96" s="10"/>
      <c r="I96" s="10"/>
      <c r="J96" s="16"/>
      <c r="K96" s="46" t="n">
        <v>44736.8421052632</v>
      </c>
      <c r="L96" s="23" t="s">
        <v>196</v>
      </c>
      <c r="M96" s="26" t="s">
        <v>262</v>
      </c>
      <c r="N96" s="23" t="n">
        <v>19</v>
      </c>
      <c r="O96" s="23" t="s">
        <v>198</v>
      </c>
      <c r="P96" s="23" t="n">
        <v>1</v>
      </c>
      <c r="Q96" s="20" t="n">
        <v>2024</v>
      </c>
      <c r="R96" s="23" t="s">
        <v>229</v>
      </c>
      <c r="S96" s="26" t="s">
        <v>219</v>
      </c>
      <c r="T96" s="26" t="s">
        <v>220</v>
      </c>
      <c r="U96" s="50"/>
      <c r="V96" s="23"/>
      <c r="W96" s="12" t="s">
        <v>238</v>
      </c>
      <c r="X96" s="24" t="n">
        <f aca="false">0.9*$J96</f>
        <v>0</v>
      </c>
      <c r="Y96" s="24" t="n">
        <f aca="false">1.5*J96</f>
        <v>0</v>
      </c>
      <c r="Z96" s="12" t="s">
        <v>44</v>
      </c>
      <c r="AA96" s="13" t="n">
        <f aca="false">0.9*K96</f>
        <v>40263.1578947369</v>
      </c>
      <c r="AB96" s="13" t="n">
        <f aca="false">1.3*K96</f>
        <v>58157.8947368421</v>
      </c>
      <c r="AC96" s="12" t="s">
        <v>44</v>
      </c>
      <c r="AD96" s="13" t="s">
        <v>45</v>
      </c>
      <c r="AE96" s="13" t="s">
        <v>46</v>
      </c>
      <c r="AF96" s="13" t="s">
        <v>47</v>
      </c>
      <c r="AG96" s="12" t="s">
        <v>48</v>
      </c>
    </row>
    <row r="97" customFormat="false" ht="101.25" hidden="false" customHeight="true" outlineLevel="0" collapsed="false">
      <c r="A97" s="30" t="n">
        <v>221.311</v>
      </c>
      <c r="B97" s="9" t="n">
        <f aca="false">IF(ISNUMBER(A97),
    IF(AND(A97=INT(A97), MOD(A97, 10) = 0), 0,
        IF(AND(A97=INT(A97), LEN(A97)=2), 1,
            IF(AND(A97=INT(A97), LEN(A97)=3), 2,
                LEN(A97) - FIND(".", A97) + 2)
        )
    ),
"")</f>
        <v>5</v>
      </c>
      <c r="C97" s="37" t="s">
        <v>259</v>
      </c>
      <c r="D97" s="10" t="str">
        <f aca="false">REPT("   ", B97*2) &amp; C97</f>
        <v>                              Radial Reflector</v>
      </c>
      <c r="E97" s="10" t="s">
        <v>35</v>
      </c>
      <c r="F97" s="10" t="s">
        <v>259</v>
      </c>
      <c r="G97" s="10" t="s">
        <v>239</v>
      </c>
      <c r="H97" s="10"/>
      <c r="I97" s="10"/>
      <c r="J97" s="16"/>
      <c r="K97" s="46" t="n">
        <v>80</v>
      </c>
      <c r="L97" s="23" t="s">
        <v>196</v>
      </c>
      <c r="M97" s="26" t="s">
        <v>260</v>
      </c>
      <c r="N97" s="23"/>
      <c r="O97" s="23"/>
      <c r="P97" s="23"/>
      <c r="Q97" s="20" t="n">
        <v>2022</v>
      </c>
      <c r="R97" s="23" t="s">
        <v>229</v>
      </c>
      <c r="S97" s="26" t="s">
        <v>240</v>
      </c>
      <c r="T97" s="26" t="s">
        <v>241</v>
      </c>
      <c r="U97" s="50"/>
      <c r="V97" s="23"/>
      <c r="W97" s="12" t="s">
        <v>167</v>
      </c>
      <c r="X97" s="24" t="n">
        <f aca="false">0.9*$J97</f>
        <v>0</v>
      </c>
      <c r="Y97" s="24" t="n">
        <f aca="false">1.5*J97</f>
        <v>0</v>
      </c>
      <c r="Z97" s="12" t="s">
        <v>44</v>
      </c>
      <c r="AA97" s="13" t="n">
        <f aca="false">0.9*K97</f>
        <v>72</v>
      </c>
      <c r="AB97" s="13" t="n">
        <f aca="false">1.3*K97</f>
        <v>104</v>
      </c>
      <c r="AC97" s="12" t="s">
        <v>44</v>
      </c>
      <c r="AD97" s="13" t="s">
        <v>45</v>
      </c>
      <c r="AE97" s="13" t="s">
        <v>46</v>
      </c>
      <c r="AF97" s="13" t="s">
        <v>47</v>
      </c>
      <c r="AG97" s="12" t="s">
        <v>48</v>
      </c>
    </row>
    <row r="98" customFormat="false" ht="101.25" hidden="false" customHeight="true" outlineLevel="0" collapsed="false">
      <c r="A98" s="30" t="n">
        <v>221.312</v>
      </c>
      <c r="B98" s="9" t="n">
        <f aca="false">IF(ISNUMBER(A98),
    IF(AND(A98=INT(A98), MOD(A98, 10) = 0), 0,
        IF(AND(A98=INT(A98), LEN(A98)=2), 1,
            IF(AND(A98=INT(A98), LEN(A98)=3), 2,
                LEN(A98) - FIND(".", A98) + 2)
        )
    ),
"")</f>
        <v>5</v>
      </c>
      <c r="C98" s="37" t="s">
        <v>261</v>
      </c>
      <c r="D98" s="10" t="str">
        <f aca="false">REPT("   ", B98*2) &amp; C98</f>
        <v>                              Axial Reflector</v>
      </c>
      <c r="E98" s="10" t="s">
        <v>35</v>
      </c>
      <c r="F98" s="10" t="s">
        <v>261</v>
      </c>
      <c r="G98" s="10" t="s">
        <v>239</v>
      </c>
      <c r="H98" s="10"/>
      <c r="I98" s="10"/>
      <c r="J98" s="16"/>
      <c r="K98" s="46" t="n">
        <v>80</v>
      </c>
      <c r="L98" s="23" t="s">
        <v>196</v>
      </c>
      <c r="M98" s="26" t="s">
        <v>262</v>
      </c>
      <c r="N98" s="23"/>
      <c r="O98" s="23"/>
      <c r="P98" s="23"/>
      <c r="Q98" s="20" t="n">
        <v>2022</v>
      </c>
      <c r="R98" s="23" t="s">
        <v>229</v>
      </c>
      <c r="S98" s="26" t="s">
        <v>240</v>
      </c>
      <c r="T98" s="26" t="s">
        <v>241</v>
      </c>
      <c r="U98" s="50"/>
      <c r="V98" s="23"/>
      <c r="W98" s="12" t="s">
        <v>167</v>
      </c>
      <c r="X98" s="24" t="n">
        <f aca="false">0.9*$J98</f>
        <v>0</v>
      </c>
      <c r="Y98" s="24" t="n">
        <f aca="false">1.5*J98</f>
        <v>0</v>
      </c>
      <c r="Z98" s="12" t="s">
        <v>44</v>
      </c>
      <c r="AA98" s="13" t="n">
        <f aca="false">0.9*K98</f>
        <v>72</v>
      </c>
      <c r="AB98" s="13" t="n">
        <f aca="false">1.3*K98</f>
        <v>104</v>
      </c>
      <c r="AC98" s="12" t="s">
        <v>44</v>
      </c>
      <c r="AD98" s="13" t="s">
        <v>45</v>
      </c>
      <c r="AE98" s="13" t="s">
        <v>46</v>
      </c>
      <c r="AF98" s="13" t="s">
        <v>47</v>
      </c>
      <c r="AG98" s="12" t="s">
        <v>48</v>
      </c>
    </row>
    <row r="99" customFormat="false" ht="51.75" hidden="false" customHeight="true" outlineLevel="0" collapsed="false">
      <c r="A99" s="30" t="n">
        <v>221.311</v>
      </c>
      <c r="B99" s="9" t="n">
        <f aca="false">IF(ISNUMBER(A99),
    IF(AND(A99=INT(A99), MOD(A99, 10) = 0), 0,
        IF(AND(A99=INT(A99), LEN(A99)=2), 1,
            IF(AND(A99=INT(A99), LEN(A99)=3), 2,
                LEN(A99) - FIND(".", A99) + 2)
        )
    ),
"")</f>
        <v>5</v>
      </c>
      <c r="C99" s="37" t="s">
        <v>259</v>
      </c>
      <c r="D99" s="10" t="str">
        <f aca="false">REPT("   ", B99*2) &amp; C99</f>
        <v>                              Radial Reflector</v>
      </c>
      <c r="E99" s="10" t="s">
        <v>35</v>
      </c>
      <c r="F99" s="10" t="s">
        <v>259</v>
      </c>
      <c r="G99" s="10" t="s">
        <v>263</v>
      </c>
      <c r="H99" s="10"/>
      <c r="I99" s="10"/>
      <c r="J99" s="16"/>
      <c r="K99" s="46" t="n">
        <v>134.1</v>
      </c>
      <c r="L99" s="23" t="s">
        <v>196</v>
      </c>
      <c r="M99" s="26" t="s">
        <v>260</v>
      </c>
      <c r="N99" s="23"/>
      <c r="O99" s="23"/>
      <c r="P99" s="23"/>
      <c r="Q99" s="20" t="n">
        <v>2017</v>
      </c>
      <c r="R99" s="23" t="s">
        <v>229</v>
      </c>
      <c r="S99" s="26" t="s">
        <v>264</v>
      </c>
      <c r="T99" s="26"/>
      <c r="U99" s="50"/>
      <c r="V99" s="23"/>
      <c r="W99" s="12" t="s">
        <v>167</v>
      </c>
      <c r="X99" s="24" t="n">
        <f aca="false">0.9*$J99</f>
        <v>0</v>
      </c>
      <c r="Y99" s="24" t="n">
        <f aca="false">1.5*J99</f>
        <v>0</v>
      </c>
      <c r="Z99" s="12" t="s">
        <v>44</v>
      </c>
      <c r="AA99" s="13" t="n">
        <f aca="false">0.9*K99</f>
        <v>120.69</v>
      </c>
      <c r="AB99" s="13" t="n">
        <f aca="false">1.3*K99</f>
        <v>174.33</v>
      </c>
      <c r="AC99" s="12" t="s">
        <v>44</v>
      </c>
      <c r="AD99" s="13" t="s">
        <v>45</v>
      </c>
      <c r="AE99" s="13" t="s">
        <v>46</v>
      </c>
      <c r="AF99" s="13" t="s">
        <v>47</v>
      </c>
      <c r="AG99" s="12" t="s">
        <v>48</v>
      </c>
    </row>
    <row r="100" customFormat="false" ht="26.25" hidden="false" customHeight="true" outlineLevel="0" collapsed="false">
      <c r="A100" s="30" t="n">
        <v>221.312</v>
      </c>
      <c r="B100" s="9" t="n">
        <f aca="false">IF(ISNUMBER(A100),
    IF(AND(A100=INT(A100), MOD(A100, 10) = 0), 0,
        IF(AND(A100=INT(A100), LEN(A100)=2), 1,
            IF(AND(A100=INT(A100), LEN(A100)=3), 2,
                LEN(A100) - FIND(".", A100) + 2)
        )
    ),
"")</f>
        <v>5</v>
      </c>
      <c r="C100" s="37" t="s">
        <v>261</v>
      </c>
      <c r="D100" s="10" t="str">
        <f aca="false">REPT("   ", B100*2) &amp; C100</f>
        <v>                              Axial Reflector</v>
      </c>
      <c r="E100" s="10" t="s">
        <v>35</v>
      </c>
      <c r="F100" s="10" t="s">
        <v>261</v>
      </c>
      <c r="G100" s="10" t="s">
        <v>263</v>
      </c>
      <c r="H100" s="10"/>
      <c r="I100" s="10"/>
      <c r="J100" s="16"/>
      <c r="K100" s="46" t="n">
        <v>134.1</v>
      </c>
      <c r="L100" s="23" t="s">
        <v>196</v>
      </c>
      <c r="M100" s="26" t="s">
        <v>262</v>
      </c>
      <c r="N100" s="23"/>
      <c r="O100" s="23"/>
      <c r="P100" s="23"/>
      <c r="Q100" s="20" t="n">
        <v>2017</v>
      </c>
      <c r="R100" s="23" t="s">
        <v>229</v>
      </c>
      <c r="S100" s="26" t="s">
        <v>264</v>
      </c>
      <c r="T100" s="26"/>
      <c r="U100" s="50"/>
      <c r="V100" s="23"/>
      <c r="W100" s="12" t="s">
        <v>167</v>
      </c>
      <c r="X100" s="24" t="n">
        <f aca="false">0.9*$J100</f>
        <v>0</v>
      </c>
      <c r="Y100" s="24" t="n">
        <f aca="false">1.5*J100</f>
        <v>0</v>
      </c>
      <c r="Z100" s="12" t="s">
        <v>44</v>
      </c>
      <c r="AA100" s="13" t="n">
        <f aca="false">0.9*K100</f>
        <v>120.69</v>
      </c>
      <c r="AB100" s="13" t="n">
        <f aca="false">1.3*K100</f>
        <v>174.33</v>
      </c>
      <c r="AC100" s="12" t="s">
        <v>44</v>
      </c>
      <c r="AD100" s="13" t="s">
        <v>45</v>
      </c>
      <c r="AE100" s="13" t="s">
        <v>46</v>
      </c>
      <c r="AF100" s="13" t="s">
        <v>47</v>
      </c>
      <c r="AG100" s="12" t="s">
        <v>48</v>
      </c>
    </row>
    <row r="101" customFormat="false" ht="26.25" hidden="false" customHeight="true" outlineLevel="0" collapsed="false">
      <c r="A101" s="30" t="n">
        <v>221.32</v>
      </c>
      <c r="B101" s="9" t="n">
        <f aca="false">IF(ISNUMBER(A101),
IF(AND(A101=INT(A101), MOD(A101, 10) = 0), 0,
IF(AND(A101=INT(A101), LEN(A101)=2), 1,
IF(AND(A101=INT(A101), LEN(A101)=3), 2,
LEN(A101) - FIND(".", A101) + 2)
)
),
"")</f>
        <v>4</v>
      </c>
      <c r="C101" s="37" t="s">
        <v>265</v>
      </c>
      <c r="D101" s="10" t="str">
        <f aca="false">REPT("   ", B101*2) &amp; C101</f>
        <v>                        Shield</v>
      </c>
      <c r="E101" s="10"/>
      <c r="F101" s="10"/>
      <c r="G101" s="10"/>
      <c r="H101" s="10"/>
      <c r="I101" s="10"/>
      <c r="J101" s="16"/>
      <c r="K101" s="42"/>
      <c r="L101" s="23"/>
      <c r="M101" s="26"/>
      <c r="N101" s="23"/>
      <c r="O101" s="23"/>
      <c r="P101" s="23"/>
      <c r="Q101" s="20"/>
      <c r="R101" s="23"/>
      <c r="S101" s="26"/>
      <c r="T101" s="26"/>
      <c r="U101" s="50"/>
      <c r="V101" s="23"/>
      <c r="W101" s="12"/>
      <c r="X101" s="24"/>
      <c r="Y101" s="24"/>
      <c r="Z101" s="12"/>
      <c r="AA101" s="13"/>
      <c r="AB101" s="13"/>
      <c r="AC101" s="12"/>
      <c r="AD101" s="13"/>
      <c r="AE101" s="13"/>
      <c r="AF101" s="13"/>
      <c r="AG101" s="12"/>
    </row>
    <row r="102" s="36" customFormat="true" ht="53.25" hidden="false" customHeight="true" outlineLevel="0" collapsed="false">
      <c r="A102" s="30" t="n">
        <v>221.321</v>
      </c>
      <c r="B102" s="9" t="n">
        <f aca="false">IF(ISNUMBER(A102),
IF(AND(A102=INT(A102), MOD(A102, 10) = 0), 0,
IF(AND(A102=INT(A102), LEN(A102)=2), 1,
IF(AND(A102=INT(A102), LEN(A102)=3), 2,
LEN(A102) - FIND(".", A102) + 2)
)
),
"")</f>
        <v>5</v>
      </c>
      <c r="C102" s="37" t="s">
        <v>266</v>
      </c>
      <c r="D102" s="10" t="str">
        <f aca="false">REPT("   ", B102*2) &amp; C102</f>
        <v>                              In Vessel Shield Materials</v>
      </c>
      <c r="E102" s="10" t="s">
        <v>35</v>
      </c>
      <c r="F102" s="10" t="s">
        <v>267</v>
      </c>
      <c r="G102" s="10" t="s">
        <v>227</v>
      </c>
      <c r="H102" s="10"/>
      <c r="I102" s="10"/>
      <c r="J102" s="16" t="n">
        <f aca="false">MARVEL_Cost!C30</f>
        <v>647990.6</v>
      </c>
      <c r="K102" s="42" t="n">
        <f aca="false">K82</f>
        <v>14285.7142857143</v>
      </c>
      <c r="L102" s="23" t="s">
        <v>196</v>
      </c>
      <c r="M102" s="26" t="s">
        <v>268</v>
      </c>
      <c r="N102" s="23" t="n">
        <f aca="false">N82</f>
        <v>28</v>
      </c>
      <c r="O102" s="23" t="s">
        <v>198</v>
      </c>
      <c r="P102" s="23" t="n">
        <v>1</v>
      </c>
      <c r="Q102" s="20" t="n">
        <v>2024</v>
      </c>
      <c r="R102" s="23" t="s">
        <v>229</v>
      </c>
      <c r="S102" s="26" t="s">
        <v>219</v>
      </c>
      <c r="T102" s="26"/>
      <c r="U102" s="50"/>
      <c r="V102" s="23"/>
      <c r="W102" s="12" t="s">
        <v>167</v>
      </c>
      <c r="X102" s="24" t="n">
        <f aca="false">0.9*$J102</f>
        <v>583191.54</v>
      </c>
      <c r="Y102" s="24" t="n">
        <f aca="false">1.5*J102</f>
        <v>971985.9</v>
      </c>
      <c r="Z102" s="12" t="s">
        <v>44</v>
      </c>
      <c r="AA102" s="13" t="n">
        <f aca="false">0.9*K102</f>
        <v>12857.1428571429</v>
      </c>
      <c r="AB102" s="13" t="n">
        <f aca="false">1.3*K102</f>
        <v>18571.4285714286</v>
      </c>
      <c r="AC102" s="12" t="s">
        <v>44</v>
      </c>
      <c r="AD102" s="13" t="s">
        <v>45</v>
      </c>
      <c r="AE102" s="13" t="s">
        <v>46</v>
      </c>
      <c r="AF102" s="13" t="s">
        <v>47</v>
      </c>
      <c r="AG102" s="12" t="s">
        <v>48</v>
      </c>
    </row>
    <row r="103" s="36" customFormat="true" ht="53.25" hidden="false" customHeight="true" outlineLevel="0" collapsed="false">
      <c r="A103" s="30" t="n">
        <v>221.322</v>
      </c>
      <c r="B103" s="9" t="n">
        <f aca="false">IF(ISNUMBER(A103),
IF(AND(A103=INT(A103), MOD(A103, 10) = 0), 0,
IF(AND(A103=INT(A103), LEN(A103)=2), 1,
IF(AND(A103=INT(A103), LEN(A103)=3), 2,
LEN(A103) - FIND(".", A103) + 2)
)
),
"")</f>
        <v>5</v>
      </c>
      <c r="C103" s="37" t="s">
        <v>269</v>
      </c>
      <c r="D103" s="10" t="str">
        <f aca="false">REPT("   ", B103*2) &amp; C103</f>
        <v>                              Out The Vessel Shield Materials</v>
      </c>
      <c r="E103" s="10" t="s">
        <v>35</v>
      </c>
      <c r="F103" s="10" t="s">
        <v>270</v>
      </c>
      <c r="G103" s="10" t="s">
        <v>271</v>
      </c>
      <c r="H103" s="10"/>
      <c r="I103" s="10"/>
      <c r="J103" s="16"/>
      <c r="K103" s="42" t="n">
        <v>20</v>
      </c>
      <c r="L103" s="23" t="s">
        <v>196</v>
      </c>
      <c r="M103" s="26" t="s">
        <v>272</v>
      </c>
      <c r="N103" s="23" t="n">
        <f aca="false">'Design Variables'!B43</f>
        <v>925.3</v>
      </c>
      <c r="O103" s="23" t="s">
        <v>198</v>
      </c>
      <c r="P103" s="23" t="n">
        <v>1</v>
      </c>
      <c r="Q103" s="20" t="n">
        <v>2024</v>
      </c>
      <c r="R103" s="23" t="s">
        <v>229</v>
      </c>
      <c r="S103" s="26" t="s">
        <v>219</v>
      </c>
      <c r="T103" s="26"/>
      <c r="U103" s="52"/>
      <c r="V103" s="23"/>
      <c r="W103" s="12" t="s">
        <v>167</v>
      </c>
      <c r="X103" s="24" t="n">
        <f aca="false">0.9*$J103</f>
        <v>0</v>
      </c>
      <c r="Y103" s="24" t="n">
        <f aca="false">1.5*J103</f>
        <v>0</v>
      </c>
      <c r="Z103" s="12" t="s">
        <v>44</v>
      </c>
      <c r="AA103" s="13" t="n">
        <f aca="false">0.9*K103</f>
        <v>18</v>
      </c>
      <c r="AB103" s="13" t="n">
        <f aca="false">1.3*K103</f>
        <v>26</v>
      </c>
      <c r="AC103" s="12" t="s">
        <v>44</v>
      </c>
      <c r="AD103" s="13" t="s">
        <v>45</v>
      </c>
      <c r="AE103" s="13" t="s">
        <v>46</v>
      </c>
      <c r="AF103" s="13" t="s">
        <v>47</v>
      </c>
      <c r="AG103" s="12" t="s">
        <v>48</v>
      </c>
    </row>
    <row r="104" customFormat="false" ht="122.25" hidden="false" customHeight="true" outlineLevel="0" collapsed="false">
      <c r="A104" s="53" t="n">
        <v>221.33</v>
      </c>
      <c r="B104" s="54" t="n">
        <f aca="false">IF(ISNUMBER(A104),
IF(AND(A104=INT(A104), MOD(A104, 10) = 0), 0,
IF(AND(A104=INT(A104), LEN(A104)=2), 1,
IF(AND(A104=INT(A104), LEN(A104)=3), 2,
LEN(A104) - FIND(".", A104) + 2)
)
),
"")</f>
        <v>4</v>
      </c>
      <c r="C104" s="37" t="s">
        <v>273</v>
      </c>
      <c r="D104" s="10" t="str">
        <f aca="false">REPT("   ", B104*2) &amp; C104</f>
        <v>                        Moderator</v>
      </c>
      <c r="E104" s="10" t="s">
        <v>35</v>
      </c>
      <c r="F104" s="10" t="s">
        <v>273</v>
      </c>
      <c r="G104" s="10" t="s">
        <v>239</v>
      </c>
      <c r="H104" s="55"/>
      <c r="I104" s="55"/>
      <c r="K104" s="42" t="n">
        <v>80</v>
      </c>
      <c r="L104" s="23" t="s">
        <v>196</v>
      </c>
      <c r="M104" s="26" t="s">
        <v>274</v>
      </c>
      <c r="O104" s="23" t="s">
        <v>198</v>
      </c>
      <c r="Q104" s="20" t="n">
        <v>2022</v>
      </c>
      <c r="R104" s="23" t="s">
        <v>229</v>
      </c>
      <c r="S104" s="26" t="s">
        <v>240</v>
      </c>
      <c r="T104" s="44" t="s">
        <v>241</v>
      </c>
      <c r="W104" s="12" t="s">
        <v>167</v>
      </c>
      <c r="Z104" s="12" t="s">
        <v>44</v>
      </c>
      <c r="AA104" s="13" t="n">
        <f aca="false">0.9*K104</f>
        <v>72</v>
      </c>
      <c r="AB104" s="13" t="n">
        <f aca="false">1.3*K104</f>
        <v>104</v>
      </c>
      <c r="AC104" s="12" t="s">
        <v>44</v>
      </c>
      <c r="AD104" s="13" t="s">
        <v>45</v>
      </c>
      <c r="AE104" s="13" t="s">
        <v>46</v>
      </c>
      <c r="AF104" s="13" t="s">
        <v>47</v>
      </c>
      <c r="AG104" s="12" t="s">
        <v>48</v>
      </c>
    </row>
    <row r="105" customFormat="false" ht="122.25" hidden="false" customHeight="true" outlineLevel="0" collapsed="false">
      <c r="A105" s="53" t="n">
        <v>221.33</v>
      </c>
      <c r="B105" s="54" t="n">
        <f aca="false">IF(ISNUMBER(A105),
    IF(AND(A105=INT(A105), MOD(A105, 10) = 0), 0,
        IF(AND(A105=INT(A105), LEN(A105)=2), 1,
            IF(AND(A105=INT(A105), LEN(A105)=3), 2,
                LEN(A105) - FIND(".", A105) + 2)
        )
    ),
"")</f>
        <v>4</v>
      </c>
      <c r="C105" s="37" t="s">
        <v>273</v>
      </c>
      <c r="D105" s="10" t="str">
        <f aca="false">REPT("   ", B105*2) &amp; C105</f>
        <v>                        Moderator</v>
      </c>
      <c r="E105" s="10" t="s">
        <v>35</v>
      </c>
      <c r="F105" s="10" t="s">
        <v>273</v>
      </c>
      <c r="G105" s="10" t="s">
        <v>275</v>
      </c>
      <c r="H105" s="55"/>
      <c r="I105" s="55"/>
      <c r="K105" s="42" t="n">
        <f aca="false">2*K104</f>
        <v>160</v>
      </c>
      <c r="L105" s="23" t="s">
        <v>196</v>
      </c>
      <c r="M105" s="26" t="s">
        <v>274</v>
      </c>
      <c r="O105" s="23" t="s">
        <v>198</v>
      </c>
      <c r="Q105" s="20" t="n">
        <v>2022</v>
      </c>
      <c r="R105" s="23" t="s">
        <v>229</v>
      </c>
      <c r="S105" s="26" t="s">
        <v>276</v>
      </c>
      <c r="T105" s="44"/>
      <c r="W105" s="12" t="s">
        <v>167</v>
      </c>
      <c r="Z105" s="12" t="s">
        <v>44</v>
      </c>
      <c r="AA105" s="13" t="n">
        <f aca="false">0.9*K105</f>
        <v>144</v>
      </c>
      <c r="AB105" s="13" t="n">
        <f aca="false">1.3*K105</f>
        <v>208</v>
      </c>
      <c r="AC105" s="12" t="s">
        <v>44</v>
      </c>
      <c r="AD105" s="13" t="s">
        <v>45</v>
      </c>
      <c r="AE105" s="13" t="s">
        <v>46</v>
      </c>
      <c r="AF105" s="13" t="s">
        <v>47</v>
      </c>
      <c r="AG105" s="12" t="s">
        <v>48</v>
      </c>
    </row>
    <row r="106" customFormat="false" ht="122.25" hidden="false" customHeight="true" outlineLevel="0" collapsed="false">
      <c r="A106" s="53" t="n">
        <v>221.33</v>
      </c>
      <c r="B106" s="54" t="n">
        <f aca="false">IF(ISNUMBER(A106),
IF(AND(A106=INT(A106), MOD(A106, 10) = 0), 0,
IF(AND(A106=INT(A106), LEN(A106)=2), 1,
IF(AND(A106=INT(A106), LEN(A106)=3), 2,
LEN(A106) - FIND(".", A106) + 2)
)
),
"")</f>
        <v>4</v>
      </c>
      <c r="C106" s="37" t="s">
        <v>273</v>
      </c>
      <c r="D106" s="10" t="str">
        <f aca="false">REPT("   ", B106*2) &amp; C106</f>
        <v>                        Moderator</v>
      </c>
      <c r="E106" s="10" t="s">
        <v>35</v>
      </c>
      <c r="F106" s="10" t="s">
        <v>273</v>
      </c>
      <c r="G106" s="10" t="s">
        <v>277</v>
      </c>
      <c r="H106" s="55"/>
      <c r="I106" s="55"/>
      <c r="K106" s="42" t="n">
        <v>1520</v>
      </c>
      <c r="L106" s="23" t="s">
        <v>196</v>
      </c>
      <c r="M106" s="26" t="s">
        <v>274</v>
      </c>
      <c r="O106" s="23" t="s">
        <v>198</v>
      </c>
      <c r="Q106" s="20" t="n">
        <v>2017</v>
      </c>
      <c r="R106" s="23" t="s">
        <v>229</v>
      </c>
      <c r="S106" s="26" t="s">
        <v>278</v>
      </c>
      <c r="T106" s="44" t="s">
        <v>279</v>
      </c>
      <c r="W106" s="12" t="s">
        <v>167</v>
      </c>
      <c r="Z106" s="12" t="s">
        <v>44</v>
      </c>
      <c r="AA106" s="13" t="n">
        <f aca="false">0.9*K106</f>
        <v>1368</v>
      </c>
      <c r="AB106" s="13" t="n">
        <f aca="false">1.3*K106</f>
        <v>1976</v>
      </c>
      <c r="AC106" s="12" t="s">
        <v>44</v>
      </c>
      <c r="AD106" s="13" t="s">
        <v>45</v>
      </c>
      <c r="AE106" s="13" t="s">
        <v>46</v>
      </c>
      <c r="AF106" s="13" t="s">
        <v>47</v>
      </c>
      <c r="AG106" s="12" t="s">
        <v>48</v>
      </c>
    </row>
    <row r="107" customFormat="false" ht="122.25" hidden="false" customHeight="true" outlineLevel="0" collapsed="false">
      <c r="A107" s="53" t="n">
        <v>221.33</v>
      </c>
      <c r="B107" s="54" t="n">
        <f aca="false">IF(ISNUMBER(A107),
    IF(AND(A107=INT(A107), MOD(A107, 10) = 0), 0,
        IF(AND(A107=INT(A107), LEN(A107)=2), 1,
            IF(AND(A107=INT(A107), LEN(A107)=3), 2,
                LEN(A107) - FIND(".", A107) + 2)
        )
    ),
"")</f>
        <v>4</v>
      </c>
      <c r="C107" s="37" t="s">
        <v>273</v>
      </c>
      <c r="D107" s="10" t="str">
        <f aca="false">REPT("   ", B107*2) &amp; C107</f>
        <v>                        Moderator</v>
      </c>
      <c r="E107" s="10" t="s">
        <v>35</v>
      </c>
      <c r="F107" s="10" t="s">
        <v>273</v>
      </c>
      <c r="G107" s="10" t="s">
        <v>280</v>
      </c>
      <c r="H107" s="55"/>
      <c r="I107" s="55"/>
      <c r="K107" s="42" t="n">
        <v>1520</v>
      </c>
      <c r="L107" s="23" t="s">
        <v>196</v>
      </c>
      <c r="M107" s="26" t="s">
        <v>274</v>
      </c>
      <c r="O107" s="23" t="s">
        <v>198</v>
      </c>
      <c r="Q107" s="20" t="n">
        <v>2017</v>
      </c>
      <c r="R107" s="23" t="s">
        <v>229</v>
      </c>
      <c r="S107" s="26"/>
      <c r="T107" s="44" t="s">
        <v>281</v>
      </c>
      <c r="W107" s="12" t="s">
        <v>167</v>
      </c>
      <c r="Z107" s="12" t="s">
        <v>44</v>
      </c>
      <c r="AA107" s="13" t="n">
        <f aca="false">0.9*K107</f>
        <v>1368</v>
      </c>
      <c r="AB107" s="13" t="n">
        <f aca="false">1.3*K107</f>
        <v>1976</v>
      </c>
      <c r="AC107" s="12" t="s">
        <v>44</v>
      </c>
      <c r="AD107" s="13" t="s">
        <v>45</v>
      </c>
      <c r="AE107" s="13" t="s">
        <v>46</v>
      </c>
      <c r="AF107" s="13" t="s">
        <v>47</v>
      </c>
      <c r="AG107" s="12" t="s">
        <v>48</v>
      </c>
    </row>
    <row r="108" customFormat="false" ht="122.25" hidden="false" customHeight="true" outlineLevel="0" collapsed="false">
      <c r="A108" s="53" t="n">
        <v>221.34</v>
      </c>
      <c r="B108" s="54" t="n">
        <f aca="false">IF(ISNUMBER(A108),
IF(AND(A108=INT(A108), MOD(A108, 10) = 0), 0,
IF(AND(A108=INT(A108), LEN(A108)=2), 1,
IF(AND(A108=INT(A108), LEN(A108)=3), 2,
LEN(A108) - FIND(".", A108) + 2)
)
),
"")</f>
        <v>4</v>
      </c>
      <c r="C108" s="37" t="s">
        <v>282</v>
      </c>
      <c r="D108" s="10" t="str">
        <f aca="false">REPT("   ", B108*2) &amp; C108</f>
        <v>                        Moderator (Booster)</v>
      </c>
      <c r="E108" s="10" t="s">
        <v>35</v>
      </c>
      <c r="F108" s="10" t="s">
        <v>283</v>
      </c>
      <c r="G108" s="10" t="s">
        <v>239</v>
      </c>
      <c r="H108" s="55"/>
      <c r="I108" s="55"/>
      <c r="K108" s="42" t="n">
        <v>80</v>
      </c>
      <c r="L108" s="23" t="s">
        <v>196</v>
      </c>
      <c r="M108" s="26" t="s">
        <v>284</v>
      </c>
      <c r="O108" s="23" t="s">
        <v>198</v>
      </c>
      <c r="Q108" s="20" t="n">
        <v>2022</v>
      </c>
      <c r="R108" s="23" t="s">
        <v>229</v>
      </c>
      <c r="S108" s="26" t="s">
        <v>240</v>
      </c>
      <c r="T108" s="44" t="s">
        <v>241</v>
      </c>
      <c r="W108" s="12" t="s">
        <v>167</v>
      </c>
      <c r="Z108" s="12" t="s">
        <v>44</v>
      </c>
      <c r="AA108" s="13" t="n">
        <f aca="false">0.9*K108</f>
        <v>72</v>
      </c>
      <c r="AB108" s="13" t="n">
        <f aca="false">1.3*K108</f>
        <v>104</v>
      </c>
      <c r="AC108" s="12" t="s">
        <v>44</v>
      </c>
      <c r="AD108" s="13" t="s">
        <v>45</v>
      </c>
      <c r="AE108" s="13" t="s">
        <v>46</v>
      </c>
      <c r="AF108" s="13" t="s">
        <v>47</v>
      </c>
      <c r="AG108" s="12" t="s">
        <v>48</v>
      </c>
    </row>
    <row r="109" customFormat="false" ht="122.25" hidden="false" customHeight="true" outlineLevel="0" collapsed="false">
      <c r="A109" s="53" t="n">
        <v>221.34</v>
      </c>
      <c r="B109" s="54" t="n">
        <f aca="false">IF(ISNUMBER(A109),
IF(AND(A109=INT(A109), MOD(A109, 10) = 0), 0,
IF(AND(A109=INT(A109), LEN(A109)=2), 1,
IF(AND(A109=INT(A109), LEN(A109)=3), 2,
LEN(A109) - FIND(".", A109) + 2)
)
),
"")</f>
        <v>4</v>
      </c>
      <c r="C109" s="37" t="s">
        <v>282</v>
      </c>
      <c r="D109" s="10" t="str">
        <f aca="false">REPT("   ", B109*2) &amp; C109</f>
        <v>                        Moderator (Booster)</v>
      </c>
      <c r="E109" s="10" t="s">
        <v>35</v>
      </c>
      <c r="F109" s="10" t="s">
        <v>283</v>
      </c>
      <c r="G109" s="10" t="s">
        <v>280</v>
      </c>
      <c r="H109" s="55"/>
      <c r="I109" s="55"/>
      <c r="K109" s="42" t="n">
        <v>1520</v>
      </c>
      <c r="L109" s="23" t="s">
        <v>196</v>
      </c>
      <c r="M109" s="26" t="s">
        <v>285</v>
      </c>
      <c r="O109" s="23" t="s">
        <v>198</v>
      </c>
      <c r="Q109" s="20" t="n">
        <v>2017</v>
      </c>
      <c r="R109" s="23" t="s">
        <v>229</v>
      </c>
      <c r="S109" s="26"/>
      <c r="T109" s="44" t="s">
        <v>281</v>
      </c>
      <c r="W109" s="12" t="s">
        <v>167</v>
      </c>
      <c r="Z109" s="12" t="s">
        <v>44</v>
      </c>
      <c r="AA109" s="13" t="n">
        <f aca="false">0.9*K109</f>
        <v>1368</v>
      </c>
      <c r="AB109" s="13" t="n">
        <f aca="false">1.3*K109</f>
        <v>1976</v>
      </c>
      <c r="AC109" s="12" t="s">
        <v>44</v>
      </c>
      <c r="AD109" s="13" t="s">
        <v>45</v>
      </c>
      <c r="AE109" s="13" t="s">
        <v>46</v>
      </c>
      <c r="AF109" s="13" t="s">
        <v>47</v>
      </c>
      <c r="AG109" s="12" t="s">
        <v>48</v>
      </c>
    </row>
    <row r="110" customFormat="false" ht="122.25" hidden="false" customHeight="true" outlineLevel="0" collapsed="false">
      <c r="A110" s="53" t="n">
        <v>221.34</v>
      </c>
      <c r="B110" s="54" t="n">
        <f aca="false">IF(ISNUMBER(A110),
IF(AND(A110=INT(A110), MOD(A110, 10) = 0), 0,
IF(AND(A110=INT(A110), LEN(A110)=2), 1,
IF(AND(A110=INT(A110), LEN(A110)=3), 2,
LEN(A110) - FIND(".", A110) + 2)
)
),
"")</f>
        <v>4</v>
      </c>
      <c r="C110" s="37" t="s">
        <v>282</v>
      </c>
      <c r="D110" s="10" t="str">
        <f aca="false">REPT("   ", B110*2) &amp; C110</f>
        <v>                        Moderator (Booster)</v>
      </c>
      <c r="E110" s="10" t="s">
        <v>35</v>
      </c>
      <c r="F110" s="10" t="s">
        <v>283</v>
      </c>
      <c r="G110" s="10" t="s">
        <v>277</v>
      </c>
      <c r="H110" s="55"/>
      <c r="I110" s="55"/>
      <c r="K110" s="42" t="n">
        <v>1520</v>
      </c>
      <c r="L110" s="23" t="s">
        <v>196</v>
      </c>
      <c r="M110" s="26" t="s">
        <v>286</v>
      </c>
      <c r="O110" s="23" t="s">
        <v>198</v>
      </c>
      <c r="Q110" s="20" t="n">
        <v>2017</v>
      </c>
      <c r="R110" s="23" t="s">
        <v>229</v>
      </c>
      <c r="S110" s="26" t="s">
        <v>278</v>
      </c>
      <c r="T110" s="44" t="s">
        <v>279</v>
      </c>
      <c r="U110" s="56"/>
      <c r="V110" s="56"/>
      <c r="W110" s="12" t="s">
        <v>167</v>
      </c>
      <c r="Z110" s="12" t="s">
        <v>44</v>
      </c>
      <c r="AA110" s="13" t="n">
        <f aca="false">0.9*K110</f>
        <v>1368</v>
      </c>
      <c r="AB110" s="13" t="n">
        <f aca="false">1.3*K110</f>
        <v>1976</v>
      </c>
      <c r="AC110" s="12" t="s">
        <v>44</v>
      </c>
      <c r="AD110" s="13" t="s">
        <v>45</v>
      </c>
      <c r="AE110" s="13" t="s">
        <v>46</v>
      </c>
      <c r="AF110" s="13" t="s">
        <v>47</v>
      </c>
      <c r="AG110" s="12" t="s">
        <v>48</v>
      </c>
    </row>
    <row r="111" customFormat="false" ht="53.25" hidden="false" customHeight="true" outlineLevel="0" collapsed="false">
      <c r="A111" s="30" t="n">
        <v>222</v>
      </c>
      <c r="B111" s="9" t="n">
        <f aca="false">IF(ISNUMBER(A111),
IF(AND(A111=INT(A111), MOD(A111, 10) = 0), 0,
IF(AND(A111=INT(A111), LEN(A111)=2), 1,
IF(AND(A111=INT(A111), LEN(A111)=3), 2,
LEN(A111) - FIND(".", A111) + 2)
)
),
"")</f>
        <v>2</v>
      </c>
      <c r="C111" s="37" t="s">
        <v>287</v>
      </c>
      <c r="D111" s="10" t="str">
        <f aca="false">REPT("   ", B111*2) &amp; C111</f>
        <v>            Main Heat Transport System</v>
      </c>
      <c r="E111" s="10"/>
      <c r="F111" s="10"/>
      <c r="G111" s="10"/>
      <c r="H111" s="10"/>
      <c r="I111" s="10"/>
      <c r="J111" s="16"/>
      <c r="K111" s="42"/>
      <c r="L111" s="23"/>
      <c r="M111" s="26"/>
      <c r="N111" s="23"/>
      <c r="O111" s="23"/>
      <c r="P111" s="23"/>
      <c r="Q111" s="20"/>
      <c r="R111" s="23"/>
      <c r="S111" s="26"/>
      <c r="T111" s="44"/>
      <c r="U111" s="56"/>
      <c r="V111" s="56"/>
      <c r="W111" s="12"/>
      <c r="X111" s="24"/>
      <c r="Y111" s="24"/>
      <c r="Z111" s="12"/>
      <c r="AA111" s="13"/>
      <c r="AB111" s="13"/>
      <c r="AC111" s="12"/>
      <c r="AD111" s="13"/>
      <c r="AE111" s="13"/>
      <c r="AF111" s="13"/>
      <c r="AG111" s="12"/>
    </row>
    <row r="112" customFormat="false" ht="26.25" hidden="false" customHeight="true" outlineLevel="0" collapsed="false">
      <c r="A112" s="30" t="n">
        <v>222.1</v>
      </c>
      <c r="B112" s="9" t="n">
        <f aca="false">IF(ISNUMBER(A112),
    IF(AND(A112=INT(A112), MOD(A112, 10) = 0), 0,
        IF(AND(A112=INT(A112), LEN(A112)=2), 1,
            IF(AND(A112=INT(A112), LEN(A112)=3), 2,
                LEN(A112) - FIND(".", A112) + 2)
        )
    ),
"")</f>
        <v>3</v>
      </c>
      <c r="C112" s="37" t="s">
        <v>288</v>
      </c>
      <c r="D112" s="10" t="str">
        <f aca="false">REPT("   ", B112*2) &amp; C112</f>
        <v>                  Fluid Circulation Drive System</v>
      </c>
      <c r="E112" s="10"/>
      <c r="F112" s="10"/>
      <c r="G112" s="10"/>
      <c r="H112" s="10"/>
      <c r="I112" s="10"/>
      <c r="J112" s="16"/>
      <c r="K112" s="20"/>
      <c r="L112" s="23"/>
      <c r="M112" s="26"/>
      <c r="N112" s="23"/>
      <c r="O112" s="23"/>
      <c r="P112" s="23"/>
      <c r="Q112" s="20"/>
      <c r="R112" s="23"/>
      <c r="S112" s="26"/>
      <c r="T112" s="23"/>
      <c r="U112" s="23"/>
      <c r="V112" s="23"/>
      <c r="W112" s="12"/>
      <c r="X112" s="24"/>
      <c r="Y112" s="24"/>
      <c r="Z112" s="12"/>
      <c r="AA112" s="13"/>
      <c r="AB112" s="13"/>
      <c r="AC112" s="12"/>
      <c r="AD112" s="13"/>
      <c r="AE112" s="13"/>
      <c r="AF112" s="13"/>
      <c r="AG112" s="12"/>
    </row>
    <row r="113" customFormat="false" ht="108.75" hidden="false" customHeight="true" outlineLevel="0" collapsed="false">
      <c r="A113" s="15" t="n">
        <v>222.11</v>
      </c>
      <c r="B113" s="9" t="n">
        <f aca="false">IF(ISNUMBER(A113),
IF(AND(A113=INT(A113), MOD(A113, 10) = 0), 0,
IF(AND(A113=INT(A113), LEN(A113)=2), 1,
IF(AND(A113=INT(A113), LEN(A113)=3), 2,
LEN(A113) - FIND(".", A113) + 2)
)
),
"")</f>
        <v>4</v>
      </c>
      <c r="C113" s="37" t="s">
        <v>289</v>
      </c>
      <c r="D113" s="10" t="str">
        <f aca="false">REPT("   ", B113*2) &amp; C113</f>
        <v>                        Primary Pump</v>
      </c>
      <c r="E113" s="10" t="s">
        <v>290</v>
      </c>
      <c r="F113" s="10" t="s">
        <v>289</v>
      </c>
      <c r="G113" s="10" t="s">
        <v>291</v>
      </c>
      <c r="H113" s="10"/>
      <c r="I113" s="10"/>
      <c r="J113" s="16"/>
      <c r="K113" s="42" t="n">
        <f aca="false">12.5*705.48</f>
        <v>8818.5</v>
      </c>
      <c r="L113" s="23" t="s">
        <v>292</v>
      </c>
      <c r="M113" s="26" t="s">
        <v>293</v>
      </c>
      <c r="N113" s="23"/>
      <c r="O113" s="23"/>
      <c r="P113" s="23" t="n">
        <v>0.71</v>
      </c>
      <c r="Q113" s="20" t="n">
        <v>2003</v>
      </c>
      <c r="R113" s="23" t="s">
        <v>96</v>
      </c>
      <c r="S113" s="26" t="s">
        <v>294</v>
      </c>
      <c r="T113" s="44" t="s">
        <v>295</v>
      </c>
      <c r="U113" s="57" t="s">
        <v>296</v>
      </c>
      <c r="V113" s="44"/>
      <c r="W113" s="12" t="s">
        <v>167</v>
      </c>
      <c r="X113" s="24" t="n">
        <f aca="false">0.9*$J113</f>
        <v>0</v>
      </c>
      <c r="Y113" s="24" t="n">
        <f aca="false">1.5*J113</f>
        <v>0</v>
      </c>
      <c r="Z113" s="12" t="s">
        <v>44</v>
      </c>
      <c r="AA113" s="13" t="n">
        <f aca="false">0.9*K113</f>
        <v>7936.65</v>
      </c>
      <c r="AB113" s="13" t="n">
        <f aca="false">1.3*K113</f>
        <v>11464.05</v>
      </c>
      <c r="AC113" s="12" t="s">
        <v>44</v>
      </c>
      <c r="AD113" s="13" t="s">
        <v>45</v>
      </c>
      <c r="AE113" s="13" t="s">
        <v>46</v>
      </c>
      <c r="AF113" s="13" t="s">
        <v>47</v>
      </c>
      <c r="AG113" s="12" t="s">
        <v>48</v>
      </c>
    </row>
    <row r="114" customFormat="false" ht="51.75" hidden="false" customHeight="true" outlineLevel="0" collapsed="false">
      <c r="A114" s="15" t="n">
        <v>222.12</v>
      </c>
      <c r="B114" s="9" t="n">
        <f aca="false">IF(ISNUMBER(A114),
IF(AND(A114=INT(A114), MOD(A114, 10) = 0), 0,
IF(AND(A114=INT(A114), LEN(A114)=2), 1,
IF(AND(A114=INT(A114), LEN(A114)=3), 2,
LEN(A114) - FIND(".", A114) + 2)
)
),
"")</f>
        <v>4</v>
      </c>
      <c r="C114" s="37" t="s">
        <v>297</v>
      </c>
      <c r="D114" s="10" t="str">
        <f aca="false">REPT("   ", B114*2) &amp; C114</f>
        <v>                        Secondary Pump</v>
      </c>
      <c r="E114" s="10" t="s">
        <v>290</v>
      </c>
      <c r="F114" s="10" t="s">
        <v>297</v>
      </c>
      <c r="G114" s="10" t="s">
        <v>291</v>
      </c>
      <c r="H114" s="10"/>
      <c r="I114" s="10"/>
      <c r="J114" s="16"/>
      <c r="K114" s="42" t="n">
        <v>705.48</v>
      </c>
      <c r="L114" s="23" t="s">
        <v>292</v>
      </c>
      <c r="M114" s="26" t="s">
        <v>298</v>
      </c>
      <c r="N114" s="23"/>
      <c r="O114" s="23"/>
      <c r="P114" s="23" t="n">
        <v>0.71</v>
      </c>
      <c r="Q114" s="20" t="n">
        <v>2003</v>
      </c>
      <c r="R114" s="23" t="s">
        <v>96</v>
      </c>
      <c r="S114" s="26" t="s">
        <v>299</v>
      </c>
      <c r="T114" s="52"/>
      <c r="U114" s="52"/>
      <c r="V114" s="52"/>
      <c r="W114" s="12" t="s">
        <v>167</v>
      </c>
      <c r="X114" s="24" t="n">
        <f aca="false">0.9*$J114</f>
        <v>0</v>
      </c>
      <c r="Y114" s="24" t="n">
        <f aca="false">1.5*J114</f>
        <v>0</v>
      </c>
      <c r="Z114" s="12" t="s">
        <v>44</v>
      </c>
      <c r="AA114" s="13" t="n">
        <f aca="false">0.9*K114</f>
        <v>634.932</v>
      </c>
      <c r="AB114" s="13" t="n">
        <f aca="false">1.3*K114</f>
        <v>917.124</v>
      </c>
      <c r="AC114" s="12" t="s">
        <v>44</v>
      </c>
      <c r="AD114" s="13" t="s">
        <v>45</v>
      </c>
      <c r="AE114" s="13" t="s">
        <v>46</v>
      </c>
      <c r="AF114" s="13" t="s">
        <v>47</v>
      </c>
      <c r="AG114" s="12" t="s">
        <v>48</v>
      </c>
    </row>
    <row r="115" customFormat="false" ht="175.5" hidden="false" customHeight="true" outlineLevel="0" collapsed="false">
      <c r="A115" s="15" t="n">
        <v>222.13</v>
      </c>
      <c r="B115" s="9" t="n">
        <f aca="false">IF(ISNUMBER(A115),
IF(AND(A115=INT(A115), MOD(A115, 10) = 0), 0,
IF(AND(A115=INT(A115), LEN(A115)=2), 1,
IF(AND(A115=INT(A115), LEN(A115)=3), 2,
LEN(A115) - FIND(".", A115) + 2)
)
),
"")</f>
        <v>4</v>
      </c>
      <c r="C115" s="37" t="s">
        <v>300</v>
      </c>
      <c r="D115" s="10" t="str">
        <f aca="false">REPT("   ", B115*2) &amp; C115</f>
        <v>                        Compressor</v>
      </c>
      <c r="E115" s="10" t="s">
        <v>290</v>
      </c>
      <c r="F115" s="10" t="s">
        <v>128</v>
      </c>
      <c r="G115" s="10" t="s">
        <v>129</v>
      </c>
      <c r="H115" s="10"/>
      <c r="I115" s="10"/>
      <c r="J115" s="16"/>
      <c r="K115" s="42" t="n">
        <v>7100000</v>
      </c>
      <c r="L115" s="23" t="s">
        <v>301</v>
      </c>
      <c r="M115" s="26"/>
      <c r="N115" s="23"/>
      <c r="O115" s="23"/>
      <c r="P115" s="23"/>
      <c r="Q115" s="20" t="n">
        <v>2020</v>
      </c>
      <c r="R115" s="23" t="s">
        <v>96</v>
      </c>
      <c r="S115" s="26" t="s">
        <v>302</v>
      </c>
      <c r="T115" s="44" t="s">
        <v>303</v>
      </c>
      <c r="U115" s="40"/>
      <c r="V115" s="44" t="s">
        <v>304</v>
      </c>
      <c r="W115" s="12" t="s">
        <v>167</v>
      </c>
      <c r="X115" s="24" t="n">
        <f aca="false">0.9*$J115</f>
        <v>0</v>
      </c>
      <c r="Y115" s="24" t="n">
        <f aca="false">1.5*J115</f>
        <v>0</v>
      </c>
      <c r="Z115" s="12" t="s">
        <v>44</v>
      </c>
      <c r="AA115" s="13" t="n">
        <f aca="false">0.9*K115</f>
        <v>6390000</v>
      </c>
      <c r="AB115" s="13" t="n">
        <f aca="false">1.3*K115</f>
        <v>9230000</v>
      </c>
      <c r="AC115" s="12" t="s">
        <v>44</v>
      </c>
      <c r="AD115" s="13" t="s">
        <v>45</v>
      </c>
      <c r="AE115" s="13" t="s">
        <v>46</v>
      </c>
      <c r="AF115" s="13" t="s">
        <v>47</v>
      </c>
      <c r="AG115" s="12" t="s">
        <v>48</v>
      </c>
    </row>
    <row r="116" customFormat="false" ht="53.25" hidden="false" customHeight="true" outlineLevel="0" collapsed="false">
      <c r="A116" s="30" t="n">
        <v>222.2</v>
      </c>
      <c r="B116" s="9" t="n">
        <f aca="false">IF(ISNUMBER(A116),
IF(AND(A116=INT(A116), MOD(A116, 10) = 0), 0,
IF(AND(A116=INT(A116), LEN(A116)=2), 1,
IF(AND(A116=INT(A116), LEN(A116)=3), 2,
LEN(A116) - FIND(".", A116) + 2)
)
),
"")</f>
        <v>3</v>
      </c>
      <c r="C116" s="37" t="s">
        <v>305</v>
      </c>
      <c r="D116" s="10" t="str">
        <f aca="false">REPT("   ", B116*2) &amp; C116</f>
        <v>                  Reactor Heat Transfer Piping System</v>
      </c>
      <c r="E116" s="10" t="s">
        <v>35</v>
      </c>
      <c r="F116" s="10" t="s">
        <v>128</v>
      </c>
      <c r="G116" s="10" t="s">
        <v>129</v>
      </c>
      <c r="H116" s="10"/>
      <c r="I116" s="10"/>
      <c r="J116" s="16"/>
      <c r="K116" s="42" t="n">
        <v>20000</v>
      </c>
      <c r="L116" s="23" t="s">
        <v>50</v>
      </c>
      <c r="M116" s="18" t="s">
        <v>51</v>
      </c>
      <c r="N116" s="23"/>
      <c r="O116" s="23"/>
      <c r="P116" s="23"/>
      <c r="Q116" s="20" t="n">
        <v>2017</v>
      </c>
      <c r="R116" s="23" t="s">
        <v>163</v>
      </c>
      <c r="S116" s="26" t="s">
        <v>306</v>
      </c>
      <c r="T116" s="26" t="s">
        <v>207</v>
      </c>
      <c r="U116" s="23"/>
      <c r="V116" s="23"/>
      <c r="W116" s="12" t="s">
        <v>167</v>
      </c>
      <c r="X116" s="24" t="n">
        <f aca="false">0.9*$J116</f>
        <v>0</v>
      </c>
      <c r="Y116" s="24" t="n">
        <f aca="false">1.5*J116</f>
        <v>0</v>
      </c>
      <c r="Z116" s="12" t="s">
        <v>44</v>
      </c>
      <c r="AA116" s="13" t="n">
        <f aca="false">0.9*K116</f>
        <v>18000</v>
      </c>
      <c r="AB116" s="13" t="n">
        <f aca="false">1.3*K116</f>
        <v>26000</v>
      </c>
      <c r="AC116" s="12" t="s">
        <v>44</v>
      </c>
      <c r="AD116" s="13" t="s">
        <v>45</v>
      </c>
      <c r="AE116" s="13" t="s">
        <v>46</v>
      </c>
      <c r="AF116" s="13" t="s">
        <v>47</v>
      </c>
      <c r="AG116" s="12" t="s">
        <v>48</v>
      </c>
    </row>
    <row r="117" customFormat="false" ht="53.25" hidden="false" customHeight="true" outlineLevel="0" collapsed="false">
      <c r="A117" s="30" t="n">
        <v>222.2</v>
      </c>
      <c r="B117" s="9" t="n">
        <f aca="false">IF(ISNUMBER(A117),
    IF(AND(A117=INT(A117), MOD(A117, 10) = 0), 0,
        IF(AND(A117=INT(A117), LEN(A117)=2), 1,
            IF(AND(A117=INT(A117), LEN(A117)=3), 2,
                LEN(A117) - FIND(".", A117) + 2)
        )
    ),
"")</f>
        <v>3</v>
      </c>
      <c r="C117" s="37" t="s">
        <v>305</v>
      </c>
      <c r="D117" s="10" t="str">
        <f aca="false">REPT("   ", B117*2) &amp; C117</f>
        <v>                  Reactor Heat Transfer Piping System</v>
      </c>
      <c r="E117" s="10" t="s">
        <v>35</v>
      </c>
      <c r="F117" s="10" t="s">
        <v>128</v>
      </c>
      <c r="G117" s="10" t="s">
        <v>307</v>
      </c>
      <c r="H117" s="10"/>
      <c r="I117" s="10"/>
      <c r="J117" s="16"/>
      <c r="K117" s="42" t="n">
        <v>20000</v>
      </c>
      <c r="L117" s="23" t="s">
        <v>50</v>
      </c>
      <c r="M117" s="18" t="s">
        <v>51</v>
      </c>
      <c r="N117" s="23"/>
      <c r="O117" s="23"/>
      <c r="P117" s="23"/>
      <c r="Q117" s="20" t="n">
        <v>2017</v>
      </c>
      <c r="R117" s="23" t="s">
        <v>163</v>
      </c>
      <c r="S117" s="26" t="s">
        <v>306</v>
      </c>
      <c r="T117" s="26" t="s">
        <v>207</v>
      </c>
      <c r="U117" s="23"/>
      <c r="V117" s="23"/>
      <c r="W117" s="12" t="s">
        <v>167</v>
      </c>
      <c r="X117" s="24" t="n">
        <f aca="false">0.9*$J117</f>
        <v>0</v>
      </c>
      <c r="Y117" s="24" t="n">
        <f aca="false">1.5*J117</f>
        <v>0</v>
      </c>
      <c r="Z117" s="12" t="s">
        <v>44</v>
      </c>
      <c r="AA117" s="13" t="n">
        <f aca="false">0.9*K117</f>
        <v>18000</v>
      </c>
      <c r="AB117" s="13" t="n">
        <f aca="false">1.3*K117</f>
        <v>26000</v>
      </c>
      <c r="AC117" s="12" t="s">
        <v>44</v>
      </c>
      <c r="AD117" s="13" t="s">
        <v>45</v>
      </c>
      <c r="AE117" s="13" t="s">
        <v>46</v>
      </c>
      <c r="AF117" s="13" t="s">
        <v>47</v>
      </c>
      <c r="AG117" s="12" t="s">
        <v>48</v>
      </c>
    </row>
    <row r="118" customFormat="false" ht="53.25" hidden="false" customHeight="true" outlineLevel="0" collapsed="false">
      <c r="A118" s="30" t="n">
        <v>222.2</v>
      </c>
      <c r="B118" s="9" t="n">
        <f aca="false">IF(ISNUMBER(A118),
IF(AND(A118=INT(A118), MOD(A118, 10) = 0), 0,
IF(AND(A118=INT(A118), LEN(A118)=2), 1,
IF(AND(A118=INT(A118), LEN(A118)=3), 2,
LEN(A118) - FIND(".", A118) + 2)
)
),
"")</f>
        <v>3</v>
      </c>
      <c r="C118" s="37" t="s">
        <v>305</v>
      </c>
      <c r="D118" s="10" t="str">
        <f aca="false">REPT("   ", B118*2) &amp; C118</f>
        <v>                  Reactor Heat Transfer Piping System</v>
      </c>
      <c r="E118" s="10" t="s">
        <v>35</v>
      </c>
      <c r="F118" s="10" t="s">
        <v>128</v>
      </c>
      <c r="G118" s="10" t="s">
        <v>308</v>
      </c>
      <c r="H118" s="10"/>
      <c r="I118" s="10"/>
      <c r="J118" s="16"/>
      <c r="K118" s="42" t="n">
        <v>10000</v>
      </c>
      <c r="L118" s="23" t="s">
        <v>309</v>
      </c>
      <c r="M118" s="18" t="s">
        <v>310</v>
      </c>
      <c r="N118" s="23" t="n">
        <v>1</v>
      </c>
      <c r="O118" s="23"/>
      <c r="P118" s="23" t="n">
        <v>0.7</v>
      </c>
      <c r="Q118" s="20" t="n">
        <v>2017</v>
      </c>
      <c r="R118" s="23" t="s">
        <v>163</v>
      </c>
      <c r="S118" s="26" t="s">
        <v>311</v>
      </c>
      <c r="T118" s="26"/>
      <c r="U118" s="23"/>
      <c r="V118" s="23"/>
      <c r="W118" s="12" t="s">
        <v>167</v>
      </c>
      <c r="X118" s="24" t="n">
        <f aca="false">0.9*$J118</f>
        <v>0</v>
      </c>
      <c r="Y118" s="24" t="n">
        <f aca="false">1.5*J118</f>
        <v>0</v>
      </c>
      <c r="Z118" s="12" t="s">
        <v>44</v>
      </c>
      <c r="AA118" s="13" t="n">
        <f aca="false">0.9*K118</f>
        <v>9000</v>
      </c>
      <c r="AB118" s="13" t="n">
        <f aca="false">1.3*K118</f>
        <v>13000</v>
      </c>
      <c r="AC118" s="12" t="s">
        <v>44</v>
      </c>
      <c r="AD118" s="13" t="s">
        <v>45</v>
      </c>
      <c r="AE118" s="13" t="s">
        <v>46</v>
      </c>
      <c r="AF118" s="13" t="s">
        <v>47</v>
      </c>
      <c r="AG118" s="12" t="s">
        <v>48</v>
      </c>
    </row>
    <row r="119" customFormat="false" ht="26.25" hidden="false" customHeight="true" outlineLevel="0" collapsed="false">
      <c r="A119" s="30" t="n">
        <v>222.3</v>
      </c>
      <c r="B119" s="9" t="n">
        <f aca="false">IF(ISNUMBER(A119),
IF(AND(A119=INT(A119), MOD(A119, 10) = 0), 0,
IF(AND(A119=INT(A119), LEN(A119)=2), 1,
IF(AND(A119=INT(A119), LEN(A119)=3), 2,
LEN(A119) - FIND(".", A119) + 2)
)
),
"")</f>
        <v>3</v>
      </c>
      <c r="C119" s="37" t="s">
        <v>312</v>
      </c>
      <c r="D119" s="10" t="str">
        <f aca="false">REPT("   ", B119*2) &amp; C119</f>
        <v>                  Heat Exchangers</v>
      </c>
      <c r="E119" s="10"/>
      <c r="F119" s="10"/>
      <c r="G119" s="10"/>
      <c r="H119" s="10"/>
      <c r="I119" s="10"/>
      <c r="J119" s="16"/>
      <c r="K119" s="42"/>
      <c r="L119" s="23"/>
      <c r="M119" s="26"/>
      <c r="N119" s="23"/>
      <c r="O119" s="23"/>
      <c r="P119" s="23"/>
      <c r="Q119" s="20"/>
      <c r="R119" s="23"/>
      <c r="S119" s="26"/>
      <c r="T119" s="23"/>
      <c r="U119" s="23"/>
      <c r="V119" s="23"/>
      <c r="W119" s="12"/>
      <c r="X119" s="24"/>
      <c r="Y119" s="24"/>
      <c r="Z119" s="12"/>
      <c r="AA119" s="13"/>
      <c r="AB119" s="13"/>
      <c r="AC119" s="12"/>
      <c r="AD119" s="13"/>
      <c r="AE119" s="13"/>
      <c r="AF119" s="13"/>
      <c r="AG119" s="12"/>
    </row>
    <row r="120" customFormat="false" ht="53.25" hidden="false" customHeight="true" outlineLevel="0" collapsed="false">
      <c r="A120" s="30" t="n">
        <v>222.31</v>
      </c>
      <c r="B120" s="9" t="n">
        <f aca="false">IF(ISNUMBER(A120),
    IF(AND(A120=INT(A120), MOD(A120, 10) = 0), 0,
        IF(AND(A120=INT(A120), LEN(A120)=2), 1,
            IF(AND(A120=INT(A120), LEN(A120)=3), 2,
                LEN(A120) - FIND(".", A120) + 2)
        )
    ),
"")</f>
        <v>4</v>
      </c>
      <c r="C120" s="37" t="s">
        <v>313</v>
      </c>
      <c r="D120" s="10" t="str">
        <f aca="false">REPT("   ", B120*2) &amp; C120</f>
        <v>                        Primary Heat Exchanger</v>
      </c>
      <c r="E120" s="10" t="s">
        <v>35</v>
      </c>
      <c r="F120" s="10" t="s">
        <v>314</v>
      </c>
      <c r="G120" s="10" t="s">
        <v>315</v>
      </c>
      <c r="H120" s="10"/>
      <c r="I120" s="10"/>
      <c r="J120" s="16"/>
      <c r="K120" s="42" t="n">
        <v>50</v>
      </c>
      <c r="L120" s="23" t="s">
        <v>196</v>
      </c>
      <c r="M120" s="26" t="s">
        <v>316</v>
      </c>
      <c r="N120" s="23"/>
      <c r="O120" s="23" t="s">
        <v>198</v>
      </c>
      <c r="P120" s="23"/>
      <c r="Q120" s="20" t="n">
        <v>2004</v>
      </c>
      <c r="R120" s="23" t="s">
        <v>163</v>
      </c>
      <c r="S120" s="26" t="s">
        <v>317</v>
      </c>
      <c r="T120" s="44" t="s">
        <v>318</v>
      </c>
      <c r="U120" s="23"/>
      <c r="V120" s="23"/>
      <c r="W120" s="12" t="s">
        <v>167</v>
      </c>
      <c r="X120" s="24" t="n">
        <f aca="false">0.9*$J120</f>
        <v>0</v>
      </c>
      <c r="Y120" s="24" t="n">
        <f aca="false">1.5*J120</f>
        <v>0</v>
      </c>
      <c r="Z120" s="12" t="s">
        <v>44</v>
      </c>
      <c r="AA120" s="13" t="n">
        <f aca="false">0.9*K120</f>
        <v>45</v>
      </c>
      <c r="AB120" s="13" t="n">
        <f aca="false">1.3*K120</f>
        <v>65</v>
      </c>
      <c r="AC120" s="12" t="s">
        <v>44</v>
      </c>
      <c r="AD120" s="13" t="s">
        <v>45</v>
      </c>
      <c r="AE120" s="13" t="s">
        <v>46</v>
      </c>
      <c r="AF120" s="13" t="s">
        <v>47</v>
      </c>
      <c r="AG120" s="12" t="s">
        <v>48</v>
      </c>
    </row>
    <row r="121" customFormat="false" ht="53.25" hidden="false" customHeight="true" outlineLevel="0" collapsed="false">
      <c r="A121" s="30" t="n">
        <v>222.31</v>
      </c>
      <c r="B121" s="9" t="n">
        <f aca="false">IF(ISNUMBER(A121),
    IF(AND(A121=INT(A121), MOD(A121, 10) = 0), 0,
        IF(AND(A121=INT(A121), LEN(A121)=2), 1,
            IF(AND(A121=INT(A121), LEN(A121)=3), 2,
                LEN(A121) - FIND(".", A121) + 2)
        )
    ),
"")</f>
        <v>4</v>
      </c>
      <c r="C121" s="37" t="s">
        <v>313</v>
      </c>
      <c r="D121" s="10" t="str">
        <f aca="false">REPT("   ", B121*2) &amp; C121</f>
        <v>                        Primary Heat Exchanger</v>
      </c>
      <c r="E121" s="10" t="s">
        <v>35</v>
      </c>
      <c r="F121" s="10" t="s">
        <v>314</v>
      </c>
      <c r="G121" s="10" t="s">
        <v>319</v>
      </c>
      <c r="H121" s="10"/>
      <c r="I121" s="10"/>
      <c r="J121" s="16"/>
      <c r="K121" s="42" t="n">
        <v>120</v>
      </c>
      <c r="L121" s="23" t="s">
        <v>196</v>
      </c>
      <c r="M121" s="26" t="s">
        <v>316</v>
      </c>
      <c r="N121" s="23"/>
      <c r="O121" s="23" t="s">
        <v>198</v>
      </c>
      <c r="P121" s="23"/>
      <c r="Q121" s="20" t="n">
        <v>2013</v>
      </c>
      <c r="R121" s="23" t="s">
        <v>163</v>
      </c>
      <c r="S121" s="26" t="s">
        <v>317</v>
      </c>
      <c r="T121" s="44" t="s">
        <v>320</v>
      </c>
      <c r="U121" s="23"/>
      <c r="V121" s="23"/>
      <c r="W121" s="12" t="s">
        <v>167</v>
      </c>
      <c r="X121" s="24" t="n">
        <f aca="false">0.9*$J121</f>
        <v>0</v>
      </c>
      <c r="Y121" s="24" t="n">
        <f aca="false">1.5*J121</f>
        <v>0</v>
      </c>
      <c r="Z121" s="12" t="s">
        <v>44</v>
      </c>
      <c r="AA121" s="13" t="n">
        <f aca="false">0.9*K121</f>
        <v>108</v>
      </c>
      <c r="AB121" s="13" t="n">
        <f aca="false">1.3*K121</f>
        <v>156</v>
      </c>
      <c r="AC121" s="12" t="s">
        <v>44</v>
      </c>
      <c r="AD121" s="13" t="s">
        <v>45</v>
      </c>
      <c r="AE121" s="13" t="s">
        <v>46</v>
      </c>
      <c r="AF121" s="13" t="s">
        <v>47</v>
      </c>
      <c r="AG121" s="12" t="s">
        <v>48</v>
      </c>
    </row>
    <row r="122" customFormat="false" ht="53.25" hidden="false" customHeight="true" outlineLevel="0" collapsed="false">
      <c r="A122" s="30" t="n">
        <v>222.32</v>
      </c>
      <c r="B122" s="9" t="n">
        <f aca="false">IF(ISNUMBER(A122),
    IF(AND(A122=INT(A122), MOD(A122, 10) = 0), 0,
        IF(AND(A122=INT(A122), LEN(A122)=2), 1,
            IF(AND(A122=INT(A122), LEN(A122)=3), 2,
                LEN(A122) - FIND(".", A122) + 2)
        )
    ),
"")</f>
        <v>4</v>
      </c>
      <c r="C122" s="37" t="s">
        <v>321</v>
      </c>
      <c r="D122" s="10" t="str">
        <f aca="false">REPT("   ", B122*2) &amp; C122</f>
        <v>                        Secondary Heat Exchanger</v>
      </c>
      <c r="E122" s="10" t="s">
        <v>35</v>
      </c>
      <c r="F122" s="10" t="s">
        <v>314</v>
      </c>
      <c r="G122" s="10" t="s">
        <v>315</v>
      </c>
      <c r="H122" s="10"/>
      <c r="I122" s="10"/>
      <c r="J122" s="16"/>
      <c r="K122" s="42" t="n">
        <v>50</v>
      </c>
      <c r="L122" s="23" t="s">
        <v>196</v>
      </c>
      <c r="M122" s="26" t="s">
        <v>322</v>
      </c>
      <c r="N122" s="23"/>
      <c r="O122" s="23" t="s">
        <v>198</v>
      </c>
      <c r="P122" s="23"/>
      <c r="Q122" s="20" t="n">
        <v>2004</v>
      </c>
      <c r="R122" s="23" t="s">
        <v>163</v>
      </c>
      <c r="S122" s="26" t="s">
        <v>317</v>
      </c>
      <c r="T122" s="44" t="s">
        <v>318</v>
      </c>
      <c r="U122" s="23"/>
      <c r="V122" s="23"/>
      <c r="W122" s="12" t="s">
        <v>167</v>
      </c>
      <c r="X122" s="24" t="n">
        <f aca="false">0.9*$J122</f>
        <v>0</v>
      </c>
      <c r="Y122" s="24" t="n">
        <f aca="false">1.5*J122</f>
        <v>0</v>
      </c>
      <c r="Z122" s="12" t="s">
        <v>44</v>
      </c>
      <c r="AA122" s="13" t="n">
        <f aca="false">0.9*K122</f>
        <v>45</v>
      </c>
      <c r="AB122" s="13" t="n">
        <f aca="false">1.3*K122</f>
        <v>65</v>
      </c>
      <c r="AC122" s="12" t="s">
        <v>44</v>
      </c>
      <c r="AD122" s="13" t="s">
        <v>45</v>
      </c>
      <c r="AE122" s="13" t="s">
        <v>46</v>
      </c>
      <c r="AF122" s="13" t="s">
        <v>47</v>
      </c>
      <c r="AG122" s="12" t="s">
        <v>48</v>
      </c>
    </row>
    <row r="123" customFormat="false" ht="53.25" hidden="false" customHeight="true" outlineLevel="0" collapsed="false">
      <c r="A123" s="30" t="n">
        <v>222.32</v>
      </c>
      <c r="B123" s="9" t="n">
        <f aca="false">IF(ISNUMBER(A123),
    IF(AND(A123=INT(A123), MOD(A123, 10) = 0), 0,
        IF(AND(A123=INT(A123), LEN(A123)=2), 1,
            IF(AND(A123=INT(A123), LEN(A123)=3), 2,
                LEN(A123) - FIND(".", A123) + 2)
        )
    ),
"")</f>
        <v>4</v>
      </c>
      <c r="C123" s="37" t="s">
        <v>321</v>
      </c>
      <c r="D123" s="10" t="str">
        <f aca="false">REPT("   ", B123*2) &amp; C123</f>
        <v>                        Secondary Heat Exchanger</v>
      </c>
      <c r="E123" s="10" t="s">
        <v>35</v>
      </c>
      <c r="F123" s="10" t="s">
        <v>314</v>
      </c>
      <c r="G123" s="10" t="s">
        <v>319</v>
      </c>
      <c r="H123" s="10"/>
      <c r="I123" s="10"/>
      <c r="J123" s="16"/>
      <c r="K123" s="42" t="n">
        <v>120</v>
      </c>
      <c r="L123" s="23" t="s">
        <v>196</v>
      </c>
      <c r="M123" s="26" t="s">
        <v>322</v>
      </c>
      <c r="N123" s="23"/>
      <c r="O123" s="23" t="s">
        <v>198</v>
      </c>
      <c r="P123" s="23"/>
      <c r="Q123" s="20" t="n">
        <v>2013</v>
      </c>
      <c r="R123" s="23" t="s">
        <v>163</v>
      </c>
      <c r="S123" s="26" t="s">
        <v>317</v>
      </c>
      <c r="T123" s="44" t="s">
        <v>320</v>
      </c>
      <c r="U123" s="23"/>
      <c r="V123" s="23"/>
      <c r="W123" s="12" t="s">
        <v>167</v>
      </c>
      <c r="X123" s="24" t="n">
        <f aca="false">0.9*$J123</f>
        <v>0</v>
      </c>
      <c r="Y123" s="24" t="n">
        <f aca="false">1.5*J123</f>
        <v>0</v>
      </c>
      <c r="Z123" s="12" t="s">
        <v>44</v>
      </c>
      <c r="AA123" s="13" t="n">
        <f aca="false">0.9*K123</f>
        <v>108</v>
      </c>
      <c r="AB123" s="13" t="n">
        <f aca="false">1.3*K123</f>
        <v>156</v>
      </c>
      <c r="AC123" s="12" t="s">
        <v>44</v>
      </c>
      <c r="AD123" s="13" t="s">
        <v>45</v>
      </c>
      <c r="AE123" s="13" t="s">
        <v>46</v>
      </c>
      <c r="AF123" s="13" t="s">
        <v>47</v>
      </c>
      <c r="AG123" s="12" t="s">
        <v>48</v>
      </c>
    </row>
    <row r="124" customFormat="false" ht="53.25" hidden="false" customHeight="true" outlineLevel="0" collapsed="false">
      <c r="A124" s="30" t="n">
        <v>222.5</v>
      </c>
      <c r="B124" s="9" t="n">
        <f aca="false">IF(ISNUMBER(A124),
IF(AND(A124=INT(A124), MOD(A124, 10) = 0), 0,
IF(AND(A124=INT(A124), LEN(A124)=2), 1,
IF(AND(A124=INT(A124), LEN(A124)=3), 2,
LEN(A124) - FIND(".", A124) + 2)
)
),
"")</f>
        <v>3</v>
      </c>
      <c r="C124" s="37" t="s">
        <v>323</v>
      </c>
      <c r="D124" s="10" t="str">
        <f aca="false">REPT("   ", B124*2) &amp; C124</f>
        <v>                  Initial Coolant Inventory</v>
      </c>
      <c r="E124" s="10" t="s">
        <v>35</v>
      </c>
      <c r="F124" s="10" t="s">
        <v>324</v>
      </c>
      <c r="G124" s="10" t="s">
        <v>325</v>
      </c>
      <c r="H124" s="10"/>
      <c r="I124" s="10"/>
      <c r="J124" s="16"/>
      <c r="K124" s="42" t="n">
        <v>170</v>
      </c>
      <c r="L124" s="23" t="s">
        <v>196</v>
      </c>
      <c r="M124" s="26" t="s">
        <v>326</v>
      </c>
      <c r="N124" s="23"/>
      <c r="O124" s="23" t="s">
        <v>198</v>
      </c>
      <c r="P124" s="23"/>
      <c r="Q124" s="20" t="n">
        <v>2024</v>
      </c>
      <c r="R124" s="23" t="s">
        <v>229</v>
      </c>
      <c r="S124" s="26" t="s">
        <v>327</v>
      </c>
      <c r="T124" s="44" t="s">
        <v>327</v>
      </c>
      <c r="U124" s="58" t="s">
        <v>328</v>
      </c>
      <c r="V124" s="23" t="s">
        <v>329</v>
      </c>
      <c r="W124" s="12" t="s">
        <v>43</v>
      </c>
      <c r="X124" s="24" t="n">
        <f aca="false">0.9*$J124</f>
        <v>0</v>
      </c>
      <c r="Y124" s="24" t="n">
        <f aca="false">1.5*J124</f>
        <v>0</v>
      </c>
      <c r="Z124" s="12" t="s">
        <v>44</v>
      </c>
      <c r="AA124" s="13" t="n">
        <f aca="false">0.9*K124</f>
        <v>153</v>
      </c>
      <c r="AB124" s="13" t="n">
        <f aca="false">1.3*K124</f>
        <v>221</v>
      </c>
      <c r="AC124" s="12" t="s">
        <v>44</v>
      </c>
      <c r="AD124" s="13" t="s">
        <v>45</v>
      </c>
      <c r="AE124" s="13" t="s">
        <v>46</v>
      </c>
      <c r="AF124" s="13" t="s">
        <v>47</v>
      </c>
      <c r="AG124" s="12" t="s">
        <v>48</v>
      </c>
    </row>
    <row r="125" customFormat="false" ht="53.25" hidden="false" customHeight="true" outlineLevel="0" collapsed="false">
      <c r="A125" s="30" t="n">
        <v>222.5</v>
      </c>
      <c r="B125" s="9" t="n">
        <f aca="false">IF(ISNUMBER(A125),
    IF(AND(A125=INT(A125), MOD(A125, 10) = 0), 0,
        IF(AND(A125=INT(A125), LEN(A125)=2), 1,
            IF(AND(A125=INT(A125), LEN(A125)=3), 2,
                LEN(A125) - FIND(".", A125) + 2)
        )
    ),
"")</f>
        <v>3</v>
      </c>
      <c r="C125" s="37" t="s">
        <v>323</v>
      </c>
      <c r="D125" s="10" t="str">
        <f aca="false">REPT("   ", B125*2) &amp; C125</f>
        <v>                  Initial Coolant Inventory</v>
      </c>
      <c r="E125" s="10" t="s">
        <v>35</v>
      </c>
      <c r="F125" s="10" t="s">
        <v>324</v>
      </c>
      <c r="G125" s="10" t="s">
        <v>330</v>
      </c>
      <c r="H125" s="10"/>
      <c r="I125" s="10"/>
      <c r="J125" s="16"/>
      <c r="K125" s="42" t="n">
        <v>118</v>
      </c>
      <c r="L125" s="23" t="s">
        <v>196</v>
      </c>
      <c r="M125" s="26" t="s">
        <v>326</v>
      </c>
      <c r="N125" s="23"/>
      <c r="O125" s="23" t="s">
        <v>198</v>
      </c>
      <c r="P125" s="23"/>
      <c r="Q125" s="20" t="n">
        <v>2023</v>
      </c>
      <c r="R125" s="23" t="s">
        <v>229</v>
      </c>
      <c r="S125" s="26"/>
      <c r="T125" s="44"/>
      <c r="U125" s="58"/>
      <c r="V125" s="23"/>
      <c r="W125" s="12" t="s">
        <v>43</v>
      </c>
      <c r="X125" s="24"/>
      <c r="Y125" s="24"/>
      <c r="Z125" s="12"/>
      <c r="AA125" s="13" t="n">
        <f aca="false">0.9*K125</f>
        <v>106.2</v>
      </c>
      <c r="AB125" s="13" t="n">
        <f aca="false">1.3*K125</f>
        <v>153.4</v>
      </c>
      <c r="AC125" s="12" t="s">
        <v>44</v>
      </c>
      <c r="AD125" s="13" t="s">
        <v>45</v>
      </c>
      <c r="AE125" s="13" t="s">
        <v>46</v>
      </c>
      <c r="AF125" s="13" t="n">
        <v>0</v>
      </c>
      <c r="AG125" s="12" t="s">
        <v>48</v>
      </c>
    </row>
    <row r="126" customFormat="false" ht="53.25" hidden="false" customHeight="true" outlineLevel="0" collapsed="false">
      <c r="A126" s="30" t="n">
        <v>222.6</v>
      </c>
      <c r="B126" s="9" t="n">
        <f aca="false">IF(ISNUMBER(A126),
IF(AND(A126=INT(A126), MOD(A126, 10) = 0), 0,
IF(AND(A126=INT(A126), LEN(A126)=2), 1,
IF(AND(A126=INT(A126), LEN(A126)=3), 2,
LEN(A126) - FIND(".", A126) + 2)
)
),
"")</f>
        <v>3</v>
      </c>
      <c r="C126" s="37" t="s">
        <v>331</v>
      </c>
      <c r="D126" s="10" t="str">
        <f aca="false">REPT("   ", B126*2) &amp; C126</f>
        <v>                  Integrated Heat Transfer Vessel</v>
      </c>
      <c r="E126" s="10"/>
      <c r="F126" s="10" t="s">
        <v>128</v>
      </c>
      <c r="G126" s="10" t="s">
        <v>129</v>
      </c>
      <c r="H126" s="10"/>
      <c r="I126" s="10"/>
      <c r="J126" s="16"/>
      <c r="K126" s="42"/>
      <c r="L126" s="23"/>
      <c r="M126" s="26"/>
      <c r="N126" s="23"/>
      <c r="O126" s="23"/>
      <c r="P126" s="23"/>
      <c r="Q126" s="20"/>
      <c r="R126" s="23"/>
      <c r="S126" s="26"/>
      <c r="T126" s="44"/>
      <c r="U126" s="58"/>
      <c r="V126" s="23"/>
      <c r="W126" s="12"/>
      <c r="X126" s="24"/>
      <c r="Y126" s="24"/>
      <c r="Z126" s="12"/>
      <c r="AA126" s="13"/>
      <c r="AB126" s="13"/>
      <c r="AC126" s="12"/>
      <c r="AD126" s="13"/>
      <c r="AE126" s="13"/>
      <c r="AF126" s="13"/>
      <c r="AG126" s="12"/>
    </row>
    <row r="127" customFormat="false" ht="53.25" hidden="false" customHeight="true" outlineLevel="0" collapsed="false">
      <c r="A127" s="30" t="n">
        <v>222.61</v>
      </c>
      <c r="B127" s="9" t="n">
        <f aca="false">IF(ISNUMBER(A127),
IF(AND(A127=INT(A127), MOD(A127, 10) = 0), 0,
IF(AND(A127=INT(A127), LEN(A127)=2), 1,
IF(AND(A127=INT(A127), LEN(A127)=3), 2,
LEN(A127) - FIND(".", A127) + 2)
)
),
"")</f>
        <v>4</v>
      </c>
      <c r="C127" s="37" t="s">
        <v>331</v>
      </c>
      <c r="D127" s="10" t="str">
        <f aca="false">REPT("   ", B127*2) &amp; C127</f>
        <v>                        Integrated Heat Transfer Vessel</v>
      </c>
      <c r="E127" s="10" t="s">
        <v>35</v>
      </c>
      <c r="F127" s="10" t="s">
        <v>128</v>
      </c>
      <c r="G127" s="10" t="s">
        <v>129</v>
      </c>
      <c r="H127" s="10"/>
      <c r="I127" s="10"/>
      <c r="J127" s="16"/>
      <c r="K127" s="42" t="n">
        <v>50</v>
      </c>
      <c r="L127" s="23" t="s">
        <v>196</v>
      </c>
      <c r="M127" s="26" t="s">
        <v>332</v>
      </c>
      <c r="N127" s="23"/>
      <c r="O127" s="23" t="s">
        <v>198</v>
      </c>
      <c r="P127" s="23"/>
      <c r="Q127" s="20" t="n">
        <v>2004</v>
      </c>
      <c r="R127" s="23" t="s">
        <v>96</v>
      </c>
      <c r="S127" s="26" t="s">
        <v>317</v>
      </c>
      <c r="T127" s="44" t="s">
        <v>318</v>
      </c>
      <c r="U127" s="58"/>
      <c r="V127" s="44" t="s">
        <v>333</v>
      </c>
      <c r="W127" s="12" t="s">
        <v>167</v>
      </c>
      <c r="X127" s="24" t="n">
        <f aca="false">0.9*$J127</f>
        <v>0</v>
      </c>
      <c r="Y127" s="24" t="n">
        <f aca="false">1.5*J127</f>
        <v>0</v>
      </c>
      <c r="Z127" s="12" t="s">
        <v>44</v>
      </c>
      <c r="AA127" s="13" t="n">
        <f aca="false">0.9*K127</f>
        <v>45</v>
      </c>
      <c r="AB127" s="13" t="n">
        <f aca="false">1.3*K127</f>
        <v>65</v>
      </c>
      <c r="AC127" s="12" t="s">
        <v>44</v>
      </c>
      <c r="AD127" s="13" t="s">
        <v>45</v>
      </c>
      <c r="AE127" s="13" t="s">
        <v>46</v>
      </c>
      <c r="AF127" s="13" t="s">
        <v>47</v>
      </c>
      <c r="AG127" s="12" t="s">
        <v>48</v>
      </c>
    </row>
    <row r="128" customFormat="false" ht="53.25" hidden="false" customHeight="true" outlineLevel="0" collapsed="false">
      <c r="A128" s="30" t="n">
        <v>222.62</v>
      </c>
      <c r="B128" s="9" t="n">
        <f aca="false">IF(ISNUMBER(A128),
IF(AND(A128=INT(A128), MOD(A128, 10) = 0), 0,
IF(AND(A128=INT(A128), LEN(A128)=2), 1,
IF(AND(A128=INT(A128), LEN(A128)=3), 2,
LEN(A128) - FIND(".", A128) + 2)
)
),
"")</f>
        <v>4</v>
      </c>
      <c r="C128" s="37" t="s">
        <v>334</v>
      </c>
      <c r="D128" s="10" t="str">
        <f aca="false">REPT("   ", B128*2) &amp; C128</f>
        <v>                        Integrated Heat Transfer System Support</v>
      </c>
      <c r="E128" s="10" t="s">
        <v>35</v>
      </c>
      <c r="F128" s="10" t="s">
        <v>128</v>
      </c>
      <c r="G128" s="10" t="s">
        <v>129</v>
      </c>
      <c r="H128" s="10"/>
      <c r="I128" s="10"/>
      <c r="J128" s="16"/>
      <c r="K128" s="42" t="n">
        <f aca="false">3171011/N128</f>
        <v>8.19382687338501</v>
      </c>
      <c r="L128" s="23" t="s">
        <v>196</v>
      </c>
      <c r="M128" s="26" t="s">
        <v>332</v>
      </c>
      <c r="N128" s="23" t="n">
        <v>387000</v>
      </c>
      <c r="O128" s="23" t="s">
        <v>198</v>
      </c>
      <c r="P128" s="23" t="n">
        <v>0.85</v>
      </c>
      <c r="Q128" s="20" t="n">
        <v>2018</v>
      </c>
      <c r="R128" s="23" t="s">
        <v>96</v>
      </c>
      <c r="S128" s="26" t="s">
        <v>199</v>
      </c>
      <c r="T128" s="44" t="s">
        <v>318</v>
      </c>
      <c r="U128" s="58"/>
      <c r="V128" s="52"/>
      <c r="W128" s="12" t="s">
        <v>167</v>
      </c>
      <c r="X128" s="24" t="n">
        <f aca="false">0.9*$J128</f>
        <v>0</v>
      </c>
      <c r="Y128" s="24" t="n">
        <f aca="false">1.5*J128</f>
        <v>0</v>
      </c>
      <c r="Z128" s="12" t="s">
        <v>44</v>
      </c>
      <c r="AA128" s="13" t="n">
        <f aca="false">0.9*K128</f>
        <v>7.37444418604651</v>
      </c>
      <c r="AB128" s="13" t="n">
        <f aca="false">1.3*K128</f>
        <v>10.6519749354005</v>
      </c>
      <c r="AC128" s="12" t="s">
        <v>44</v>
      </c>
      <c r="AD128" s="13" t="s">
        <v>45</v>
      </c>
      <c r="AE128" s="13" t="s">
        <v>46</v>
      </c>
      <c r="AF128" s="13" t="s">
        <v>47</v>
      </c>
      <c r="AG128" s="12" t="s">
        <v>48</v>
      </c>
    </row>
    <row r="129" customFormat="false" ht="26.25" hidden="false" customHeight="true" outlineLevel="0" collapsed="false">
      <c r="A129" s="30" t="n">
        <v>223</v>
      </c>
      <c r="B129" s="9" t="n">
        <f aca="false">IF(ISNUMBER(A129),
IF(AND(A129=INT(A129), MOD(A129, 10) = 0), 0,
IF(AND(A129=INT(A129), LEN(A129)=2), 1,
IF(AND(A129=INT(A129), LEN(A129)=3), 2,
LEN(A129) - FIND(".", A129) + 2)
)
),
"")</f>
        <v>2</v>
      </c>
      <c r="C129" s="37" t="s">
        <v>335</v>
      </c>
      <c r="D129" s="10" t="str">
        <f aca="false">REPT("   ", B129*2) &amp; C129</f>
        <v>            Safety Systems</v>
      </c>
      <c r="E129" s="10"/>
      <c r="F129" s="10"/>
      <c r="G129" s="10"/>
      <c r="H129" s="10"/>
      <c r="I129" s="10"/>
      <c r="J129" s="16"/>
      <c r="K129" s="42"/>
      <c r="L129" s="23"/>
      <c r="M129" s="26"/>
      <c r="N129" s="23"/>
      <c r="O129" s="23"/>
      <c r="P129" s="23"/>
      <c r="Q129" s="20"/>
      <c r="R129" s="23"/>
      <c r="S129" s="26"/>
      <c r="T129" s="23"/>
      <c r="U129" s="23"/>
      <c r="V129" s="23"/>
      <c r="W129" s="12"/>
      <c r="X129" s="24"/>
      <c r="Y129" s="24"/>
      <c r="Z129" s="12"/>
      <c r="AA129" s="13"/>
      <c r="AB129" s="13"/>
      <c r="AC129" s="12"/>
      <c r="AD129" s="13"/>
      <c r="AE129" s="13"/>
      <c r="AF129" s="13"/>
      <c r="AG129" s="12"/>
    </row>
    <row r="130" customFormat="false" ht="26.25" hidden="false" customHeight="true" outlineLevel="0" collapsed="false">
      <c r="A130" s="30" t="n">
        <v>223.2</v>
      </c>
      <c r="B130" s="9" t="n">
        <f aca="false">IF(ISNUMBER(A130),
IF(AND(A130=INT(A130), MOD(A130, 10) = 0), 0,
IF(AND(A130=INT(A130), LEN(A130)=2), 1,
IF(AND(A130=INT(A130), LEN(A130)=3), 2,
LEN(A130) - FIND(".", A130) + 2)
)
),
"")</f>
        <v>3</v>
      </c>
      <c r="C130" s="37" t="s">
        <v>336</v>
      </c>
      <c r="D130" s="10" t="str">
        <f aca="false">REPT("   ", B130*2) &amp; C130</f>
        <v>                  Reactor Cavity Cooling System (Rvacs)</v>
      </c>
      <c r="E130" s="10"/>
      <c r="F130" s="10"/>
      <c r="G130" s="10"/>
      <c r="H130" s="10"/>
      <c r="I130" s="10"/>
      <c r="J130" s="16"/>
      <c r="K130" s="42"/>
      <c r="L130" s="23"/>
      <c r="M130" s="26"/>
      <c r="N130" s="23"/>
      <c r="O130" s="23"/>
      <c r="P130" s="23"/>
      <c r="Q130" s="20"/>
      <c r="R130" s="23"/>
      <c r="S130" s="26"/>
      <c r="T130" s="23"/>
      <c r="U130" s="23"/>
      <c r="V130" s="23"/>
      <c r="W130" s="12"/>
      <c r="X130" s="24"/>
      <c r="Y130" s="24"/>
      <c r="Z130" s="12"/>
      <c r="AA130" s="13"/>
      <c r="AB130" s="13"/>
      <c r="AC130" s="12"/>
      <c r="AD130" s="13"/>
      <c r="AE130" s="13"/>
      <c r="AF130" s="13"/>
      <c r="AG130" s="12"/>
    </row>
    <row r="131" customFormat="false" ht="53.25" hidden="false" customHeight="true" outlineLevel="0" collapsed="false">
      <c r="A131" s="30" t="n">
        <v>223.21</v>
      </c>
      <c r="B131" s="9" t="n">
        <f aca="false">IF(ISNUMBER(A131),
IF(AND(A131=INT(A131), MOD(A131, 10) = 0), 0,
IF(AND(A131=INT(A131), LEN(A131)=2), 1,
IF(AND(A131=INT(A131), LEN(A131)=3), 2,
LEN(A131) - FIND(".", A131) + 2)
)
),
"")</f>
        <v>4</v>
      </c>
      <c r="C131" s="37" t="s">
        <v>337</v>
      </c>
      <c r="D131" s="10" t="str">
        <f aca="false">REPT("   ", B131*2) &amp; C131</f>
        <v>                        Rvacs (Cooling Vessel)</v>
      </c>
      <c r="E131" s="10" t="s">
        <v>35</v>
      </c>
      <c r="F131" s="10"/>
      <c r="G131" s="18"/>
      <c r="H131" s="18"/>
      <c r="I131" s="18"/>
      <c r="J131" s="20"/>
      <c r="K131" s="42" t="n">
        <f aca="false">K72</f>
        <v>757.207687460618</v>
      </c>
      <c r="L131" s="23" t="s">
        <v>196</v>
      </c>
      <c r="M131" s="26" t="s">
        <v>338</v>
      </c>
      <c r="N131" s="23"/>
      <c r="O131" s="23"/>
      <c r="P131" s="23"/>
      <c r="Q131" s="20" t="n">
        <v>2017</v>
      </c>
      <c r="R131" s="23" t="s">
        <v>96</v>
      </c>
      <c r="S131" s="26" t="s">
        <v>206</v>
      </c>
      <c r="T131" s="44" t="s">
        <v>207</v>
      </c>
      <c r="U131" s="23"/>
      <c r="V131" s="23"/>
      <c r="W131" s="12" t="s">
        <v>167</v>
      </c>
      <c r="X131" s="24" t="n">
        <f aca="false">0.9*$J131</f>
        <v>0</v>
      </c>
      <c r="Y131" s="24" t="n">
        <f aca="false">1.5*J131</f>
        <v>0</v>
      </c>
      <c r="Z131" s="12" t="s">
        <v>44</v>
      </c>
      <c r="AA131" s="13" t="n">
        <f aca="false">0.9*K131</f>
        <v>681.486918714556</v>
      </c>
      <c r="AB131" s="13" t="n">
        <f aca="false">1.3*K131</f>
        <v>984.369993698803</v>
      </c>
      <c r="AC131" s="12" t="s">
        <v>44</v>
      </c>
      <c r="AD131" s="13" t="s">
        <v>45</v>
      </c>
      <c r="AE131" s="13" t="s">
        <v>46</v>
      </c>
      <c r="AF131" s="13" t="s">
        <v>47</v>
      </c>
      <c r="AG131" s="12" t="s">
        <v>48</v>
      </c>
    </row>
    <row r="132" customFormat="false" ht="53.25" hidden="false" customHeight="true" outlineLevel="0" collapsed="false">
      <c r="A132" s="30" t="n">
        <v>223.22</v>
      </c>
      <c r="B132" s="9" t="n">
        <f aca="false">IF(ISNUMBER(A132),
IF(AND(A132=INT(A132), MOD(A132, 10) = 0), 0,
IF(AND(A132=INT(A132), LEN(A132)=2), 1,
IF(AND(A132=INT(A132), LEN(A132)=3), 2,
LEN(A132) - FIND(".", A132) + 2)
)
),
"")</f>
        <v>4</v>
      </c>
      <c r="C132" s="37" t="s">
        <v>339</v>
      </c>
      <c r="D132" s="10" t="str">
        <f aca="false">REPT("   ", B132*2) &amp; C132</f>
        <v>                        Rvacs (Intake Vessel)</v>
      </c>
      <c r="E132" s="10" t="s">
        <v>35</v>
      </c>
      <c r="F132" s="10"/>
      <c r="G132" s="18"/>
      <c r="H132" s="18"/>
      <c r="I132" s="18"/>
      <c r="J132" s="20"/>
      <c r="K132" s="42" t="n">
        <f aca="false">K131</f>
        <v>757.207687460618</v>
      </c>
      <c r="L132" s="23" t="s">
        <v>196</v>
      </c>
      <c r="M132" s="26" t="s">
        <v>340</v>
      </c>
      <c r="N132" s="23"/>
      <c r="O132" s="23"/>
      <c r="P132" s="23"/>
      <c r="Q132" s="20" t="n">
        <v>2017</v>
      </c>
      <c r="R132" s="23" t="s">
        <v>96</v>
      </c>
      <c r="S132" s="26" t="s">
        <v>206</v>
      </c>
      <c r="T132" s="44" t="s">
        <v>207</v>
      </c>
      <c r="U132" s="23"/>
      <c r="V132" s="23"/>
      <c r="W132" s="12" t="s">
        <v>167</v>
      </c>
      <c r="X132" s="24" t="n">
        <f aca="false">0.9*$J132</f>
        <v>0</v>
      </c>
      <c r="Y132" s="24" t="n">
        <f aca="false">1.5*J132</f>
        <v>0</v>
      </c>
      <c r="Z132" s="12" t="s">
        <v>44</v>
      </c>
      <c r="AA132" s="13" t="n">
        <f aca="false">0.9*K132</f>
        <v>681.486918714556</v>
      </c>
      <c r="AB132" s="13" t="n">
        <f aca="false">1.3*K132</f>
        <v>984.369993698803</v>
      </c>
      <c r="AC132" s="12" t="s">
        <v>44</v>
      </c>
      <c r="AD132" s="13" t="s">
        <v>45</v>
      </c>
      <c r="AE132" s="13" t="s">
        <v>46</v>
      </c>
      <c r="AF132" s="13" t="s">
        <v>47</v>
      </c>
      <c r="AG132" s="12" t="s">
        <v>48</v>
      </c>
    </row>
    <row r="133" customFormat="false" ht="53.25" hidden="false" customHeight="true" outlineLevel="0" collapsed="false">
      <c r="A133" s="30" t="n">
        <v>226</v>
      </c>
      <c r="B133" s="9" t="n">
        <f aca="false">IF(ISNUMBER(A133),
IF(AND(A133=INT(A133), MOD(A133, 10) = 0), 0,
IF(AND(A133=INT(A133), LEN(A133)=2), 1,
IF(AND(A133=INT(A133), LEN(A133)=3), 2,
LEN(A133) - FIND(".", A133) + 2)
)
),
"")</f>
        <v>2</v>
      </c>
      <c r="C133" s="37" t="s">
        <v>341</v>
      </c>
      <c r="D133" s="10" t="str">
        <f aca="false">REPT("   ", B133*2) &amp; C133</f>
        <v>            Other Reactor Plant Equipment</v>
      </c>
      <c r="E133" s="10" t="s">
        <v>35</v>
      </c>
      <c r="F133" s="10" t="s">
        <v>128</v>
      </c>
      <c r="G133" s="18" t="s">
        <v>307</v>
      </c>
      <c r="H133" s="18"/>
      <c r="I133" s="18"/>
      <c r="J133" s="42" t="n">
        <f aca="false">MARVEL_Cost!C42</f>
        <v>456297</v>
      </c>
      <c r="K133" s="42"/>
      <c r="L133" s="23"/>
      <c r="M133" s="26"/>
      <c r="N133" s="23"/>
      <c r="O133" s="23"/>
      <c r="P133" s="23"/>
      <c r="Q133" s="20" t="n">
        <v>2024</v>
      </c>
      <c r="R133" s="23" t="s">
        <v>163</v>
      </c>
      <c r="S133" s="26" t="s">
        <v>342</v>
      </c>
      <c r="T133" s="23"/>
      <c r="U133" s="23"/>
      <c r="V133" s="23"/>
      <c r="W133" s="12" t="s">
        <v>167</v>
      </c>
      <c r="X133" s="24" t="n">
        <f aca="false">0.9*$J133</f>
        <v>410667.3</v>
      </c>
      <c r="Y133" s="24" t="n">
        <f aca="false">1.5*J133</f>
        <v>684445.5</v>
      </c>
      <c r="Z133" s="12" t="s">
        <v>44</v>
      </c>
      <c r="AA133" s="13" t="n">
        <f aca="false">0.9*K133</f>
        <v>0</v>
      </c>
      <c r="AB133" s="13" t="n">
        <f aca="false">1.3*K133</f>
        <v>0</v>
      </c>
      <c r="AC133" s="12" t="s">
        <v>44</v>
      </c>
      <c r="AD133" s="13" t="s">
        <v>45</v>
      </c>
      <c r="AE133" s="13" t="s">
        <v>46</v>
      </c>
      <c r="AF133" s="13" t="s">
        <v>47</v>
      </c>
      <c r="AG133" s="12" t="s">
        <v>48</v>
      </c>
    </row>
    <row r="134" customFormat="false" ht="53.25" hidden="false" customHeight="true" outlineLevel="0" collapsed="false">
      <c r="A134" s="30" t="n">
        <v>226</v>
      </c>
      <c r="B134" s="9" t="n">
        <v>2</v>
      </c>
      <c r="C134" s="37" t="s">
        <v>341</v>
      </c>
      <c r="D134" s="10" t="str">
        <f aca="false">REPT("   ", B134*2) &amp; C134</f>
        <v>            Other Reactor Plant Equipment</v>
      </c>
      <c r="E134" s="10" t="s">
        <v>35</v>
      </c>
      <c r="F134" s="10" t="s">
        <v>128</v>
      </c>
      <c r="G134" s="18" t="s">
        <v>129</v>
      </c>
      <c r="H134" s="18"/>
      <c r="I134" s="18"/>
      <c r="J134" s="42"/>
      <c r="K134" s="42" t="n">
        <f aca="false">8844770/N134*8.15527886031535</f>
        <v>118207.774053771</v>
      </c>
      <c r="L134" s="23" t="s">
        <v>301</v>
      </c>
      <c r="M134" s="26" t="s">
        <v>343</v>
      </c>
      <c r="N134" s="23" t="n">
        <v>610.21</v>
      </c>
      <c r="O134" s="23" t="s">
        <v>344</v>
      </c>
      <c r="P134" s="23" t="n">
        <v>0.6</v>
      </c>
      <c r="Q134" s="20" t="n">
        <v>2023</v>
      </c>
      <c r="R134" s="23" t="s">
        <v>96</v>
      </c>
      <c r="S134" s="26" t="s">
        <v>345</v>
      </c>
      <c r="T134" s="23" t="s">
        <v>346</v>
      </c>
      <c r="U134" s="59" t="s">
        <v>347</v>
      </c>
      <c r="V134" s="23" t="s">
        <v>348</v>
      </c>
      <c r="W134" s="12" t="s">
        <v>167</v>
      </c>
      <c r="X134" s="24" t="n">
        <f aca="false">0.9*$J134</f>
        <v>0</v>
      </c>
      <c r="Y134" s="24" t="n">
        <f aca="false">1.5*J134</f>
        <v>0</v>
      </c>
      <c r="Z134" s="12" t="s">
        <v>44</v>
      </c>
      <c r="AA134" s="13" t="n">
        <f aca="false">0.9*K134</f>
        <v>106386.996648394</v>
      </c>
      <c r="AB134" s="13" t="n">
        <f aca="false">1.3*K134</f>
        <v>153670.106269902</v>
      </c>
      <c r="AC134" s="12" t="s">
        <v>44</v>
      </c>
      <c r="AD134" s="13" t="s">
        <v>45</v>
      </c>
      <c r="AE134" s="13" t="s">
        <v>46</v>
      </c>
      <c r="AF134" s="13" t="s">
        <v>47</v>
      </c>
      <c r="AG134" s="12" t="s">
        <v>48</v>
      </c>
    </row>
    <row r="135" customFormat="false" ht="75.75" hidden="false" customHeight="true" outlineLevel="0" collapsed="false">
      <c r="A135" s="30" t="n">
        <v>227</v>
      </c>
      <c r="B135" s="9" t="n">
        <f aca="false">IF(ISNUMBER(A135),
    IF(AND(A135=INT(A135), MOD(A135, 10) = 0), 0,
        IF(AND(A135=INT(A135), LEN(A135)=2), 1,
            IF(AND(A135=INT(A135), LEN(A135)=3), 2,
                LEN(A135) - FIND(".", A135) + 2)
        )
    ),
"")</f>
        <v>2</v>
      </c>
      <c r="C135" s="37" t="s">
        <v>349</v>
      </c>
      <c r="D135" s="10" t="str">
        <f aca="false">REPT("   ", B135*2) &amp; C135</f>
        <v>            Reactor Instrumentation and Control (I&amp;C)</v>
      </c>
      <c r="E135" s="10" t="s">
        <v>35</v>
      </c>
      <c r="F135" s="10"/>
      <c r="G135" s="18"/>
      <c r="H135" s="18"/>
      <c r="I135" s="18"/>
      <c r="J135" s="42" t="n">
        <v>8500000</v>
      </c>
      <c r="K135" s="42"/>
      <c r="L135" s="23"/>
      <c r="M135" s="26"/>
      <c r="N135" s="23"/>
      <c r="O135" s="23"/>
      <c r="P135" s="23"/>
      <c r="Q135" s="20" t="n">
        <v>2023</v>
      </c>
      <c r="R135" s="23" t="s">
        <v>73</v>
      </c>
      <c r="S135" s="26" t="s">
        <v>350</v>
      </c>
      <c r="T135" s="26" t="s">
        <v>351</v>
      </c>
      <c r="U135" s="59" t="s">
        <v>352</v>
      </c>
      <c r="V135" s="23" t="s">
        <v>353</v>
      </c>
      <c r="W135" s="1" t="s">
        <v>354</v>
      </c>
      <c r="X135" s="24" t="n">
        <f aca="false">0.9*$J135</f>
        <v>7650000</v>
      </c>
      <c r="Y135" s="24" t="n">
        <f aca="false">1.5*J135</f>
        <v>12750000</v>
      </c>
      <c r="Z135" s="12" t="s">
        <v>44</v>
      </c>
      <c r="AA135" s="13" t="n">
        <f aca="false">0.9*K135</f>
        <v>0</v>
      </c>
      <c r="AB135" s="13" t="n">
        <f aca="false">1.3*K135</f>
        <v>0</v>
      </c>
      <c r="AC135" s="12" t="s">
        <v>44</v>
      </c>
      <c r="AD135" s="13" t="s">
        <v>45</v>
      </c>
      <c r="AE135" s="13" t="s">
        <v>46</v>
      </c>
      <c r="AF135" s="13" t="s">
        <v>47</v>
      </c>
      <c r="AG135" s="12" t="s">
        <v>48</v>
      </c>
    </row>
    <row r="136" customFormat="false" ht="26.25" hidden="false" customHeight="true" outlineLevel="0" collapsed="false">
      <c r="A136" s="30" t="n">
        <v>228</v>
      </c>
      <c r="B136" s="9" t="n">
        <f aca="false">IF(ISNUMBER(A136),
IF(AND(A136=INT(A136), MOD(A136, 10) = 0), 0,
IF(AND(A136=INT(A136), LEN(A136)=2), 1,
IF(AND(A136=INT(A136), LEN(A136)=3), 2,
LEN(A136) - FIND(".", A136) + 2)
)
),
"")</f>
        <v>2</v>
      </c>
      <c r="C136" s="37" t="s">
        <v>355</v>
      </c>
      <c r="D136" s="10" t="str">
        <f aca="false">REPT("   ", B136*2) &amp; C136</f>
        <v>            Reactor Plant Miscellaneous Items</v>
      </c>
      <c r="E136" s="10" t="s">
        <v>35</v>
      </c>
      <c r="F136" s="10"/>
      <c r="G136" s="18"/>
      <c r="H136" s="18"/>
      <c r="I136" s="18"/>
      <c r="J136" s="42" t="n">
        <f aca="false">MARVEL_Cost!C44</f>
        <v>30960</v>
      </c>
      <c r="K136" s="42"/>
      <c r="L136" s="23"/>
      <c r="M136" s="26"/>
      <c r="N136" s="23"/>
      <c r="O136" s="23"/>
      <c r="P136" s="23"/>
      <c r="Q136" s="20" t="n">
        <v>2024</v>
      </c>
      <c r="R136" s="23" t="s">
        <v>96</v>
      </c>
      <c r="S136" s="26" t="s">
        <v>342</v>
      </c>
      <c r="T136" s="23"/>
      <c r="U136" s="23"/>
      <c r="V136" s="23"/>
      <c r="W136" s="12" t="s">
        <v>167</v>
      </c>
      <c r="X136" s="24" t="n">
        <f aca="false">0.9*$J136</f>
        <v>27864</v>
      </c>
      <c r="Y136" s="24" t="n">
        <f aca="false">1.5*J136</f>
        <v>46440</v>
      </c>
      <c r="Z136" s="12" t="s">
        <v>44</v>
      </c>
      <c r="AA136" s="13" t="n">
        <f aca="false">0.9*K136</f>
        <v>0</v>
      </c>
      <c r="AB136" s="13" t="n">
        <f aca="false">1.3*K136</f>
        <v>0</v>
      </c>
      <c r="AC136" s="12" t="s">
        <v>44</v>
      </c>
      <c r="AD136" s="13" t="s">
        <v>45</v>
      </c>
      <c r="AE136" s="13" t="s">
        <v>46</v>
      </c>
      <c r="AF136" s="13" t="s">
        <v>47</v>
      </c>
      <c r="AG136" s="12" t="s">
        <v>48</v>
      </c>
    </row>
    <row r="137" customFormat="false" ht="26.25" hidden="false" customHeight="true" outlineLevel="0" collapsed="false">
      <c r="A137" s="6" t="n">
        <v>23</v>
      </c>
      <c r="B137" s="9" t="n">
        <f aca="false">IF(ISNUMBER(A137),
IF(AND(A137=INT(A137), MOD(A137, 10) = 0), 0,
IF(AND(A137=INT(A137), LEN(A137)=2), 1,
IF(AND(A137=INT(A137), LEN(A137)=3), 2,
LEN(A137) - FIND(".", A137) + 2)
)
),
"")</f>
        <v>1</v>
      </c>
      <c r="C137" s="37" t="s">
        <v>356</v>
      </c>
      <c r="D137" s="10" t="str">
        <f aca="false">REPT("   ", B137*2) &amp; C137</f>
        <v>      Energy Conversion System </v>
      </c>
      <c r="E137" s="10"/>
      <c r="F137" s="10"/>
      <c r="G137" s="18"/>
      <c r="H137" s="18"/>
      <c r="I137" s="18"/>
      <c r="J137" s="20"/>
      <c r="K137" s="42"/>
      <c r="L137" s="23"/>
      <c r="M137" s="26"/>
      <c r="N137" s="23"/>
      <c r="O137" s="23"/>
      <c r="P137" s="23"/>
      <c r="Q137" s="20"/>
      <c r="R137" s="23"/>
      <c r="S137" s="26"/>
      <c r="T137" s="23"/>
      <c r="U137" s="23"/>
      <c r="V137" s="23"/>
      <c r="W137" s="12"/>
      <c r="X137" s="24"/>
      <c r="Y137" s="24"/>
      <c r="Z137" s="12"/>
      <c r="AA137" s="13"/>
      <c r="AB137" s="13"/>
      <c r="AC137" s="12"/>
      <c r="AD137" s="13"/>
      <c r="AE137" s="13"/>
      <c r="AF137" s="13"/>
      <c r="AG137" s="12"/>
    </row>
    <row r="138" customFormat="false" ht="26.25" hidden="false" customHeight="true" outlineLevel="0" collapsed="false">
      <c r="A138" s="30" t="n">
        <v>232</v>
      </c>
      <c r="B138" s="9" t="n">
        <f aca="false">IF(ISNUMBER(A138),
IF(AND(A138=INT(A138), MOD(A138, 10) = 0), 0,
IF(AND(A138=INT(A138), LEN(A138)=2), 1,
IF(AND(A138=INT(A138), LEN(A138)=3), 2,
LEN(A138) - FIND(".", A138) + 2)
)
),
"")</f>
        <v>2</v>
      </c>
      <c r="C138" s="37" t="s">
        <v>357</v>
      </c>
      <c r="D138" s="10" t="str">
        <f aca="false">REPT("   ", B138*2) &amp; C138</f>
        <v>            Energy Applications</v>
      </c>
      <c r="E138" s="10"/>
      <c r="F138" s="10"/>
      <c r="G138" s="18"/>
      <c r="H138" s="18"/>
      <c r="I138" s="18"/>
      <c r="J138" s="20"/>
      <c r="K138" s="42"/>
      <c r="L138" s="23"/>
      <c r="M138" s="26"/>
      <c r="N138" s="23"/>
      <c r="O138" s="23"/>
      <c r="P138" s="23"/>
      <c r="Q138" s="20"/>
      <c r="R138" s="23"/>
      <c r="S138" s="26"/>
      <c r="T138" s="23"/>
      <c r="U138" s="23"/>
      <c r="V138" s="23"/>
      <c r="W138" s="12"/>
      <c r="X138" s="24"/>
      <c r="Y138" s="24"/>
      <c r="Z138" s="12"/>
      <c r="AA138" s="13"/>
      <c r="AB138" s="13"/>
      <c r="AC138" s="12"/>
      <c r="AD138" s="13"/>
      <c r="AE138" s="13"/>
      <c r="AF138" s="13"/>
      <c r="AG138" s="12"/>
    </row>
    <row r="139" customFormat="false" ht="26.25" hidden="false" customHeight="true" outlineLevel="0" collapsed="false">
      <c r="A139" s="30" t="n">
        <v>232.1</v>
      </c>
      <c r="B139" s="9" t="n">
        <f aca="false">IF(ISNUMBER(A139),
IF(AND(A139=INT(A139), MOD(A139, 10) = 0), 0,
IF(AND(A139=INT(A139), LEN(A139)=2), 1,
IF(AND(A139=INT(A139), LEN(A139)=3), 2,
LEN(A139) - FIND(".", A139) + 2)
)
),
"")</f>
        <v>3</v>
      </c>
      <c r="C139" s="37" t="s">
        <v>358</v>
      </c>
      <c r="D139" s="10" t="str">
        <f aca="false">REPT("   ", B139*2) &amp; C139</f>
        <v>                  Electricity Generation Systems</v>
      </c>
      <c r="E139" s="10" t="s">
        <v>35</v>
      </c>
      <c r="F139" s="10"/>
      <c r="G139" s="18"/>
      <c r="H139" s="18"/>
      <c r="I139" s="18"/>
      <c r="J139" s="20"/>
      <c r="K139" s="16" t="n">
        <v>12504</v>
      </c>
      <c r="L139" s="23" t="s">
        <v>359</v>
      </c>
      <c r="M139" s="18" t="s">
        <v>360</v>
      </c>
      <c r="N139" s="23" t="n">
        <v>1</v>
      </c>
      <c r="O139" s="23"/>
      <c r="P139" s="18" t="n">
        <v>0.777</v>
      </c>
      <c r="Q139" s="20" t="n">
        <v>2023</v>
      </c>
      <c r="R139" s="23" t="s">
        <v>96</v>
      </c>
      <c r="S139" s="60" t="s">
        <v>361</v>
      </c>
      <c r="T139" s="60" t="s">
        <v>361</v>
      </c>
      <c r="U139" s="59" t="s">
        <v>362</v>
      </c>
      <c r="V139" s="23"/>
      <c r="W139" s="12" t="s">
        <v>354</v>
      </c>
      <c r="X139" s="24" t="n">
        <f aca="false">0.9*$J139</f>
        <v>0</v>
      </c>
      <c r="Y139" s="24" t="n">
        <f aca="false">1.5*J139</f>
        <v>0</v>
      </c>
      <c r="Z139" s="12" t="s">
        <v>44</v>
      </c>
      <c r="AA139" s="13" t="n">
        <f aca="false">0.9*K139</f>
        <v>11253.6</v>
      </c>
      <c r="AB139" s="13" t="n">
        <f aca="false">1.3*K139</f>
        <v>16255.2</v>
      </c>
      <c r="AC139" s="12" t="s">
        <v>44</v>
      </c>
      <c r="AD139" s="13" t="s">
        <v>45</v>
      </c>
      <c r="AE139" s="13" t="s">
        <v>46</v>
      </c>
      <c r="AF139" s="13" t="s">
        <v>47</v>
      </c>
      <c r="AG139" s="12" t="s">
        <v>48</v>
      </c>
    </row>
    <row r="140" customFormat="false" ht="75.75" hidden="false" customHeight="true" outlineLevel="0" collapsed="false">
      <c r="A140" s="30" t="n">
        <v>236</v>
      </c>
      <c r="B140" s="9" t="n">
        <f aca="false">IF(ISNUMBER(A140),
IF(AND(A140=INT(A140), MOD(A140, 10) = 0), 0,
IF(AND(A140=INT(A140), LEN(A140)=2), 1,
IF(AND(A140=INT(A140), LEN(A140)=3), 2,
LEN(A140) - FIND(".", A140) + 2)
)
),
"")</f>
        <v>2</v>
      </c>
      <c r="C140" s="37" t="s">
        <v>363</v>
      </c>
      <c r="D140" s="10" t="str">
        <f aca="false">REPT("   ", B140*2) &amp; C140</f>
        <v>            Common Instrumentation &amp; Controls</v>
      </c>
      <c r="E140" s="10" t="s">
        <v>35</v>
      </c>
      <c r="F140" s="10"/>
      <c r="G140" s="18"/>
      <c r="H140" s="18"/>
      <c r="I140" s="18"/>
      <c r="J140" s="16" t="n">
        <v>1000000</v>
      </c>
      <c r="K140" s="16"/>
      <c r="L140" s="23"/>
      <c r="M140" s="18"/>
      <c r="N140" s="23"/>
      <c r="O140" s="23"/>
      <c r="P140" s="18"/>
      <c r="Q140" s="20" t="n">
        <v>2023</v>
      </c>
      <c r="R140" s="23" t="s">
        <v>96</v>
      </c>
      <c r="S140" s="60" t="s">
        <v>350</v>
      </c>
      <c r="T140" s="60" t="s">
        <v>351</v>
      </c>
      <c r="U140" s="59" t="s">
        <v>352</v>
      </c>
      <c r="V140" s="23"/>
      <c r="W140" s="12" t="s">
        <v>354</v>
      </c>
      <c r="X140" s="24" t="n">
        <f aca="false">0.9*$J140</f>
        <v>900000</v>
      </c>
      <c r="Y140" s="24" t="n">
        <f aca="false">1.5*J140</f>
        <v>1500000</v>
      </c>
      <c r="Z140" s="12" t="s">
        <v>44</v>
      </c>
      <c r="AA140" s="13"/>
      <c r="AB140" s="13"/>
      <c r="AC140" s="12"/>
      <c r="AD140" s="13"/>
      <c r="AE140" s="13"/>
      <c r="AF140" s="13"/>
      <c r="AG140" s="12"/>
    </row>
    <row r="141" customFormat="false" ht="26.25" hidden="false" customHeight="true" outlineLevel="0" collapsed="false">
      <c r="A141" s="6" t="n">
        <v>24</v>
      </c>
      <c r="B141" s="9" t="n">
        <f aca="false">IF(ISNUMBER(A141),
IF(AND(A141=INT(A141), MOD(A141, 10) = 0), 0,
IF(AND(A141=INT(A141), LEN(A141)=2), 1,
IF(AND(A141=INT(A141), LEN(A141)=3), 2,
LEN(A141) - FIND(".", A141) + 2)
)
),
"")</f>
        <v>1</v>
      </c>
      <c r="C141" s="37" t="s">
        <v>364</v>
      </c>
      <c r="D141" s="10" t="str">
        <f aca="false">REPT("   ", B141*2) &amp; C141</f>
        <v>      Electrical Equipment</v>
      </c>
      <c r="E141" s="10"/>
      <c r="F141" s="10"/>
      <c r="G141" s="18"/>
      <c r="H141" s="18"/>
      <c r="I141" s="18"/>
      <c r="J141" s="20"/>
      <c r="K141" s="42"/>
      <c r="L141" s="23"/>
      <c r="M141" s="26"/>
      <c r="N141" s="23"/>
      <c r="O141" s="23"/>
      <c r="P141" s="23"/>
      <c r="Q141" s="20"/>
      <c r="R141" s="23"/>
      <c r="S141" s="60"/>
      <c r="T141" s="60"/>
      <c r="U141" s="23"/>
      <c r="V141" s="23"/>
      <c r="W141" s="12"/>
      <c r="X141" s="24"/>
      <c r="Y141" s="24"/>
      <c r="Z141" s="12"/>
      <c r="AA141" s="13"/>
      <c r="AB141" s="13"/>
      <c r="AC141" s="12"/>
      <c r="AD141" s="13"/>
      <c r="AE141" s="13"/>
      <c r="AF141" s="13"/>
      <c r="AG141" s="12"/>
    </row>
    <row r="142" customFormat="false" ht="26.25" hidden="false" customHeight="true" outlineLevel="0" collapsed="false">
      <c r="A142" s="6" t="n">
        <v>241</v>
      </c>
      <c r="B142" s="9" t="n">
        <f aca="false">IF(ISNUMBER(A142),
IF(AND(A142=INT(A142), MOD(A142, 10) = 0), 0,
IF(AND(A142=INT(A142), LEN(A142)=2), 1,
IF(AND(A142=INT(A142), LEN(A142)=3), 2,
LEN(A142) - FIND(".", A142) + 2)
)
),
"")</f>
        <v>2</v>
      </c>
      <c r="C142" s="61" t="s">
        <v>365</v>
      </c>
      <c r="D142" s="10" t="str">
        <f aca="false">REPT("   ", B142*2) &amp; C142</f>
        <v>            Switchgear</v>
      </c>
      <c r="E142" s="10" t="s">
        <v>35</v>
      </c>
      <c r="F142" s="10"/>
      <c r="G142" s="18"/>
      <c r="H142" s="18"/>
      <c r="I142" s="18"/>
      <c r="J142" s="20"/>
      <c r="K142" s="42" t="n">
        <f aca="false">14424707.2061682/N142</f>
        <v>12609.0097956016</v>
      </c>
      <c r="L142" s="23" t="s">
        <v>50</v>
      </c>
      <c r="M142" s="18" t="s">
        <v>51</v>
      </c>
      <c r="N142" s="23" t="n">
        <v>1144</v>
      </c>
      <c r="O142" s="23" t="s">
        <v>52</v>
      </c>
      <c r="P142" s="18" t="n">
        <v>0.6</v>
      </c>
      <c r="Q142" s="20" t="n">
        <v>2018</v>
      </c>
      <c r="R142" s="23" t="s">
        <v>96</v>
      </c>
      <c r="S142" s="60" t="s">
        <v>366</v>
      </c>
      <c r="T142" s="60" t="s">
        <v>367</v>
      </c>
      <c r="U142" s="23"/>
      <c r="V142" s="23"/>
      <c r="W142" s="12" t="s">
        <v>354</v>
      </c>
      <c r="X142" s="24" t="n">
        <f aca="false">0.9*$J142</f>
        <v>0</v>
      </c>
      <c r="Y142" s="24" t="n">
        <f aca="false">1.5*J142</f>
        <v>0</v>
      </c>
      <c r="Z142" s="12"/>
      <c r="AA142" s="13" t="n">
        <f aca="false">0.9*K142</f>
        <v>11348.1088160414</v>
      </c>
      <c r="AB142" s="13" t="n">
        <f aca="false">1.3*K142</f>
        <v>16391.712734282</v>
      </c>
      <c r="AC142" s="12" t="s">
        <v>44</v>
      </c>
      <c r="AD142" s="13" t="n">
        <v>0.1</v>
      </c>
      <c r="AE142" s="13" t="n">
        <v>1</v>
      </c>
      <c r="AF142" s="13" t="n">
        <v>0</v>
      </c>
      <c r="AG142" s="12" t="s">
        <v>48</v>
      </c>
    </row>
    <row r="143" customFormat="false" ht="26.25" hidden="false" customHeight="true" outlineLevel="0" collapsed="false">
      <c r="A143" s="6" t="n">
        <v>242</v>
      </c>
      <c r="B143" s="9" t="n">
        <f aca="false">IF(ISNUMBER(A143),
IF(AND(A143=INT(A143), MOD(A143, 10) = 0), 0,
IF(AND(A143=INT(A143), LEN(A143)=2), 1,
IF(AND(A143=INT(A143), LEN(A143)=3), 2,
LEN(A143) - FIND(".", A143) + 2)
)
),
"")</f>
        <v>2</v>
      </c>
      <c r="C143" s="61" t="s">
        <v>368</v>
      </c>
      <c r="D143" s="10" t="str">
        <f aca="false">REPT("   ", B143*2) &amp; C143</f>
        <v>            Station Service Equipment</v>
      </c>
      <c r="E143" s="10" t="s">
        <v>35</v>
      </c>
      <c r="F143" s="10"/>
      <c r="G143" s="18"/>
      <c r="H143" s="18"/>
      <c r="I143" s="18"/>
      <c r="J143" s="20"/>
      <c r="K143" s="42" t="n">
        <f aca="false">11992641.3775456/N142</f>
        <v>10483.0781272252</v>
      </c>
      <c r="L143" s="23" t="s">
        <v>50</v>
      </c>
      <c r="M143" s="18" t="s">
        <v>51</v>
      </c>
      <c r="N143" s="23" t="n">
        <v>1144</v>
      </c>
      <c r="O143" s="23" t="s">
        <v>52</v>
      </c>
      <c r="P143" s="18" t="n">
        <v>0.6</v>
      </c>
      <c r="Q143" s="20" t="n">
        <v>2018</v>
      </c>
      <c r="R143" s="23" t="s">
        <v>96</v>
      </c>
      <c r="S143" s="60"/>
      <c r="T143" s="60"/>
      <c r="U143" s="23"/>
      <c r="V143" s="23"/>
      <c r="W143" s="12" t="s">
        <v>354</v>
      </c>
      <c r="X143" s="24" t="n">
        <f aca="false">0.9*$J143</f>
        <v>0</v>
      </c>
      <c r="Y143" s="24" t="n">
        <f aca="false">1.5*J143</f>
        <v>0</v>
      </c>
      <c r="Z143" s="12"/>
      <c r="AA143" s="13" t="n">
        <f aca="false">0.9*K143</f>
        <v>9434.77031450266</v>
      </c>
      <c r="AB143" s="13" t="n">
        <f aca="false">1.3*K143</f>
        <v>13628.0015653927</v>
      </c>
      <c r="AC143" s="12" t="s">
        <v>44</v>
      </c>
      <c r="AD143" s="13" t="n">
        <v>0.1</v>
      </c>
      <c r="AE143" s="13" t="n">
        <v>1</v>
      </c>
      <c r="AF143" s="13" t="n">
        <v>0</v>
      </c>
      <c r="AG143" s="12" t="s">
        <v>48</v>
      </c>
    </row>
    <row r="144" customFormat="false" ht="26.25" hidden="false" customHeight="true" outlineLevel="0" collapsed="false">
      <c r="A144" s="6" t="n">
        <v>243</v>
      </c>
      <c r="B144" s="9" t="n">
        <f aca="false">IF(ISNUMBER(A144),
IF(AND(A144=INT(A144), MOD(A144, 10) = 0), 0,
IF(AND(A144=INT(A144), LEN(A144)=2), 1,
IF(AND(A144=INT(A144), LEN(A144)=3), 2,
LEN(A144) - FIND(".", A144) + 2)
)
),
"")</f>
        <v>2</v>
      </c>
      <c r="C144" s="61" t="s">
        <v>369</v>
      </c>
      <c r="D144" s="10" t="str">
        <f aca="false">REPT("   ", B144*2) &amp; C144</f>
        <v>            Switchboards</v>
      </c>
      <c r="E144" s="10" t="s">
        <v>35</v>
      </c>
      <c r="F144" s="10"/>
      <c r="G144" s="18"/>
      <c r="H144" s="18"/>
      <c r="I144" s="18"/>
      <c r="J144" s="20"/>
      <c r="K144" s="42" t="n">
        <f aca="false">3894246.37400843/N142</f>
        <v>3404.06151574163</v>
      </c>
      <c r="L144" s="23" t="s">
        <v>50</v>
      </c>
      <c r="M144" s="18" t="s">
        <v>51</v>
      </c>
      <c r="N144" s="23" t="n">
        <v>1144</v>
      </c>
      <c r="O144" s="23" t="s">
        <v>52</v>
      </c>
      <c r="P144" s="18" t="n">
        <v>0.6</v>
      </c>
      <c r="Q144" s="20" t="n">
        <v>2018</v>
      </c>
      <c r="R144" s="23" t="s">
        <v>96</v>
      </c>
      <c r="S144" s="60"/>
      <c r="T144" s="60"/>
      <c r="U144" s="23"/>
      <c r="V144" s="23"/>
      <c r="W144" s="12" t="s">
        <v>354</v>
      </c>
      <c r="X144" s="24" t="n">
        <f aca="false">0.9*$J144</f>
        <v>0</v>
      </c>
      <c r="Y144" s="24" t="n">
        <f aca="false">1.5*J144</f>
        <v>0</v>
      </c>
      <c r="Z144" s="12"/>
      <c r="AA144" s="13" t="n">
        <f aca="false">0.9*K144</f>
        <v>3063.65536416747</v>
      </c>
      <c r="AB144" s="13" t="n">
        <f aca="false">1.3*K144</f>
        <v>4425.27997046413</v>
      </c>
      <c r="AC144" s="12" t="s">
        <v>44</v>
      </c>
      <c r="AD144" s="13" t="n">
        <v>0.1</v>
      </c>
      <c r="AE144" s="13" t="n">
        <v>1</v>
      </c>
      <c r="AF144" s="13" t="n">
        <v>0</v>
      </c>
      <c r="AG144" s="12" t="s">
        <v>48</v>
      </c>
    </row>
    <row r="145" customFormat="false" ht="26.25" hidden="false" customHeight="true" outlineLevel="0" collapsed="false">
      <c r="A145" s="6" t="n">
        <v>244</v>
      </c>
      <c r="B145" s="9" t="n">
        <f aca="false">IF(ISNUMBER(A145),
IF(AND(A145=INT(A145), MOD(A145, 10) = 0), 0,
IF(AND(A145=INT(A145), LEN(A145)=2), 1,
IF(AND(A145=INT(A145), LEN(A145)=3), 2,
LEN(A145) - FIND(".", A145) + 2)
)
),
"")</f>
        <v>2</v>
      </c>
      <c r="C145" s="61" t="s">
        <v>370</v>
      </c>
      <c r="D145" s="10" t="str">
        <f aca="false">REPT("   ", B145*2) &amp; C145</f>
        <v>            Protective Equipment</v>
      </c>
      <c r="E145" s="10" t="s">
        <v>35</v>
      </c>
      <c r="F145" s="10"/>
      <c r="G145" s="18"/>
      <c r="H145" s="18"/>
      <c r="I145" s="18"/>
      <c r="J145" s="20"/>
      <c r="K145" s="42" t="n">
        <f aca="false">11183911.9256997/N142</f>
        <v>9776.14678819904</v>
      </c>
      <c r="L145" s="23" t="s">
        <v>50</v>
      </c>
      <c r="M145" s="18" t="s">
        <v>51</v>
      </c>
      <c r="N145" s="23" t="n">
        <v>1144</v>
      </c>
      <c r="O145" s="23" t="s">
        <v>52</v>
      </c>
      <c r="P145" s="18" t="n">
        <v>0.6</v>
      </c>
      <c r="Q145" s="20" t="n">
        <v>2018</v>
      </c>
      <c r="R145" s="23" t="s">
        <v>96</v>
      </c>
      <c r="S145" s="50"/>
      <c r="T145" s="50"/>
      <c r="U145" s="23"/>
      <c r="V145" s="23"/>
      <c r="W145" s="12" t="s">
        <v>354</v>
      </c>
      <c r="X145" s="24" t="n">
        <f aca="false">0.9*$J145</f>
        <v>0</v>
      </c>
      <c r="Y145" s="24" t="n">
        <f aca="false">1.5*J145</f>
        <v>0</v>
      </c>
      <c r="Z145" s="12"/>
      <c r="AA145" s="13" t="n">
        <f aca="false">0.9*K145</f>
        <v>8798.53210937913</v>
      </c>
      <c r="AB145" s="13" t="n">
        <f aca="false">1.3*K145</f>
        <v>12708.9908246588</v>
      </c>
      <c r="AC145" s="12" t="s">
        <v>44</v>
      </c>
      <c r="AD145" s="13" t="n">
        <v>0.1</v>
      </c>
      <c r="AE145" s="13" t="n">
        <v>1</v>
      </c>
      <c r="AF145" s="13" t="n">
        <v>0</v>
      </c>
      <c r="AG145" s="12" t="s">
        <v>48</v>
      </c>
    </row>
    <row r="146" customFormat="false" ht="26.25" hidden="false" customHeight="true" outlineLevel="0" collapsed="false">
      <c r="A146" s="6" t="n">
        <v>245</v>
      </c>
      <c r="B146" s="9" t="n">
        <f aca="false">IF(ISNUMBER(A146),
IF(AND(A146=INT(A146), MOD(A146, 10) = 0), 0,
IF(AND(A146=INT(A146), LEN(A146)=2), 1,
IF(AND(A146=INT(A146), LEN(A146)=3), 2,
LEN(A146) - FIND(".", A146) + 2)
)
),
"")</f>
        <v>2</v>
      </c>
      <c r="C146" s="61" t="s">
        <v>371</v>
      </c>
      <c r="D146" s="10" t="str">
        <f aca="false">REPT("   ", B146*2) &amp; C146</f>
        <v>            Electrical Structure &amp; Wiring Container</v>
      </c>
      <c r="E146" s="10" t="s">
        <v>35</v>
      </c>
      <c r="F146" s="10"/>
      <c r="G146" s="18"/>
      <c r="H146" s="18"/>
      <c r="I146" s="18"/>
      <c r="J146" s="20"/>
      <c r="K146" s="42" t="n">
        <f aca="false">60312483.673456/N142</f>
        <v>52720.7025117622</v>
      </c>
      <c r="L146" s="23" t="s">
        <v>50</v>
      </c>
      <c r="M146" s="18" t="s">
        <v>51</v>
      </c>
      <c r="N146" s="23" t="n">
        <v>1144</v>
      </c>
      <c r="O146" s="23" t="s">
        <v>52</v>
      </c>
      <c r="P146" s="18" t="n">
        <v>0.6</v>
      </c>
      <c r="Q146" s="20" t="n">
        <v>2018</v>
      </c>
      <c r="R146" s="23" t="s">
        <v>96</v>
      </c>
      <c r="S146" s="50"/>
      <c r="T146" s="50"/>
      <c r="U146" s="23"/>
      <c r="V146" s="23"/>
      <c r="W146" s="12" t="s">
        <v>354</v>
      </c>
      <c r="X146" s="24" t="n">
        <f aca="false">0.9*$J146</f>
        <v>0</v>
      </c>
      <c r="Y146" s="24" t="n">
        <f aca="false">1.5*J146</f>
        <v>0</v>
      </c>
      <c r="Z146" s="12"/>
      <c r="AA146" s="13" t="n">
        <f aca="false">0.9*K146</f>
        <v>47448.632260586</v>
      </c>
      <c r="AB146" s="13" t="n">
        <f aca="false">1.3*K146</f>
        <v>68536.9132652909</v>
      </c>
      <c r="AC146" s="12" t="s">
        <v>44</v>
      </c>
      <c r="AD146" s="13" t="n">
        <v>0.1</v>
      </c>
      <c r="AE146" s="13" t="n">
        <v>1</v>
      </c>
      <c r="AF146" s="13" t="n">
        <v>0</v>
      </c>
      <c r="AG146" s="12" t="s">
        <v>48</v>
      </c>
    </row>
    <row r="147" customFormat="false" ht="26.25" hidden="false" customHeight="true" outlineLevel="0" collapsed="false">
      <c r="A147" s="6" t="n">
        <v>246</v>
      </c>
      <c r="B147" s="9" t="n">
        <f aca="false">IF(ISNUMBER(A147),
IF(AND(A147=INT(A147), MOD(A147, 10) = 0), 0,
IF(AND(A147=INT(A147), LEN(A147)=2), 1,
IF(AND(A147=INT(A147), LEN(A147)=3), 2,
LEN(A147) - FIND(".", A147) + 2)
)
),
"")</f>
        <v>2</v>
      </c>
      <c r="C147" s="61" t="s">
        <v>372</v>
      </c>
      <c r="D147" s="10" t="str">
        <f aca="false">REPT("   ", B147*2) &amp; C147</f>
        <v>            Power &amp; Control Wiring</v>
      </c>
      <c r="E147" s="10" t="s">
        <v>35</v>
      </c>
      <c r="F147" s="10"/>
      <c r="G147" s="18"/>
      <c r="H147" s="18"/>
      <c r="I147" s="18"/>
      <c r="J147" s="20"/>
      <c r="K147" s="42" t="n">
        <f aca="false">45613077.4753702/N142</f>
        <v>39871.5712197292</v>
      </c>
      <c r="L147" s="23" t="s">
        <v>50</v>
      </c>
      <c r="M147" s="18" t="s">
        <v>51</v>
      </c>
      <c r="N147" s="23" t="n">
        <v>1144</v>
      </c>
      <c r="O147" s="23" t="s">
        <v>52</v>
      </c>
      <c r="P147" s="18" t="n">
        <v>0.6</v>
      </c>
      <c r="Q147" s="20" t="n">
        <v>2018</v>
      </c>
      <c r="R147" s="23" t="s">
        <v>96</v>
      </c>
      <c r="S147" s="50"/>
      <c r="T147" s="50"/>
      <c r="U147" s="23"/>
      <c r="V147" s="23"/>
      <c r="W147" s="12" t="s">
        <v>354</v>
      </c>
      <c r="X147" s="24" t="n">
        <f aca="false">0.9*$J147</f>
        <v>0</v>
      </c>
      <c r="Y147" s="24" t="n">
        <f aca="false">1.5*J147</f>
        <v>0</v>
      </c>
      <c r="Z147" s="12"/>
      <c r="AA147" s="13" t="n">
        <f aca="false">0.9*K147</f>
        <v>35884.4140977563</v>
      </c>
      <c r="AB147" s="13" t="n">
        <f aca="false">1.3*K147</f>
        <v>51833.042585648</v>
      </c>
      <c r="AC147" s="12" t="s">
        <v>44</v>
      </c>
      <c r="AD147" s="13" t="n">
        <v>0.1</v>
      </c>
      <c r="AE147" s="13" t="n">
        <v>1</v>
      </c>
      <c r="AF147" s="13" t="n">
        <v>0</v>
      </c>
      <c r="AG147" s="12" t="s">
        <v>48</v>
      </c>
    </row>
    <row r="148" customFormat="false" ht="26.25" hidden="false" customHeight="true" outlineLevel="0" collapsed="false">
      <c r="A148" s="6" t="n">
        <v>25</v>
      </c>
      <c r="B148" s="9" t="n">
        <f aca="false">IF(ISNUMBER(A148),
IF(AND(A148=INT(A148), MOD(A148, 10) = 0), 0,
IF(AND(A148=INT(A148), LEN(A148)=2), 1,
IF(AND(A148=INT(A148), LEN(A148)=3), 2,
LEN(A148) - FIND(".", A148) + 2)
)
),
"")</f>
        <v>1</v>
      </c>
      <c r="C148" s="37" t="s">
        <v>373</v>
      </c>
      <c r="D148" s="10" t="str">
        <f aca="false">REPT("   ", B148*2) &amp; C148</f>
        <v>      Initial Fuel Inventory</v>
      </c>
      <c r="E148" s="10"/>
      <c r="F148" s="10"/>
      <c r="G148" s="18"/>
      <c r="H148" s="18"/>
      <c r="I148" s="18"/>
      <c r="J148" s="20"/>
      <c r="K148" s="42"/>
      <c r="L148" s="23"/>
      <c r="M148" s="26"/>
      <c r="N148" s="23"/>
      <c r="O148" s="23"/>
      <c r="P148" s="23"/>
      <c r="Q148" s="20"/>
      <c r="R148" s="23"/>
      <c r="S148" s="50"/>
      <c r="T148" s="50"/>
      <c r="U148" s="23"/>
      <c r="V148" s="23"/>
      <c r="W148" s="12"/>
      <c r="X148" s="24"/>
      <c r="Y148" s="24"/>
      <c r="Z148" s="12"/>
      <c r="AA148" s="13"/>
      <c r="AB148" s="13"/>
      <c r="AC148" s="12"/>
      <c r="AD148" s="13"/>
      <c r="AE148" s="13"/>
      <c r="AF148" s="13"/>
      <c r="AG148" s="12"/>
    </row>
    <row r="149" customFormat="false" ht="28.5" hidden="false" customHeight="true" outlineLevel="0" collapsed="false">
      <c r="A149" s="30" t="n">
        <v>251</v>
      </c>
      <c r="B149" s="9" t="n">
        <f aca="false">IF(ISNUMBER(A149),
IF(AND(A149=INT(A149), MOD(A149, 10) = 0), 0,
IF(AND(A149=INT(A149), LEN(A149)=2), 1,
IF(AND(A149=INT(A149), LEN(A149)=3), 2,
LEN(A149) - FIND(".", A149) + 2)
)
),
"")</f>
        <v>2</v>
      </c>
      <c r="C149" s="37" t="s">
        <v>374</v>
      </c>
      <c r="D149" s="10" t="str">
        <f aca="false">REPT("   ", B149*2) &amp; C149</f>
        <v>            First Core Mining</v>
      </c>
      <c r="E149" s="10" t="s">
        <v>35</v>
      </c>
      <c r="F149" s="10"/>
      <c r="G149" s="18"/>
      <c r="H149" s="18"/>
      <c r="I149" s="18"/>
      <c r="J149" s="20"/>
      <c r="K149" s="20" t="n">
        <v>184</v>
      </c>
      <c r="L149" s="23" t="s">
        <v>196</v>
      </c>
      <c r="M149" s="18" t="s">
        <v>375</v>
      </c>
      <c r="N149" s="23"/>
      <c r="O149" s="23"/>
      <c r="P149" s="23"/>
      <c r="Q149" s="20" t="n">
        <v>2022</v>
      </c>
      <c r="R149" s="23" t="s">
        <v>229</v>
      </c>
      <c r="S149" s="50" t="s">
        <v>376</v>
      </c>
      <c r="T149" s="50" t="s">
        <v>377</v>
      </c>
      <c r="U149" s="23"/>
      <c r="V149" s="23"/>
      <c r="W149" s="12" t="s">
        <v>43</v>
      </c>
      <c r="X149" s="24" t="n">
        <f aca="false">0.9*$J149</f>
        <v>0</v>
      </c>
      <c r="Y149" s="24" t="n">
        <f aca="false">1.5*J149</f>
        <v>0</v>
      </c>
      <c r="Z149" s="12" t="s">
        <v>44</v>
      </c>
      <c r="AA149" s="13" t="n">
        <f aca="false">0.9*K149</f>
        <v>165.6</v>
      </c>
      <c r="AB149" s="13" t="n">
        <f aca="false">1.3*K149</f>
        <v>239.2</v>
      </c>
      <c r="AC149" s="12" t="s">
        <v>44</v>
      </c>
      <c r="AD149" s="13" t="s">
        <v>45</v>
      </c>
      <c r="AE149" s="13" t="s">
        <v>46</v>
      </c>
      <c r="AF149" s="13" t="s">
        <v>47</v>
      </c>
      <c r="AG149" s="12" t="s">
        <v>48</v>
      </c>
    </row>
    <row r="150" customFormat="false" ht="26.25" hidden="false" customHeight="true" outlineLevel="0" collapsed="false">
      <c r="A150" s="30" t="n">
        <v>252</v>
      </c>
      <c r="B150" s="9" t="n">
        <f aca="false">IF(ISNUMBER(A150),
IF(AND(A150=INT(A150), MOD(A150, 10) = 0), 0,
IF(AND(A150=INT(A150), LEN(A150)=2), 1,
IF(AND(A150=INT(A150), LEN(A150)=3), 2,
LEN(A150) - FIND(".", A150) + 2)
)
),
"")</f>
        <v>2</v>
      </c>
      <c r="C150" s="37" t="s">
        <v>378</v>
      </c>
      <c r="D150" s="10" t="str">
        <f aca="false">REPT("   ", B150*2) &amp; C150</f>
        <v>            First Core Conversion </v>
      </c>
      <c r="E150" s="10" t="s">
        <v>35</v>
      </c>
      <c r="F150" s="10"/>
      <c r="G150" s="18"/>
      <c r="H150" s="18"/>
      <c r="I150" s="18"/>
      <c r="J150" s="20"/>
      <c r="K150" s="20" t="n">
        <v>15.1</v>
      </c>
      <c r="L150" s="23" t="s">
        <v>196</v>
      </c>
      <c r="M150" s="18" t="s">
        <v>375</v>
      </c>
      <c r="N150" s="23"/>
      <c r="O150" s="23"/>
      <c r="P150" s="23"/>
      <c r="Q150" s="20" t="n">
        <v>2022</v>
      </c>
      <c r="R150" s="23" t="s">
        <v>229</v>
      </c>
      <c r="S150" s="50"/>
      <c r="T150" s="50"/>
      <c r="U150" s="23"/>
      <c r="V150" s="23"/>
      <c r="W150" s="12" t="s">
        <v>43</v>
      </c>
      <c r="X150" s="24" t="n">
        <f aca="false">0.9*$J150</f>
        <v>0</v>
      </c>
      <c r="Y150" s="24" t="n">
        <f aca="false">1.5*J150</f>
        <v>0</v>
      </c>
      <c r="Z150" s="12" t="s">
        <v>44</v>
      </c>
      <c r="AA150" s="13" t="n">
        <f aca="false">0.9*K150</f>
        <v>13.59</v>
      </c>
      <c r="AB150" s="13" t="n">
        <f aca="false">1.3*K150</f>
        <v>19.63</v>
      </c>
      <c r="AC150" s="12" t="s">
        <v>44</v>
      </c>
      <c r="AD150" s="13" t="s">
        <v>45</v>
      </c>
      <c r="AE150" s="13" t="s">
        <v>46</v>
      </c>
      <c r="AF150" s="13" t="s">
        <v>47</v>
      </c>
      <c r="AG150" s="12" t="s">
        <v>48</v>
      </c>
    </row>
    <row r="151" customFormat="false" ht="26.25" hidden="false" customHeight="true" outlineLevel="0" collapsed="false">
      <c r="A151" s="30" t="n">
        <v>253</v>
      </c>
      <c r="B151" s="9" t="n">
        <f aca="false">IF(ISNUMBER(A151),
IF(AND(A151=INT(A151), MOD(A151, 10) = 0), 0,
IF(AND(A151=INT(A151), LEN(A151)=2), 1,
IF(AND(A151=INT(A151), LEN(A151)=3), 2,
LEN(A151) - FIND(".", A151) + 2)
)
),
"")</f>
        <v>2</v>
      </c>
      <c r="C151" s="37" t="s">
        <v>379</v>
      </c>
      <c r="D151" s="10" t="str">
        <f aca="false">REPT("   ", B151*2) &amp; C151</f>
        <v>            First Core Enrichment </v>
      </c>
      <c r="E151" s="10" t="s">
        <v>290</v>
      </c>
      <c r="F151" s="10"/>
      <c r="G151" s="18"/>
      <c r="H151" s="18"/>
      <c r="I151" s="18"/>
      <c r="J151" s="20"/>
      <c r="K151" s="20" t="n">
        <v>184.2</v>
      </c>
      <c r="L151" s="23" t="s">
        <v>380</v>
      </c>
      <c r="M151" s="26" t="s">
        <v>381</v>
      </c>
      <c r="N151" s="23"/>
      <c r="O151" s="23"/>
      <c r="P151" s="23" t="n">
        <v>1</v>
      </c>
      <c r="Q151" s="20" t="n">
        <v>2022</v>
      </c>
      <c r="R151" s="23" t="s">
        <v>229</v>
      </c>
      <c r="S151" s="50"/>
      <c r="T151" s="50"/>
      <c r="U151" s="23"/>
      <c r="V151" s="23"/>
      <c r="W151" s="12" t="s">
        <v>43</v>
      </c>
      <c r="X151" s="24" t="n">
        <f aca="false">0.9*$J151</f>
        <v>0</v>
      </c>
      <c r="Y151" s="24" t="n">
        <f aca="false">1.5*J151</f>
        <v>0</v>
      </c>
      <c r="Z151" s="12" t="s">
        <v>44</v>
      </c>
      <c r="AA151" s="13" t="n">
        <f aca="false">0.9*K151</f>
        <v>165.78</v>
      </c>
      <c r="AB151" s="13" t="n">
        <f aca="false">1.3*K151</f>
        <v>239.46</v>
      </c>
      <c r="AC151" s="12" t="s">
        <v>44</v>
      </c>
      <c r="AD151" s="13" t="s">
        <v>45</v>
      </c>
      <c r="AE151" s="13" t="s">
        <v>46</v>
      </c>
      <c r="AF151" s="13" t="s">
        <v>47</v>
      </c>
      <c r="AG151" s="12" t="s">
        <v>48</v>
      </c>
    </row>
    <row r="152" customFormat="false" ht="26.25" hidden="false" customHeight="true" outlineLevel="0" collapsed="false">
      <c r="A152" s="30" t="n">
        <v>254</v>
      </c>
      <c r="B152" s="9" t="n">
        <f aca="false">IF(ISNUMBER(A152),
IF(AND(A152=INT(A152), MOD(A152, 10) = 0), 0,
IF(AND(A152=INT(A152), LEN(A152)=2), 1,
IF(AND(A152=INT(A152), LEN(A152)=3), 2,
LEN(A152) - FIND(".", A152) + 2)
)
),
"")</f>
        <v>2</v>
      </c>
      <c r="C152" s="37" t="s">
        <v>382</v>
      </c>
      <c r="D152" s="10" t="str">
        <f aca="false">REPT("   ", B152*2) &amp; C152</f>
        <v>            First Core Fuel Assembly Fabrication </v>
      </c>
      <c r="E152" s="10" t="s">
        <v>35</v>
      </c>
      <c r="F152" s="10" t="s">
        <v>383</v>
      </c>
      <c r="G152" s="18" t="s">
        <v>384</v>
      </c>
      <c r="H152" s="18" t="s">
        <v>385</v>
      </c>
      <c r="I152" s="18" t="s">
        <v>386</v>
      </c>
      <c r="J152" s="20"/>
      <c r="K152" s="20" t="n">
        <v>1520</v>
      </c>
      <c r="L152" s="23" t="s">
        <v>196</v>
      </c>
      <c r="M152" s="26" t="s">
        <v>387</v>
      </c>
      <c r="N152" s="23"/>
      <c r="O152" s="23"/>
      <c r="P152" s="23"/>
      <c r="Q152" s="20" t="n">
        <v>2023</v>
      </c>
      <c r="R152" s="23" t="s">
        <v>229</v>
      </c>
      <c r="S152" s="50"/>
      <c r="T152" s="50"/>
      <c r="U152" s="23"/>
      <c r="V152" s="23"/>
      <c r="W152" s="12" t="s">
        <v>167</v>
      </c>
      <c r="X152" s="24" t="n">
        <f aca="false">0.9*$J152</f>
        <v>0</v>
      </c>
      <c r="Y152" s="24" t="n">
        <f aca="false">1.5*J152</f>
        <v>0</v>
      </c>
      <c r="Z152" s="12" t="s">
        <v>44</v>
      </c>
      <c r="AA152" s="13" t="n">
        <f aca="false">0.9*K152</f>
        <v>1368</v>
      </c>
      <c r="AB152" s="13" t="n">
        <f aca="false">1.3*K152</f>
        <v>1976</v>
      </c>
      <c r="AC152" s="12" t="s">
        <v>44</v>
      </c>
      <c r="AD152" s="13" t="s">
        <v>45</v>
      </c>
      <c r="AE152" s="13" t="s">
        <v>46</v>
      </c>
      <c r="AF152" s="13" t="s">
        <v>47</v>
      </c>
      <c r="AG152" s="12" t="s">
        <v>48</v>
      </c>
    </row>
    <row r="153" customFormat="false" ht="26.25" hidden="false" customHeight="true" outlineLevel="0" collapsed="false">
      <c r="A153" s="30" t="n">
        <v>254</v>
      </c>
      <c r="B153" s="9" t="n">
        <f aca="false">IF(ISNUMBER(A153),
    IF(AND(A153=INT(A153), MOD(A153, 10) = 0), 0,
        IF(AND(A153=INT(A153), LEN(A153)=2), 1,
            IF(AND(A153=INT(A153), LEN(A153)=3), 2,
                LEN(A153) - FIND(".", A153) + 2)
        )
    ),
"")</f>
        <v>2</v>
      </c>
      <c r="C153" s="37" t="s">
        <v>382</v>
      </c>
      <c r="D153" s="10" t="str">
        <f aca="false">REPT("   ", B153*2) &amp; C153</f>
        <v>            First Core Fuel Assembly Fabrication </v>
      </c>
      <c r="E153" s="10" t="s">
        <v>35</v>
      </c>
      <c r="F153" s="10" t="s">
        <v>383</v>
      </c>
      <c r="G153" s="18" t="s">
        <v>384</v>
      </c>
      <c r="H153" s="18" t="s">
        <v>385</v>
      </c>
      <c r="I153" s="18" t="s">
        <v>388</v>
      </c>
      <c r="J153" s="20"/>
      <c r="K153" s="20" t="n">
        <v>250</v>
      </c>
      <c r="L153" s="23" t="s">
        <v>196</v>
      </c>
      <c r="M153" s="26" t="s">
        <v>387</v>
      </c>
      <c r="N153" s="23"/>
      <c r="O153" s="23"/>
      <c r="P153" s="23"/>
      <c r="Q153" s="20" t="n">
        <v>2023</v>
      </c>
      <c r="R153" s="23" t="s">
        <v>229</v>
      </c>
      <c r="S153" s="50"/>
      <c r="T153" s="50"/>
      <c r="U153" s="23"/>
      <c r="V153" s="23"/>
      <c r="W153" s="12" t="s">
        <v>167</v>
      </c>
      <c r="X153" s="24" t="n">
        <f aca="false">0.9*$J153</f>
        <v>0</v>
      </c>
      <c r="Y153" s="24" t="n">
        <f aca="false">1.5*J153</f>
        <v>0</v>
      </c>
      <c r="Z153" s="12" t="s">
        <v>44</v>
      </c>
      <c r="AA153" s="13" t="n">
        <f aca="false">0.9*K153</f>
        <v>225</v>
      </c>
      <c r="AB153" s="13" t="n">
        <f aca="false">1.3*K153</f>
        <v>325</v>
      </c>
      <c r="AC153" s="12" t="s">
        <v>44</v>
      </c>
      <c r="AD153" s="13" t="s">
        <v>45</v>
      </c>
      <c r="AE153" s="13" t="s">
        <v>46</v>
      </c>
      <c r="AF153" s="13" t="s">
        <v>47</v>
      </c>
      <c r="AG153" s="12" t="s">
        <v>48</v>
      </c>
    </row>
    <row r="154" customFormat="false" ht="26.25" hidden="false" customHeight="true" outlineLevel="0" collapsed="false">
      <c r="A154" s="30" t="n">
        <v>254</v>
      </c>
      <c r="B154" s="9" t="n">
        <f aca="false">IF(ISNUMBER(A154),
    IF(AND(A154=INT(A154), MOD(A154, 10) = 0), 0,
        IF(AND(A154=INT(A154), LEN(A154)=2), 1,
            IF(AND(A154=INT(A154), LEN(A154)=3), 2,
                LEN(A154) - FIND(".", A154) + 2)
        )
    ),
"")</f>
        <v>2</v>
      </c>
      <c r="C154" s="37" t="s">
        <v>382</v>
      </c>
      <c r="D154" s="10" t="str">
        <f aca="false">REPT("   ", B154*2) &amp; C154</f>
        <v>            First Core Fuel Assembly Fabrication </v>
      </c>
      <c r="E154" s="10" t="s">
        <v>35</v>
      </c>
      <c r="F154" s="10" t="s">
        <v>383</v>
      </c>
      <c r="G154" s="18" t="s">
        <v>291</v>
      </c>
      <c r="H154" s="18"/>
      <c r="I154" s="18"/>
      <c r="J154" s="20"/>
      <c r="K154" s="20" t="n">
        <v>10000</v>
      </c>
      <c r="L154" s="23" t="s">
        <v>196</v>
      </c>
      <c r="M154" s="26" t="s">
        <v>387</v>
      </c>
      <c r="N154" s="23"/>
      <c r="O154" s="23"/>
      <c r="P154" s="23"/>
      <c r="Q154" s="20" t="n">
        <v>2009</v>
      </c>
      <c r="R154" s="23" t="s">
        <v>229</v>
      </c>
      <c r="S154" s="52"/>
      <c r="T154" s="52"/>
      <c r="U154" s="23"/>
      <c r="V154" s="23"/>
      <c r="W154" s="12" t="s">
        <v>167</v>
      </c>
      <c r="X154" s="24" t="n">
        <f aca="false">0.9*$J154</f>
        <v>0</v>
      </c>
      <c r="Y154" s="24" t="n">
        <f aca="false">1.5*J154</f>
        <v>0</v>
      </c>
      <c r="Z154" s="12" t="s">
        <v>44</v>
      </c>
      <c r="AA154" s="13" t="n">
        <f aca="false">0.9*K154</f>
        <v>9000</v>
      </c>
      <c r="AB154" s="13" t="n">
        <f aca="false">1.3*K154</f>
        <v>13000</v>
      </c>
      <c r="AC154" s="12" t="s">
        <v>44</v>
      </c>
      <c r="AD154" s="13" t="s">
        <v>45</v>
      </c>
      <c r="AE154" s="13" t="s">
        <v>46</v>
      </c>
      <c r="AF154" s="13" t="s">
        <v>47</v>
      </c>
      <c r="AG154" s="12" t="s">
        <v>48</v>
      </c>
    </row>
    <row r="155" customFormat="false" ht="53.25" hidden="false" customHeight="true" outlineLevel="0" collapsed="false">
      <c r="A155" s="6" t="n">
        <v>26</v>
      </c>
      <c r="B155" s="9" t="n">
        <f aca="false">IF(ISNUMBER(A155),
IF(AND(A155=INT(A155), MOD(A155, 10) = 0), 0,
IF(AND(A155=INT(A155), LEN(A155)=2), 1,
IF(AND(A155=INT(A155), LEN(A155)=3), 2,
LEN(A155) - FIND(".", A155) + 2)
)
),
"")</f>
        <v>1</v>
      </c>
      <c r="C155" s="37" t="s">
        <v>389</v>
      </c>
      <c r="D155" s="10" t="str">
        <f aca="false">REPT("   ", B155*2) &amp; C155</f>
        <v>      Miscellaneous Equipment (Cranes)</v>
      </c>
      <c r="E155" s="10" t="s">
        <v>35</v>
      </c>
      <c r="F155" s="10"/>
      <c r="G155" s="10"/>
      <c r="H155" s="10"/>
      <c r="I155" s="10"/>
      <c r="J155" s="42" t="n">
        <v>1000000</v>
      </c>
      <c r="K155" s="20"/>
      <c r="L155" s="23"/>
      <c r="M155" s="26"/>
      <c r="N155" s="23"/>
      <c r="O155" s="23"/>
      <c r="P155" s="23"/>
      <c r="Q155" s="20" t="n">
        <v>2021</v>
      </c>
      <c r="R155" s="23" t="s">
        <v>163</v>
      </c>
      <c r="S155" s="26" t="s">
        <v>390</v>
      </c>
      <c r="T155" s="26" t="s">
        <v>391</v>
      </c>
      <c r="U155" s="23"/>
      <c r="V155" s="23"/>
      <c r="W155" s="12" t="s">
        <v>167</v>
      </c>
      <c r="X155" s="24" t="n">
        <f aca="false">0.9*$J155</f>
        <v>900000</v>
      </c>
      <c r="Y155" s="24" t="n">
        <f aca="false">1.5*J155</f>
        <v>1500000</v>
      </c>
      <c r="Z155" s="12" t="s">
        <v>44</v>
      </c>
      <c r="AA155" s="13" t="n">
        <f aca="false">0.9*K155</f>
        <v>0</v>
      </c>
      <c r="AB155" s="13" t="n">
        <f aca="false">1.3*K155</f>
        <v>0</v>
      </c>
      <c r="AC155" s="12" t="s">
        <v>44</v>
      </c>
      <c r="AD155" s="13" t="s">
        <v>45</v>
      </c>
      <c r="AE155" s="13" t="s">
        <v>46</v>
      </c>
      <c r="AF155" s="13" t="s">
        <v>47</v>
      </c>
      <c r="AG155" s="12" t="s">
        <v>48</v>
      </c>
    </row>
    <row r="156" customFormat="false" ht="26.25" hidden="false" customHeight="true" outlineLevel="0" collapsed="false">
      <c r="A156" s="4" t="n">
        <v>30</v>
      </c>
      <c r="B156" s="9" t="n">
        <f aca="false">IF(ISNUMBER(A156),
    IF(AND(A156=INT(A156), MOD(A156, 10) = 0), 0,
        IF(AND(A156=INT(A156), LEN(A156)=2), 1,
            IF(AND(A156=INT(A156), LEN(A156)=3), 2,
                LEN(A156) - FIND(".", A156) + 2)
        )
    ),
"")</f>
        <v>0</v>
      </c>
      <c r="C156" s="37" t="s">
        <v>392</v>
      </c>
      <c r="D156" s="10" t="str">
        <f aca="false">REPT("   ", B156*2) &amp; C156</f>
        <v>Capitalized Indirect Services Cost</v>
      </c>
      <c r="E156" s="10"/>
      <c r="F156" s="10"/>
      <c r="G156" s="10"/>
      <c r="H156" s="10"/>
      <c r="I156" s="10"/>
      <c r="J156" s="28"/>
      <c r="K156" s="27"/>
      <c r="L156" s="4"/>
      <c r="M156" s="4"/>
      <c r="N156" s="4"/>
      <c r="O156" s="4"/>
      <c r="P156" s="4"/>
      <c r="Q156" s="28"/>
      <c r="R156" s="4"/>
      <c r="S156" s="4"/>
      <c r="T156" s="4"/>
      <c r="U156" s="4"/>
      <c r="V156" s="4"/>
      <c r="W156" s="12"/>
      <c r="X156" s="24"/>
      <c r="Y156" s="24"/>
      <c r="Z156" s="12"/>
      <c r="AA156" s="13"/>
      <c r="AB156" s="13"/>
      <c r="AC156" s="12"/>
      <c r="AD156" s="13"/>
      <c r="AE156" s="13"/>
      <c r="AF156" s="13"/>
      <c r="AG156" s="12"/>
    </row>
    <row r="157" customFormat="false" ht="51.75" hidden="false" customHeight="true" outlineLevel="0" collapsed="false">
      <c r="A157" s="4" t="n">
        <v>31</v>
      </c>
      <c r="B157" s="9" t="n">
        <v>1</v>
      </c>
      <c r="C157" s="37" t="s">
        <v>393</v>
      </c>
      <c r="D157" s="10" t="str">
        <f aca="false">REPT("   ", B157*2) &amp; C157</f>
        <v>      Factory &amp; field indirect costs</v>
      </c>
      <c r="E157" s="10"/>
      <c r="F157" s="10"/>
      <c r="G157" s="10"/>
      <c r="H157" s="10"/>
      <c r="I157" s="10"/>
      <c r="J157" s="28"/>
      <c r="K157" s="62"/>
      <c r="L157" s="23"/>
      <c r="M157" s="26"/>
      <c r="N157" s="4"/>
      <c r="O157" s="4"/>
      <c r="P157" s="4"/>
      <c r="Q157" s="20"/>
      <c r="R157" s="23"/>
      <c r="S157" s="4"/>
      <c r="T157" s="4"/>
      <c r="U157" s="4"/>
      <c r="V157" s="4"/>
      <c r="W157" s="12"/>
      <c r="X157" s="24"/>
      <c r="Y157" s="24"/>
      <c r="Z157" s="12"/>
      <c r="AA157" s="13"/>
      <c r="AB157" s="13"/>
      <c r="AC157" s="12"/>
      <c r="AD157" s="13"/>
      <c r="AE157" s="13"/>
      <c r="AF157" s="13"/>
      <c r="AG157" s="12"/>
    </row>
    <row r="158" customFormat="false" ht="26.25" hidden="false" customHeight="true" outlineLevel="0" collapsed="false">
      <c r="A158" s="4" t="n">
        <v>32</v>
      </c>
      <c r="B158" s="9" t="n">
        <v>1</v>
      </c>
      <c r="C158" s="37" t="s">
        <v>394</v>
      </c>
      <c r="D158" s="10" t="str">
        <f aca="false">REPT("   ", B158*2) &amp; C158</f>
        <v>      Factory and construction supervision</v>
      </c>
      <c r="E158" s="10"/>
      <c r="F158" s="10"/>
      <c r="G158" s="10"/>
      <c r="H158" s="10"/>
      <c r="I158" s="10"/>
      <c r="J158" s="28"/>
      <c r="K158" s="27"/>
      <c r="L158" s="4"/>
      <c r="M158" s="4"/>
      <c r="N158" s="4"/>
      <c r="O158" s="4"/>
      <c r="P158" s="4"/>
      <c r="Q158" s="20"/>
      <c r="R158" s="23"/>
      <c r="S158" s="4"/>
      <c r="T158" s="4"/>
      <c r="U158" s="4"/>
      <c r="V158" s="4"/>
      <c r="W158" s="12"/>
      <c r="X158" s="24"/>
      <c r="Y158" s="24"/>
      <c r="Z158" s="12"/>
      <c r="AA158" s="13"/>
      <c r="AB158" s="13"/>
      <c r="AC158" s="12"/>
      <c r="AD158" s="13"/>
      <c r="AE158" s="13"/>
      <c r="AF158" s="13"/>
      <c r="AG158" s="12"/>
    </row>
    <row r="159" customFormat="false" ht="26.25" hidden="false" customHeight="true" outlineLevel="0" collapsed="false">
      <c r="A159" s="6" t="n">
        <v>33</v>
      </c>
      <c r="B159" s="9" t="n">
        <f aca="false">IF(ISNUMBER(A159),
IF(AND(A159=INT(A159), MOD(A159, 10) = 0), 0,
IF(AND(A159=INT(A159), LEN(A159)=2), 1,
IF(AND(A159=INT(A159), LEN(A159)=3), 2,
LEN(A159) - FIND(".", A159) + 2)
)
),
"")</f>
        <v>1</v>
      </c>
      <c r="C159" s="37" t="s">
        <v>395</v>
      </c>
      <c r="D159" s="10" t="str">
        <f aca="false">REPT("   ", B159*2) &amp; C159</f>
        <v>      Startup Costs</v>
      </c>
      <c r="E159" s="10" t="s">
        <v>35</v>
      </c>
      <c r="F159" s="10"/>
      <c r="G159" s="10"/>
      <c r="H159" s="10"/>
      <c r="I159" s="10"/>
      <c r="J159" s="16" t="n">
        <f aca="false">MARVEL_Cost!C58</f>
        <v>2407166.4</v>
      </c>
      <c r="K159" s="17"/>
      <c r="L159" s="19"/>
      <c r="M159" s="29"/>
      <c r="N159" s="19"/>
      <c r="O159" s="19"/>
      <c r="P159" s="19"/>
      <c r="Q159" s="20" t="n">
        <v>2024</v>
      </c>
      <c r="R159" s="19" t="s">
        <v>73</v>
      </c>
      <c r="S159" s="4" t="s">
        <v>342</v>
      </c>
      <c r="T159" s="19"/>
      <c r="U159" s="19"/>
      <c r="V159" s="19"/>
      <c r="W159" s="12" t="s">
        <v>77</v>
      </c>
      <c r="X159" s="24" t="n">
        <f aca="false">0.9*$J159</f>
        <v>2166449.76</v>
      </c>
      <c r="Y159" s="24" t="n">
        <f aca="false">1.5*J159</f>
        <v>3610749.6</v>
      </c>
      <c r="Z159" s="12" t="s">
        <v>44</v>
      </c>
      <c r="AA159" s="13" t="n">
        <f aca="false">0.9*K159</f>
        <v>0</v>
      </c>
      <c r="AB159" s="13" t="n">
        <f aca="false">1.3*K159</f>
        <v>0</v>
      </c>
      <c r="AC159" s="12" t="s">
        <v>44</v>
      </c>
      <c r="AD159" s="13" t="s">
        <v>45</v>
      </c>
      <c r="AE159" s="13" t="s">
        <v>46</v>
      </c>
      <c r="AF159" s="13" t="s">
        <v>47</v>
      </c>
      <c r="AG159" s="12" t="s">
        <v>48</v>
      </c>
    </row>
    <row r="160" customFormat="false" ht="53.25" hidden="false" customHeight="true" outlineLevel="0" collapsed="false">
      <c r="A160" s="6" t="n">
        <v>34</v>
      </c>
      <c r="B160" s="9" t="n">
        <f aca="false">IF(ISNUMBER(A160),
IF(AND(A160=INT(A160), MOD(A160, 10) = 0), 0,
IF(AND(A160=INT(A160), LEN(A160)=2), 1,
IF(AND(A160=INT(A160), LEN(A160)=3), 2,
LEN(A160) - FIND(".", A160) + 2)
)
),
"")</f>
        <v>1</v>
      </c>
      <c r="C160" s="37" t="s">
        <v>396</v>
      </c>
      <c r="D160" s="10" t="str">
        <f aca="false">REPT("   ", B160*2) &amp; C160</f>
        <v>      Shipping and Transportation Costs</v>
      </c>
      <c r="E160" s="10" t="s">
        <v>35</v>
      </c>
      <c r="F160" s="10"/>
      <c r="G160" s="10"/>
      <c r="H160" s="10"/>
      <c r="I160" s="10"/>
      <c r="J160" s="16" t="n">
        <f aca="false">0.5*MARVEL_Cost!C62</f>
        <v>832641.4</v>
      </c>
      <c r="K160" s="17"/>
      <c r="L160" s="19"/>
      <c r="M160" s="29"/>
      <c r="N160" s="19"/>
      <c r="O160" s="19"/>
      <c r="P160" s="19"/>
      <c r="Q160" s="20" t="n">
        <v>2024</v>
      </c>
      <c r="R160" s="19" t="s">
        <v>73</v>
      </c>
      <c r="S160" s="50"/>
      <c r="T160" s="19"/>
      <c r="U160" s="19"/>
      <c r="V160" s="19"/>
      <c r="W160" s="12" t="s">
        <v>77</v>
      </c>
      <c r="X160" s="24" t="n">
        <f aca="false">0.9*$J160</f>
        <v>749377.26</v>
      </c>
      <c r="Y160" s="24" t="n">
        <f aca="false">1.5*J160</f>
        <v>1248962.1</v>
      </c>
      <c r="Z160" s="12" t="s">
        <v>44</v>
      </c>
      <c r="AA160" s="13" t="n">
        <f aca="false">0.9*K160</f>
        <v>0</v>
      </c>
      <c r="AB160" s="13" t="n">
        <f aca="false">1.3*K160</f>
        <v>0</v>
      </c>
      <c r="AC160" s="12" t="s">
        <v>44</v>
      </c>
      <c r="AD160" s="13" t="s">
        <v>45</v>
      </c>
      <c r="AE160" s="13" t="s">
        <v>46</v>
      </c>
      <c r="AF160" s="13" t="s">
        <v>47</v>
      </c>
      <c r="AG160" s="12" t="s">
        <v>48</v>
      </c>
    </row>
    <row r="161" customFormat="false" ht="26.25" hidden="false" customHeight="true" outlineLevel="0" collapsed="false">
      <c r="A161" s="6" t="n">
        <v>35</v>
      </c>
      <c r="B161" s="9" t="n">
        <f aca="false">IF(ISNUMBER(A161),
IF(AND(A161=INT(A161), MOD(A161, 10) = 0), 0,
IF(AND(A161=INT(A161), LEN(A161)=2), 1,
IF(AND(A161=INT(A161), LEN(A161)=3), 2,
LEN(A161) - FIND(".", A161) + 2)
)
),
"")</f>
        <v>1</v>
      </c>
      <c r="C161" s="37" t="s">
        <v>397</v>
      </c>
      <c r="D161" s="10" t="str">
        <f aca="false">REPT("   ", B161*2) &amp; C161</f>
        <v>      Engineering Services</v>
      </c>
      <c r="E161" s="10" t="s">
        <v>35</v>
      </c>
      <c r="F161" s="10"/>
      <c r="G161" s="10"/>
      <c r="H161" s="10"/>
      <c r="I161" s="10"/>
      <c r="J161" s="16" t="n">
        <f aca="false">MARVEL_Cost!C65</f>
        <v>620313.587737832</v>
      </c>
      <c r="K161" s="42"/>
      <c r="L161" s="23"/>
      <c r="M161" s="26"/>
      <c r="N161" s="23"/>
      <c r="O161" s="23"/>
      <c r="P161" s="23"/>
      <c r="Q161" s="20" t="n">
        <v>2024</v>
      </c>
      <c r="R161" s="23" t="s">
        <v>53</v>
      </c>
      <c r="S161" s="50"/>
      <c r="T161" s="23"/>
      <c r="U161" s="23"/>
      <c r="V161" s="23"/>
      <c r="W161" s="12" t="s">
        <v>77</v>
      </c>
      <c r="X161" s="24" t="n">
        <f aca="false">0.9*$J161</f>
        <v>558282.228964048</v>
      </c>
      <c r="Y161" s="24" t="n">
        <f aca="false">1.5*J161</f>
        <v>930470.381606747</v>
      </c>
      <c r="Z161" s="12" t="s">
        <v>44</v>
      </c>
      <c r="AA161" s="13" t="n">
        <f aca="false">0.9*K161</f>
        <v>0</v>
      </c>
      <c r="AB161" s="13" t="n">
        <f aca="false">1.3*K161</f>
        <v>0</v>
      </c>
      <c r="AC161" s="12" t="s">
        <v>44</v>
      </c>
      <c r="AD161" s="13" t="s">
        <v>45</v>
      </c>
      <c r="AE161" s="13" t="s">
        <v>46</v>
      </c>
      <c r="AF161" s="13" t="s">
        <v>47</v>
      </c>
      <c r="AG161" s="12" t="s">
        <v>48</v>
      </c>
    </row>
    <row r="162" customFormat="false" ht="26.25" hidden="false" customHeight="true" outlineLevel="0" collapsed="false">
      <c r="A162" s="6" t="n">
        <v>36</v>
      </c>
      <c r="B162" s="9" t="n">
        <f aca="false">IF(ISNUMBER(A162),
IF(AND(A162=INT(A162), MOD(A162, 10) = 0), 0,
IF(AND(A162=INT(A162), LEN(A162)=2), 1,
IF(AND(A162=INT(A162), LEN(A162)=3), 2,
LEN(A162) - FIND(".", A162) + 2)
)
),
"")</f>
        <v>1</v>
      </c>
      <c r="C162" s="37" t="s">
        <v>398</v>
      </c>
      <c r="D162" s="10" t="str">
        <f aca="false">REPT("   ", B162*2) &amp; C162</f>
        <v>      PM/CM Services</v>
      </c>
      <c r="E162" s="10" t="s">
        <v>35</v>
      </c>
      <c r="F162" s="10"/>
      <c r="G162" s="10"/>
      <c r="H162" s="10"/>
      <c r="I162" s="10"/>
      <c r="J162" s="16" t="n">
        <f aca="false">MARVEL_Cost!C68</f>
        <v>416958.936</v>
      </c>
      <c r="K162" s="42"/>
      <c r="L162" s="23"/>
      <c r="M162" s="26"/>
      <c r="N162" s="23"/>
      <c r="O162" s="23"/>
      <c r="P162" s="23"/>
      <c r="Q162" s="20" t="n">
        <v>2024</v>
      </c>
      <c r="R162" s="23" t="s">
        <v>53</v>
      </c>
      <c r="S162" s="52"/>
      <c r="T162" s="23"/>
      <c r="U162" s="23"/>
      <c r="V162" s="23"/>
      <c r="W162" s="12" t="s">
        <v>77</v>
      </c>
      <c r="X162" s="24" t="n">
        <f aca="false">0.9*$J162</f>
        <v>375263.0424</v>
      </c>
      <c r="Y162" s="24" t="n">
        <f aca="false">1.5*J162</f>
        <v>625438.404</v>
      </c>
      <c r="Z162" s="12" t="s">
        <v>44</v>
      </c>
      <c r="AA162" s="13" t="n">
        <f aca="false">0.9*K162</f>
        <v>0</v>
      </c>
      <c r="AB162" s="13" t="n">
        <f aca="false">1.3*K162</f>
        <v>0</v>
      </c>
      <c r="AC162" s="12" t="s">
        <v>44</v>
      </c>
      <c r="AD162" s="13" t="s">
        <v>45</v>
      </c>
      <c r="AE162" s="13" t="s">
        <v>46</v>
      </c>
      <c r="AF162" s="13" t="s">
        <v>47</v>
      </c>
      <c r="AG162" s="12" t="s">
        <v>48</v>
      </c>
    </row>
    <row r="163" customFormat="false" ht="26.25" hidden="false" customHeight="true" outlineLevel="0" collapsed="false">
      <c r="A163" s="6" t="n">
        <v>40</v>
      </c>
      <c r="B163" s="9" t="n">
        <f aca="false">IF(ISNUMBER(A163),
IF(AND(A163=INT(A163), MOD(A163, 10) = 0), 0,
IF(AND(A163=INT(A163), LEN(A163)=2), 1,
IF(AND(A163=INT(A163), LEN(A163)=3), 2,
LEN(A163) - FIND(".", A163) + 2)
)
),
"")</f>
        <v>0</v>
      </c>
      <c r="C163" s="37" t="s">
        <v>399</v>
      </c>
      <c r="D163" s="10" t="str">
        <f aca="false">REPT("   ", B163*2) &amp; C163</f>
        <v>Capitalized training costs</v>
      </c>
      <c r="E163" s="10"/>
      <c r="F163" s="10"/>
      <c r="G163" s="10"/>
      <c r="H163" s="10"/>
      <c r="I163" s="10"/>
      <c r="J163" s="16"/>
      <c r="K163" s="42"/>
      <c r="L163" s="23"/>
      <c r="M163" s="26"/>
      <c r="N163" s="23"/>
      <c r="O163" s="23"/>
      <c r="P163" s="23"/>
      <c r="Q163" s="20"/>
      <c r="R163" s="23"/>
      <c r="S163" s="4"/>
      <c r="T163" s="23"/>
      <c r="U163" s="23"/>
      <c r="V163" s="23"/>
      <c r="W163" s="12"/>
      <c r="X163" s="24"/>
      <c r="Y163" s="24"/>
      <c r="Z163" s="12"/>
      <c r="AA163" s="13"/>
      <c r="AB163" s="13"/>
      <c r="AC163" s="12"/>
      <c r="AD163" s="13"/>
      <c r="AE163" s="13"/>
      <c r="AF163" s="13"/>
      <c r="AG163" s="12"/>
    </row>
    <row r="164" customFormat="false" ht="26.25" hidden="false" customHeight="true" outlineLevel="0" collapsed="false">
      <c r="A164" s="6" t="n">
        <v>41</v>
      </c>
      <c r="B164" s="9" t="n">
        <f aca="false">IF(ISNUMBER(A164),
IF(AND(A164=INT(A164), MOD(A164, 10) = 0), 0,
IF(AND(A164=INT(A164), LEN(A164)=2), 1,
IF(AND(A164=INT(A164), LEN(A164)=3), 2,
LEN(A164) - FIND(".", A164) + 2)
)
),
"")</f>
        <v>1</v>
      </c>
      <c r="C164" s="37" t="s">
        <v>400</v>
      </c>
      <c r="D164" s="10" t="str">
        <f aca="false">REPT("   ", B164*2) &amp; C164</f>
        <v>      staff recruitment and training</v>
      </c>
      <c r="E164" s="10" t="s">
        <v>35</v>
      </c>
      <c r="F164" s="10"/>
      <c r="G164" s="10"/>
      <c r="H164" s="10"/>
      <c r="I164" s="10"/>
      <c r="J164" s="16" t="n">
        <v>300000</v>
      </c>
      <c r="K164" s="42"/>
      <c r="L164" s="23"/>
      <c r="M164" s="26"/>
      <c r="N164" s="23"/>
      <c r="O164" s="23"/>
      <c r="P164" s="23"/>
      <c r="Q164" s="20" t="n">
        <v>2024</v>
      </c>
      <c r="R164" s="23" t="s">
        <v>53</v>
      </c>
      <c r="S164" s="15"/>
      <c r="T164" s="23" t="s">
        <v>401</v>
      </c>
      <c r="U164" s="23" t="s">
        <v>402</v>
      </c>
      <c r="V164" s="23"/>
      <c r="W164" s="12" t="s">
        <v>43</v>
      </c>
      <c r="X164" s="24" t="n">
        <f aca="false">0.9*$J164</f>
        <v>270000</v>
      </c>
      <c r="Y164" s="24" t="n">
        <f aca="false">1.5*J164</f>
        <v>450000</v>
      </c>
      <c r="Z164" s="12" t="s">
        <v>44</v>
      </c>
      <c r="AA164" s="13" t="n">
        <f aca="false">0.9*K164</f>
        <v>0</v>
      </c>
      <c r="AB164" s="13" t="n">
        <f aca="false">1.3*K164</f>
        <v>0</v>
      </c>
      <c r="AC164" s="12" t="s">
        <v>44</v>
      </c>
      <c r="AD164" s="13" t="s">
        <v>45</v>
      </c>
      <c r="AE164" s="13" t="s">
        <v>46</v>
      </c>
      <c r="AF164" s="13" t="s">
        <v>47</v>
      </c>
      <c r="AG164" s="12" t="s">
        <v>48</v>
      </c>
    </row>
    <row r="165" customFormat="false" ht="26.25" hidden="false" customHeight="true" outlineLevel="0" collapsed="false">
      <c r="A165" s="4" t="n">
        <v>60</v>
      </c>
      <c r="B165" s="9" t="n">
        <f aca="false">IF(ISNUMBER(A165),
IF(AND(A165=INT(A165), MOD(A165, 10) = 0), 0,
IF(AND(A165=INT(A165), LEN(A165)=2), 1,
IF(AND(A165=INT(A165), LEN(A165)=3), 2,
LEN(A165) - FIND(".", A165) + 2)
)
),
"")</f>
        <v>0</v>
      </c>
      <c r="C165" s="37" t="s">
        <v>403</v>
      </c>
      <c r="D165" s="10" t="str">
        <f aca="false">REPT("   ", B165*2) &amp; C165</f>
        <v>Capitalized Financial Costs </v>
      </c>
      <c r="E165" s="10"/>
      <c r="F165" s="10"/>
      <c r="G165" s="10"/>
      <c r="H165" s="10"/>
      <c r="I165" s="10"/>
      <c r="J165" s="28"/>
      <c r="K165" s="27"/>
      <c r="L165" s="4"/>
      <c r="M165" s="4"/>
      <c r="N165" s="4"/>
      <c r="O165" s="4"/>
      <c r="P165" s="4"/>
      <c r="Q165" s="28"/>
      <c r="R165" s="4"/>
      <c r="S165" s="4"/>
      <c r="T165" s="4"/>
      <c r="U165" s="4"/>
      <c r="V165" s="4"/>
      <c r="W165" s="12"/>
      <c r="X165" s="24"/>
      <c r="Y165" s="24"/>
      <c r="Z165" s="12"/>
      <c r="AA165" s="13"/>
      <c r="AB165" s="13"/>
      <c r="AC165" s="12"/>
      <c r="AD165" s="13"/>
      <c r="AE165" s="13"/>
      <c r="AF165" s="13"/>
      <c r="AG165" s="12"/>
    </row>
    <row r="166" customFormat="false" ht="26.25" hidden="false" customHeight="true" outlineLevel="0" collapsed="false">
      <c r="A166" s="6" t="n">
        <v>62</v>
      </c>
      <c r="B166" s="9" t="n">
        <f aca="false">IF(ISNUMBER(A166),
IF(AND(A166=INT(A166), MOD(A166, 10) = 0), 0,
IF(AND(A166=INT(A166), LEN(A166)=2), 1,
IF(AND(A166=INT(A166), LEN(A166)=3), 2,
LEN(A166) - FIND(".", A166) + 2)
)
),
"")</f>
        <v>1</v>
      </c>
      <c r="C166" s="37" t="s">
        <v>404</v>
      </c>
      <c r="D166" s="10" t="str">
        <f aca="false">REPT("   ", B166*2) &amp; C166</f>
        <v>      Interest</v>
      </c>
      <c r="E166" s="10"/>
      <c r="F166" s="10"/>
      <c r="G166" s="10"/>
      <c r="H166" s="10"/>
      <c r="I166" s="10"/>
      <c r="J166" s="16"/>
      <c r="K166" s="42"/>
      <c r="L166" s="23"/>
      <c r="M166" s="26"/>
      <c r="N166" s="23"/>
      <c r="O166" s="23"/>
      <c r="P166" s="23"/>
      <c r="Q166" s="20"/>
      <c r="R166" s="23"/>
      <c r="S166" s="26"/>
      <c r="T166" s="23"/>
      <c r="U166" s="23"/>
      <c r="V166" s="23"/>
      <c r="W166" s="12"/>
      <c r="X166" s="24"/>
      <c r="Y166" s="24"/>
      <c r="Z166" s="12"/>
      <c r="AA166" s="13"/>
      <c r="AB166" s="13"/>
      <c r="AC166" s="12"/>
      <c r="AD166" s="13"/>
      <c r="AE166" s="13"/>
      <c r="AF166" s="13"/>
      <c r="AG166" s="12"/>
    </row>
    <row r="167" customFormat="false" ht="26.25" hidden="false" customHeight="true" outlineLevel="0" collapsed="false">
      <c r="A167" s="6" t="n">
        <v>70</v>
      </c>
      <c r="B167" s="9" t="n">
        <f aca="false">IF(ISNUMBER(A167),
IF(AND(A167=INT(A167), MOD(A167, 10) = 0), 0,
IF(AND(A167=INT(A167), LEN(A167)=2), 1,
IF(AND(A167=INT(A167), LEN(A167)=3), 2,
LEN(A167) - FIND(".", A167) + 2)
)
),
"")</f>
        <v>0</v>
      </c>
      <c r="C167" s="63" t="s">
        <v>405</v>
      </c>
      <c r="D167" s="10" t="str">
        <f aca="false">REPT("   ", B167*2) &amp; C167</f>
        <v>Annualized O&amp;M Cost </v>
      </c>
      <c r="E167" s="10"/>
      <c r="F167" s="10"/>
      <c r="G167" s="10"/>
      <c r="H167" s="10"/>
      <c r="I167" s="10"/>
      <c r="J167" s="11"/>
      <c r="K167" s="11"/>
      <c r="L167" s="9"/>
      <c r="M167" s="5"/>
      <c r="N167" s="9"/>
      <c r="O167" s="9"/>
      <c r="P167" s="9"/>
      <c r="Q167" s="11"/>
      <c r="R167" s="9"/>
      <c r="S167" s="5"/>
      <c r="T167" s="9"/>
      <c r="U167" s="9"/>
      <c r="V167" s="9"/>
      <c r="W167" s="12"/>
      <c r="X167" s="24"/>
      <c r="Y167" s="24"/>
      <c r="Z167" s="12"/>
      <c r="AA167" s="13"/>
      <c r="AB167" s="13"/>
      <c r="AC167" s="12"/>
      <c r="AD167" s="13"/>
      <c r="AE167" s="13"/>
      <c r="AF167" s="13"/>
      <c r="AG167" s="12"/>
    </row>
    <row r="168" customFormat="false" ht="26.25" hidden="false" customHeight="true" outlineLevel="0" collapsed="false">
      <c r="A168" s="6" t="n">
        <v>71</v>
      </c>
      <c r="B168" s="9" t="n">
        <f aca="false">IF(ISNUMBER(A168),
IF(AND(A168=INT(A168), MOD(A168, 10) = 0), 0,
IF(AND(A168=INT(A168), LEN(A168)=2), 1,
IF(AND(A168=INT(A168), LEN(A168)=3), 2,
LEN(A168) - FIND(".", A168) + 2)
)
),
"")</f>
        <v>1</v>
      </c>
      <c r="C168" s="37" t="s">
        <v>406</v>
      </c>
      <c r="D168" s="10" t="str">
        <f aca="false">REPT("   ", B168*2) &amp; C168</f>
        <v>      O&amp;M Staff</v>
      </c>
      <c r="E168" s="10"/>
      <c r="F168" s="10"/>
      <c r="G168" s="10"/>
      <c r="H168" s="10"/>
      <c r="I168" s="10"/>
      <c r="J168" s="16"/>
      <c r="K168" s="42"/>
      <c r="L168" s="23"/>
      <c r="M168" s="26"/>
      <c r="N168" s="23"/>
      <c r="O168" s="23"/>
      <c r="P168" s="23"/>
      <c r="Q168" s="20"/>
      <c r="R168" s="23"/>
      <c r="S168" s="26"/>
      <c r="T168" s="23"/>
      <c r="U168" s="23"/>
      <c r="V168" s="23"/>
      <c r="W168" s="12"/>
      <c r="X168" s="24"/>
      <c r="Y168" s="24"/>
      <c r="Z168" s="12"/>
      <c r="AA168" s="13"/>
      <c r="AB168" s="13"/>
      <c r="AC168" s="12"/>
      <c r="AD168" s="13"/>
      <c r="AE168" s="13"/>
      <c r="AF168" s="13"/>
      <c r="AG168" s="12"/>
    </row>
    <row r="169" customFormat="false" ht="126" hidden="false" customHeight="true" outlineLevel="0" collapsed="false">
      <c r="A169" s="30" t="n">
        <v>711</v>
      </c>
      <c r="B169" s="9" t="n">
        <f aca="false">IF(ISNUMBER(A169),
IF(AND(A169=INT(A169), MOD(A169, 10) = 0), 0,
IF(AND(A169=INT(A169), LEN(A169)=2), 1,
IF(AND(A169=INT(A169), LEN(A169)=3), 2,
LEN(A169) - FIND(".", A169) + 2)
)
),
"")</f>
        <v>2</v>
      </c>
      <c r="C169" s="37" t="s">
        <v>407</v>
      </c>
      <c r="D169" s="10" t="str">
        <f aca="false">REPT("   ", B169*2) &amp; C169</f>
        <v>            Operators </v>
      </c>
      <c r="E169" s="10" t="s">
        <v>290</v>
      </c>
      <c r="F169" s="10"/>
      <c r="G169" s="10"/>
      <c r="H169" s="10"/>
      <c r="I169" s="10"/>
      <c r="J169" s="16"/>
      <c r="K169" s="42" t="n">
        <v>178500</v>
      </c>
      <c r="L169" s="23" t="s">
        <v>408</v>
      </c>
      <c r="M169" s="26" t="s">
        <v>409</v>
      </c>
      <c r="N169" s="23"/>
      <c r="O169" s="23"/>
      <c r="P169" s="23" t="n">
        <v>1</v>
      </c>
      <c r="Q169" s="20" t="n">
        <v>2024</v>
      </c>
      <c r="R169" s="23" t="s">
        <v>53</v>
      </c>
      <c r="S169" s="26"/>
      <c r="T169" s="26" t="s">
        <v>410</v>
      </c>
      <c r="U169" s="23"/>
      <c r="V169" s="23"/>
      <c r="W169" s="12" t="s">
        <v>43</v>
      </c>
      <c r="X169" s="24" t="n">
        <f aca="false">0.9*$J169</f>
        <v>0</v>
      </c>
      <c r="Y169" s="24" t="n">
        <f aca="false">1.5*J169</f>
        <v>0</v>
      </c>
      <c r="Z169" s="12" t="s">
        <v>44</v>
      </c>
      <c r="AA169" s="13" t="n">
        <f aca="false">0.9*K169</f>
        <v>160650</v>
      </c>
      <c r="AB169" s="13" t="n">
        <f aca="false">1.3*K169</f>
        <v>232050</v>
      </c>
      <c r="AC169" s="12" t="s">
        <v>44</v>
      </c>
      <c r="AD169" s="13" t="s">
        <v>45</v>
      </c>
      <c r="AE169" s="13" t="s">
        <v>46</v>
      </c>
      <c r="AF169" s="13" t="s">
        <v>47</v>
      </c>
      <c r="AG169" s="12" t="s">
        <v>48</v>
      </c>
    </row>
    <row r="170" customFormat="false" ht="53.25" hidden="false" customHeight="true" outlineLevel="0" collapsed="false">
      <c r="A170" s="30" t="n">
        <v>712</v>
      </c>
      <c r="B170" s="9" t="n">
        <f aca="false">IF(ISNUMBER(A170),
IF(AND(A170=INT(A170), MOD(A170, 10) = 0), 0,
IF(AND(A170=INT(A170), LEN(A170)=2), 1,
IF(AND(A170=INT(A170), LEN(A170)=3), 2,
LEN(A170) - FIND(".", A170) + 2)
)
),
"")</f>
        <v>2</v>
      </c>
      <c r="C170" s="37" t="s">
        <v>411</v>
      </c>
      <c r="D170" s="10" t="str">
        <f aca="false">REPT("   ", B170*2) &amp; C170</f>
        <v>            Remote Monitoring Technicians </v>
      </c>
      <c r="E170" s="10" t="s">
        <v>290</v>
      </c>
      <c r="F170" s="10" t="s">
        <v>412</v>
      </c>
      <c r="G170" s="10" t="s">
        <v>413</v>
      </c>
      <c r="H170" s="10"/>
      <c r="I170" s="10"/>
      <c r="J170" s="16"/>
      <c r="K170" s="42" t="n">
        <v>178500</v>
      </c>
      <c r="L170" s="23" t="s">
        <v>408</v>
      </c>
      <c r="M170" s="26" t="s">
        <v>414</v>
      </c>
      <c r="N170" s="23"/>
      <c r="O170" s="23"/>
      <c r="P170" s="23" t="n">
        <v>1</v>
      </c>
      <c r="Q170" s="20" t="n">
        <v>2024</v>
      </c>
      <c r="R170" s="23" t="s">
        <v>53</v>
      </c>
      <c r="S170" s="26"/>
      <c r="T170" s="26" t="s">
        <v>410</v>
      </c>
      <c r="U170" s="23"/>
      <c r="V170" s="23"/>
      <c r="W170" s="12" t="s">
        <v>43</v>
      </c>
      <c r="X170" s="24" t="n">
        <f aca="false">0.9*$J170</f>
        <v>0</v>
      </c>
      <c r="Y170" s="24" t="n">
        <f aca="false">1.5*J170</f>
        <v>0</v>
      </c>
      <c r="Z170" s="12" t="s">
        <v>44</v>
      </c>
      <c r="AA170" s="13" t="n">
        <f aca="false">0.9*K170</f>
        <v>160650</v>
      </c>
      <c r="AB170" s="13" t="n">
        <f aca="false">1.3*K170</f>
        <v>232050</v>
      </c>
      <c r="AC170" s="12" t="s">
        <v>44</v>
      </c>
      <c r="AD170" s="13" t="s">
        <v>45</v>
      </c>
      <c r="AE170" s="13" t="s">
        <v>46</v>
      </c>
      <c r="AF170" s="13" t="s">
        <v>47</v>
      </c>
      <c r="AG170" s="12" t="s">
        <v>48</v>
      </c>
    </row>
    <row r="171" customFormat="false" ht="150.75" hidden="false" customHeight="true" outlineLevel="0" collapsed="false">
      <c r="A171" s="30" t="n">
        <v>713</v>
      </c>
      <c r="B171" s="9" t="n">
        <f aca="false">IF(ISNUMBER(A171),
IF(AND(A171=INT(A171), MOD(A171, 10) = 0), 0,
IF(AND(A171=INT(A171), LEN(A171)=2), 1,
IF(AND(A171=INT(A171), LEN(A171)=3), 2,
LEN(A171) - FIND(".", A171) + 2)
)
),
"")</f>
        <v>2</v>
      </c>
      <c r="C171" s="37" t="s">
        <v>415</v>
      </c>
      <c r="D171" s="10" t="str">
        <f aca="false">REPT("   ", B171*2) &amp; C171</f>
        <v>            Security Staff </v>
      </c>
      <c r="E171" s="10" t="s">
        <v>290</v>
      </c>
      <c r="F171" s="10"/>
      <c r="G171" s="10"/>
      <c r="H171" s="10"/>
      <c r="I171" s="10"/>
      <c r="J171" s="16"/>
      <c r="K171" s="42" t="n">
        <v>178500</v>
      </c>
      <c r="L171" s="23" t="s">
        <v>408</v>
      </c>
      <c r="M171" s="26" t="s">
        <v>416</v>
      </c>
      <c r="N171" s="23"/>
      <c r="O171" s="23"/>
      <c r="P171" s="23" t="n">
        <v>1</v>
      </c>
      <c r="Q171" s="20" t="n">
        <v>2024</v>
      </c>
      <c r="R171" s="23" t="s">
        <v>53</v>
      </c>
      <c r="S171" s="26"/>
      <c r="T171" s="26" t="s">
        <v>410</v>
      </c>
      <c r="U171" s="23"/>
      <c r="V171" s="23"/>
      <c r="W171" s="12" t="s">
        <v>43</v>
      </c>
      <c r="X171" s="24" t="n">
        <f aca="false">0.9*$J171</f>
        <v>0</v>
      </c>
      <c r="Y171" s="24" t="n">
        <f aca="false">1.5*J171</f>
        <v>0</v>
      </c>
      <c r="Z171" s="12" t="s">
        <v>44</v>
      </c>
      <c r="AA171" s="13" t="n">
        <f aca="false">0.9*K171</f>
        <v>160650</v>
      </c>
      <c r="AB171" s="13" t="n">
        <f aca="false">1.3*K171</f>
        <v>232050</v>
      </c>
      <c r="AC171" s="12" t="s">
        <v>44</v>
      </c>
      <c r="AD171" s="13" t="s">
        <v>45</v>
      </c>
      <c r="AE171" s="13" t="s">
        <v>46</v>
      </c>
      <c r="AF171" s="13" t="s">
        <v>47</v>
      </c>
      <c r="AG171" s="12" t="s">
        <v>48</v>
      </c>
    </row>
    <row r="172" customFormat="false" ht="26.25" hidden="false" customHeight="true" outlineLevel="0" collapsed="false">
      <c r="A172" s="6" t="n">
        <v>72</v>
      </c>
      <c r="B172" s="9" t="n">
        <f aca="false">IF(ISNUMBER(A172),
IF(AND(A172=INT(A172), MOD(A172, 10) = 0), 0,
IF(AND(A172=INT(A172), LEN(A172)=2), 1,
IF(AND(A172=INT(A172), LEN(A172)=3), 2,
LEN(A172) - FIND(".", A172) + 2)
)
),
"")</f>
        <v>1</v>
      </c>
      <c r="C172" s="37" t="s">
        <v>417</v>
      </c>
      <c r="D172" s="10" t="str">
        <f aca="false">REPT("   ", B172*2) &amp; C172</f>
        <v>      Variable Non-Fuel Costs</v>
      </c>
      <c r="E172" s="10"/>
      <c r="F172" s="10"/>
      <c r="G172" s="10"/>
      <c r="H172" s="10"/>
      <c r="I172" s="10"/>
      <c r="J172" s="16"/>
      <c r="K172" s="42"/>
      <c r="L172" s="23"/>
      <c r="M172" s="26"/>
      <c r="N172" s="23"/>
      <c r="O172" s="23"/>
      <c r="P172" s="23"/>
      <c r="Q172" s="20"/>
      <c r="R172" s="23"/>
      <c r="S172" s="26"/>
      <c r="T172" s="26"/>
      <c r="U172" s="23"/>
      <c r="V172" s="23"/>
      <c r="W172" s="12"/>
      <c r="X172" s="24"/>
      <c r="Y172" s="24"/>
      <c r="Z172" s="12"/>
      <c r="AA172" s="13"/>
      <c r="AB172" s="13"/>
      <c r="AC172" s="12"/>
      <c r="AD172" s="13"/>
      <c r="AE172" s="13"/>
      <c r="AF172" s="13"/>
      <c r="AG172" s="12"/>
    </row>
    <row r="173" customFormat="false" ht="101.25" hidden="false" customHeight="true" outlineLevel="0" collapsed="false">
      <c r="A173" s="6" t="n">
        <v>721</v>
      </c>
      <c r="B173" s="9" t="n">
        <f aca="false">IF(ISNUMBER(A173),
IF(AND(A173=INT(A173), MOD(A173, 10) = 0), 0,
IF(AND(A173=INT(A173), LEN(A173)=2), 1,
IF(AND(A173=INT(A173), LEN(A173)=3), 2,
LEN(A173) - FIND(".", A173) + 2)
)
),
"")</f>
        <v>2</v>
      </c>
      <c r="C173" s="37" t="s">
        <v>324</v>
      </c>
      <c r="D173" s="10" t="str">
        <f aca="false">REPT("   ", B173*2) &amp; C173</f>
        <v>            Coolant</v>
      </c>
      <c r="E173" s="10" t="s">
        <v>290</v>
      </c>
      <c r="F173" s="10" t="s">
        <v>324</v>
      </c>
      <c r="G173" s="10" t="s">
        <v>325</v>
      </c>
      <c r="H173" s="10"/>
      <c r="I173" s="10"/>
      <c r="J173" s="16"/>
      <c r="K173" s="42" t="n">
        <v>170</v>
      </c>
      <c r="L173" s="23" t="s">
        <v>196</v>
      </c>
      <c r="M173" s="26" t="s">
        <v>418</v>
      </c>
      <c r="N173" s="23"/>
      <c r="O173" s="23" t="s">
        <v>198</v>
      </c>
      <c r="P173" s="23"/>
      <c r="Q173" s="20" t="n">
        <v>2024</v>
      </c>
      <c r="R173" s="23" t="s">
        <v>229</v>
      </c>
      <c r="S173" s="26" t="s">
        <v>327</v>
      </c>
      <c r="T173" s="44" t="s">
        <v>327</v>
      </c>
      <c r="U173" s="58" t="s">
        <v>328</v>
      </c>
      <c r="V173" s="23" t="s">
        <v>329</v>
      </c>
      <c r="W173" s="12" t="s">
        <v>43</v>
      </c>
      <c r="X173" s="24" t="n">
        <f aca="false">0.9*$J173</f>
        <v>0</v>
      </c>
      <c r="Y173" s="24" t="n">
        <f aca="false">1.5*J173</f>
        <v>0</v>
      </c>
      <c r="Z173" s="12" t="s">
        <v>44</v>
      </c>
      <c r="AA173" s="13" t="n">
        <f aca="false">0.9*K173</f>
        <v>153</v>
      </c>
      <c r="AB173" s="13" t="n">
        <f aca="false">1.3*K173</f>
        <v>221</v>
      </c>
      <c r="AC173" s="12" t="s">
        <v>44</v>
      </c>
      <c r="AD173" s="13" t="s">
        <v>45</v>
      </c>
      <c r="AE173" s="13" t="s">
        <v>46</v>
      </c>
      <c r="AF173" s="13" t="s">
        <v>47</v>
      </c>
      <c r="AG173" s="12" t="s">
        <v>48</v>
      </c>
    </row>
    <row r="174" customFormat="false" ht="51.75" hidden="false" customHeight="true" outlineLevel="0" collapsed="false">
      <c r="A174" s="6" t="n">
        <v>721</v>
      </c>
      <c r="B174" s="9" t="n">
        <f aca="false">IF(ISNUMBER(A174),
    IF(AND(A174=INT(A174), MOD(A174, 10) = 0), 0,
        IF(AND(A174=INT(A174), LEN(A174)=2), 1,
            IF(AND(A174=INT(A174), LEN(A174)=3), 2,
                LEN(A174) - FIND(".", A174) + 2)
        )
    ),
"")</f>
        <v>2</v>
      </c>
      <c r="C174" s="37" t="s">
        <v>324</v>
      </c>
      <c r="D174" s="10" t="str">
        <f aca="false">REPT("   ", B174*2) &amp; C174</f>
        <v>            Coolant</v>
      </c>
      <c r="E174" s="10" t="s">
        <v>290</v>
      </c>
      <c r="F174" s="10" t="s">
        <v>324</v>
      </c>
      <c r="G174" s="10" t="s">
        <v>330</v>
      </c>
      <c r="H174" s="10"/>
      <c r="I174" s="10"/>
      <c r="J174" s="16"/>
      <c r="K174" s="42" t="n">
        <v>118</v>
      </c>
      <c r="L174" s="23" t="s">
        <v>196</v>
      </c>
      <c r="M174" s="26" t="s">
        <v>418</v>
      </c>
      <c r="N174" s="23"/>
      <c r="O174" s="23" t="s">
        <v>198</v>
      </c>
      <c r="P174" s="23"/>
      <c r="Q174" s="20" t="n">
        <v>2023</v>
      </c>
      <c r="R174" s="23" t="s">
        <v>229</v>
      </c>
      <c r="S174" s="60" t="s">
        <v>419</v>
      </c>
      <c r="T174" s="64"/>
      <c r="U174" s="58"/>
      <c r="V174" s="65" t="s">
        <v>420</v>
      </c>
      <c r="W174" s="12" t="s">
        <v>43</v>
      </c>
      <c r="X174" s="24" t="n">
        <f aca="false">0.9*$J174</f>
        <v>0</v>
      </c>
      <c r="Y174" s="24" t="n">
        <f aca="false">1.5*J174</f>
        <v>0</v>
      </c>
      <c r="Z174" s="12" t="s">
        <v>44</v>
      </c>
      <c r="AA174" s="13" t="n">
        <f aca="false">0.9*K174</f>
        <v>106.2</v>
      </c>
      <c r="AB174" s="13" t="n">
        <f aca="false">1.3*K174</f>
        <v>153.4</v>
      </c>
      <c r="AC174" s="12" t="s">
        <v>44</v>
      </c>
      <c r="AD174" s="13" t="s">
        <v>45</v>
      </c>
      <c r="AE174" s="13" t="s">
        <v>46</v>
      </c>
      <c r="AF174" s="13" t="s">
        <v>47</v>
      </c>
      <c r="AG174" s="12" t="s">
        <v>48</v>
      </c>
    </row>
    <row r="175" customFormat="false" ht="275.25" hidden="false" customHeight="true" outlineLevel="0" collapsed="false">
      <c r="A175" s="6" t="n">
        <v>73</v>
      </c>
      <c r="B175" s="9" t="n">
        <f aca="false">IF(ISNUMBER(A175),
IF(AND(A175=INT(A175), MOD(A175, 10) = 0), 0,
IF(AND(A175=INT(A175), LEN(A175)=2), 1,
IF(AND(A175=INT(A175), LEN(A175)=3), 2,
LEN(A175) - FIND(".", A175) + 2)
)
),
"")</f>
        <v>1</v>
      </c>
      <c r="C175" s="37" t="s">
        <v>421</v>
      </c>
      <c r="D175" s="10" t="str">
        <f aca="false">REPT("   ", B175*2) &amp; C175</f>
        <v>      Regulatory Costs</v>
      </c>
      <c r="E175" s="10" t="s">
        <v>35</v>
      </c>
      <c r="F175" s="10"/>
      <c r="G175" s="10"/>
      <c r="H175" s="10"/>
      <c r="I175" s="10"/>
      <c r="J175" s="16" t="n">
        <f aca="false">(2/100)*5359000</f>
        <v>107180</v>
      </c>
      <c r="K175" s="42"/>
      <c r="L175" s="23"/>
      <c r="M175" s="26"/>
      <c r="N175" s="23"/>
      <c r="O175" s="23"/>
      <c r="P175" s="23"/>
      <c r="Q175" s="20" t="n">
        <v>2024</v>
      </c>
      <c r="R175" s="23" t="s">
        <v>53</v>
      </c>
      <c r="S175" s="60" t="s">
        <v>422</v>
      </c>
      <c r="T175" s="64" t="s">
        <v>423</v>
      </c>
      <c r="U175" s="58" t="s">
        <v>423</v>
      </c>
      <c r="V175" s="65"/>
      <c r="W175" s="1" t="s">
        <v>59</v>
      </c>
      <c r="X175" s="24" t="n">
        <f aca="false">0.9*$J175</f>
        <v>96462</v>
      </c>
      <c r="Y175" s="24" t="n">
        <f aca="false">1.5*J175</f>
        <v>160770</v>
      </c>
      <c r="Z175" s="12" t="s">
        <v>44</v>
      </c>
      <c r="AA175" s="13"/>
      <c r="AB175" s="13"/>
      <c r="AC175" s="12"/>
      <c r="AD175" s="13"/>
      <c r="AE175" s="13"/>
      <c r="AF175" s="13"/>
      <c r="AG175" s="12"/>
    </row>
    <row r="176" customFormat="false" ht="225.75" hidden="false" customHeight="true" outlineLevel="0" collapsed="false">
      <c r="A176" s="6" t="n">
        <v>75</v>
      </c>
      <c r="B176" s="9" t="n">
        <f aca="false">IF(ISNUMBER(A176),
IF(AND(A176=INT(A176), MOD(A176, 10) = 0), 0,
IF(AND(A176=INT(A176), LEN(A176)=2), 1,
IF(AND(A176=INT(A176), LEN(A176)=3), 2,
LEN(A176) - FIND(".", A176) + 2)
)
),
"")</f>
        <v>1</v>
      </c>
      <c r="C176" s="37" t="s">
        <v>424</v>
      </c>
      <c r="D176" s="10" t="str">
        <f aca="false">REPT("   ", B176*2) &amp; C176</f>
        <v>      Capital Plant Expenditures</v>
      </c>
      <c r="E176" s="10"/>
      <c r="F176" s="10"/>
      <c r="G176" s="10"/>
      <c r="H176" s="10"/>
      <c r="I176" s="10"/>
      <c r="J176" s="16"/>
      <c r="K176" s="42"/>
      <c r="L176" s="23"/>
      <c r="M176" s="26"/>
      <c r="N176" s="23"/>
      <c r="O176" s="23"/>
      <c r="P176" s="23"/>
      <c r="Q176" s="20"/>
      <c r="R176" s="23"/>
      <c r="S176" s="60" t="s">
        <v>425</v>
      </c>
      <c r="T176" s="64" t="s">
        <v>425</v>
      </c>
      <c r="U176" s="23"/>
      <c r="V176" s="65" t="s">
        <v>426</v>
      </c>
      <c r="W176" s="12"/>
      <c r="X176" s="24"/>
      <c r="Y176" s="24"/>
      <c r="Z176" s="12"/>
      <c r="AA176" s="13"/>
      <c r="AB176" s="13"/>
      <c r="AC176" s="12"/>
      <c r="AD176" s="13"/>
      <c r="AE176" s="13"/>
      <c r="AF176" s="13"/>
      <c r="AG176" s="12"/>
    </row>
    <row r="177" customFormat="false" ht="22.5" hidden="false" customHeight="true" outlineLevel="0" collapsed="false">
      <c r="A177" s="6" t="n">
        <v>751</v>
      </c>
      <c r="B177" s="9" t="n">
        <f aca="false">IF(ISNUMBER(A177),
IF(AND(A177=INT(A177), MOD(A177, 10) = 0), 0,
IF(AND(A177=INT(A177), LEN(A177)=2), 1,
IF(AND(A177=INT(A177), LEN(A177)=3), 2,
LEN(A177) - FIND(".", A177) + 2)
)
),
"")</f>
        <v>2</v>
      </c>
      <c r="C177" s="37" t="s">
        <v>427</v>
      </c>
      <c r="D177" s="10" t="str">
        <f aca="false">REPT("   ", B177*2) &amp; C177</f>
        <v>            Annualized Outer Vessel Structure Replacements</v>
      </c>
      <c r="E177" s="10"/>
      <c r="F177" s="10"/>
      <c r="G177" s="10"/>
      <c r="H177" s="10"/>
      <c r="I177" s="10"/>
      <c r="J177" s="16"/>
      <c r="K177" s="42"/>
      <c r="L177" s="23"/>
      <c r="M177" s="26"/>
      <c r="N177" s="23"/>
      <c r="O177" s="23"/>
      <c r="P177" s="23"/>
      <c r="Q177" s="20"/>
      <c r="R177" s="23"/>
      <c r="S177" s="60" t="s">
        <v>425</v>
      </c>
      <c r="T177" s="64" t="s">
        <v>425</v>
      </c>
      <c r="U177" s="23"/>
      <c r="V177" s="65" t="s">
        <v>426</v>
      </c>
      <c r="W177" s="12"/>
      <c r="X177" s="24"/>
      <c r="Y177" s="24"/>
      <c r="Z177" s="12"/>
      <c r="AA177" s="13"/>
      <c r="AB177" s="13"/>
      <c r="AC177" s="12"/>
      <c r="AD177" s="13"/>
      <c r="AE177" s="13"/>
      <c r="AF177" s="13"/>
      <c r="AG177" s="12"/>
    </row>
    <row r="178" customFormat="false" ht="26.25" hidden="false" customHeight="true" outlineLevel="0" collapsed="false">
      <c r="A178" s="6" t="n">
        <v>752</v>
      </c>
      <c r="B178" s="9" t="n">
        <f aca="false">IF(ISNUMBER(A178),
IF(AND(A178=INT(A178), MOD(A178, 10) = 0), 0,
IF(AND(A178=INT(A178), LEN(A178)=2), 1,
IF(AND(A178=INT(A178), LEN(A178)=3), 2,
LEN(A178) - FIND(".", A178) + 2)
)
),
"")</f>
        <v>2</v>
      </c>
      <c r="C178" s="37" t="s">
        <v>428</v>
      </c>
      <c r="D178" s="10" t="str">
        <f aca="false">REPT("   ", B178*2) &amp; C178</f>
        <v>            Annualized Inner Vessel Structure Replacements</v>
      </c>
      <c r="E178" s="10"/>
      <c r="F178" s="10"/>
      <c r="G178" s="10"/>
      <c r="H178" s="10"/>
      <c r="I178" s="10"/>
      <c r="J178" s="16"/>
      <c r="K178" s="42"/>
      <c r="L178" s="23"/>
      <c r="M178" s="26"/>
      <c r="N178" s="23"/>
      <c r="O178" s="23"/>
      <c r="P178" s="23"/>
      <c r="Q178" s="20"/>
      <c r="R178" s="23"/>
      <c r="S178" s="60"/>
      <c r="T178" s="60"/>
      <c r="U178" s="23"/>
      <c r="V178" s="65"/>
      <c r="W178" s="12"/>
      <c r="X178" s="24"/>
      <c r="Y178" s="24"/>
      <c r="Z178" s="12"/>
      <c r="AA178" s="13"/>
      <c r="AB178" s="13"/>
      <c r="AC178" s="12"/>
      <c r="AD178" s="13"/>
      <c r="AE178" s="13"/>
      <c r="AF178" s="13"/>
      <c r="AG178" s="12"/>
    </row>
    <row r="179" customFormat="false" ht="26.25" hidden="false" customHeight="true" outlineLevel="0" collapsed="false">
      <c r="A179" s="6" t="n">
        <v>753</v>
      </c>
      <c r="B179" s="9" t="n">
        <f aca="false">IF(ISNUMBER(A179),
IF(AND(A179=INT(A179), MOD(A179, 10) = 0), 0,
IF(AND(A179=INT(A179), LEN(A179)=2), 1,
IF(AND(A179=INT(A179), LEN(A179)=3), 2,
LEN(A179) - FIND(".", A179) + 2)
)
),
"")</f>
        <v>2</v>
      </c>
      <c r="C179" s="37" t="s">
        <v>429</v>
      </c>
      <c r="D179" s="10" t="str">
        <f aca="false">REPT("   ", B179*2) &amp; C179</f>
        <v>            Annualized Moderator Replacements</v>
      </c>
      <c r="E179" s="10"/>
      <c r="F179" s="10"/>
      <c r="G179" s="10"/>
      <c r="H179" s="10"/>
      <c r="I179" s="10"/>
      <c r="J179" s="16"/>
      <c r="K179" s="42"/>
      <c r="L179" s="23"/>
      <c r="M179" s="26"/>
      <c r="N179" s="23"/>
      <c r="O179" s="23"/>
      <c r="P179" s="23"/>
      <c r="Q179" s="20"/>
      <c r="R179" s="23"/>
      <c r="S179" s="60"/>
      <c r="T179" s="60"/>
      <c r="U179" s="23"/>
      <c r="V179" s="65"/>
      <c r="W179" s="12"/>
      <c r="X179" s="24"/>
      <c r="Y179" s="24"/>
      <c r="Z179" s="12"/>
      <c r="AA179" s="13"/>
      <c r="AB179" s="13"/>
      <c r="AC179" s="12"/>
      <c r="AD179" s="13"/>
      <c r="AE179" s="13"/>
      <c r="AF179" s="13"/>
      <c r="AG179" s="12"/>
    </row>
    <row r="180" customFormat="false" ht="26.25" hidden="false" customHeight="true" outlineLevel="0" collapsed="false">
      <c r="A180" s="6" t="n">
        <v>754</v>
      </c>
      <c r="B180" s="9" t="n">
        <f aca="false">IF(ISNUMBER(A180),
IF(AND(A180=INT(A180), MOD(A180, 10) = 0), 0,
IF(AND(A180=INT(A180), LEN(A180)=2), 1,
IF(AND(A180=INT(A180), LEN(A180)=3), 2,
LEN(A180) - FIND(".", A180) + 2)
)
),
"")</f>
        <v>2</v>
      </c>
      <c r="C180" s="37" t="s">
        <v>430</v>
      </c>
      <c r="D180" s="10" t="str">
        <f aca="false">REPT("   ", B180*2) &amp; C180</f>
        <v>            Annualized Reflector Replacements</v>
      </c>
      <c r="E180" s="10"/>
      <c r="F180" s="10"/>
      <c r="G180" s="10"/>
      <c r="H180" s="10"/>
      <c r="I180" s="10"/>
      <c r="J180" s="16"/>
      <c r="K180" s="42"/>
      <c r="L180" s="23"/>
      <c r="M180" s="26"/>
      <c r="N180" s="23"/>
      <c r="O180" s="23"/>
      <c r="P180" s="23"/>
      <c r="Q180" s="20"/>
      <c r="R180" s="23"/>
      <c r="S180" s="60"/>
      <c r="T180" s="60"/>
      <c r="U180" s="23"/>
      <c r="V180" s="65"/>
      <c r="W180" s="12"/>
      <c r="X180" s="24"/>
      <c r="Y180" s="24"/>
      <c r="Z180" s="12"/>
      <c r="AA180" s="13"/>
      <c r="AB180" s="13"/>
      <c r="AC180" s="12"/>
      <c r="AD180" s="13"/>
      <c r="AE180" s="13"/>
      <c r="AF180" s="13"/>
      <c r="AG180" s="12"/>
    </row>
    <row r="181" customFormat="false" ht="51.75" hidden="false" customHeight="true" outlineLevel="0" collapsed="false">
      <c r="A181" s="6" t="n">
        <v>755</v>
      </c>
      <c r="B181" s="9" t="n">
        <f aca="false">IF(ISNUMBER(A181),
IF(AND(A181=INT(A181), MOD(A181, 10) = 0), 0,
IF(AND(A181=INT(A181), LEN(A181)=2), 1,
IF(AND(A181=INT(A181), LEN(A181)=3), 2,
LEN(A181) - FIND(".", A181) + 2)
)
),
"")</f>
        <v>2</v>
      </c>
      <c r="C181" s="37" t="s">
        <v>431</v>
      </c>
      <c r="D181" s="10" t="str">
        <f aca="false">REPT("   ", B181*2) &amp; C181</f>
        <v>            Annualized Reactor Control Devices Replacements</v>
      </c>
      <c r="E181" s="10"/>
      <c r="F181" s="10"/>
      <c r="G181" s="10"/>
      <c r="H181" s="10"/>
      <c r="I181" s="10"/>
      <c r="J181" s="16"/>
      <c r="K181" s="42"/>
      <c r="L181" s="23"/>
      <c r="M181" s="26"/>
      <c r="N181" s="23"/>
      <c r="O181" s="23"/>
      <c r="P181" s="23"/>
      <c r="Q181" s="20"/>
      <c r="R181" s="23"/>
      <c r="S181" s="50"/>
      <c r="T181" s="50"/>
      <c r="U181" s="23"/>
      <c r="V181" s="50"/>
      <c r="W181" s="12"/>
      <c r="X181" s="24"/>
      <c r="Y181" s="24"/>
      <c r="Z181" s="12"/>
      <c r="AA181" s="13"/>
      <c r="AB181" s="13"/>
      <c r="AC181" s="12"/>
      <c r="AD181" s="13"/>
      <c r="AE181" s="13"/>
      <c r="AF181" s="13"/>
      <c r="AG181" s="12"/>
    </row>
    <row r="182" customFormat="false" ht="45" hidden="false" customHeight="true" outlineLevel="0" collapsed="false">
      <c r="A182" s="6" t="n">
        <v>756</v>
      </c>
      <c r="B182" s="9" t="n">
        <v>2</v>
      </c>
      <c r="C182" s="37" t="s">
        <v>432</v>
      </c>
      <c r="D182" s="10" t="s">
        <v>433</v>
      </c>
      <c r="E182" s="10"/>
      <c r="F182" s="10"/>
      <c r="G182" s="10"/>
      <c r="H182" s="10"/>
      <c r="I182" s="10"/>
      <c r="J182" s="16"/>
      <c r="K182" s="42"/>
      <c r="L182" s="23"/>
      <c r="M182" s="26"/>
      <c r="N182" s="23"/>
      <c r="O182" s="23"/>
      <c r="P182" s="23"/>
      <c r="Q182" s="20"/>
      <c r="R182" s="23"/>
      <c r="S182" s="50"/>
      <c r="T182" s="50"/>
      <c r="U182" s="23"/>
      <c r="V182" s="50"/>
      <c r="W182" s="12"/>
      <c r="X182" s="24"/>
      <c r="Y182" s="24"/>
      <c r="Z182" s="12"/>
      <c r="AA182" s="13"/>
      <c r="AB182" s="13"/>
      <c r="AC182" s="12"/>
      <c r="AD182" s="13"/>
      <c r="AE182" s="13"/>
      <c r="AF182" s="13"/>
      <c r="AG182" s="12"/>
    </row>
    <row r="183" customFormat="false" ht="45" hidden="false" customHeight="true" outlineLevel="0" collapsed="false">
      <c r="A183" s="6" t="n">
        <v>757</v>
      </c>
      <c r="B183" s="9" t="n">
        <f aca="false">IF(ISNUMBER(A183),
IF(AND(A183=INT(A183), MOD(A183, 10) = 0), 0,
IF(AND(A183=INT(A183), LEN(A183)=2), 1,
IF(AND(A183=INT(A183), LEN(A183)=3), 2,
LEN(A183) - FIND(".", A183) + 2)
)
),
"")</f>
        <v>2</v>
      </c>
      <c r="C183" s="37" t="s">
        <v>434</v>
      </c>
      <c r="D183" s="10" t="str">
        <f aca="false">REPT("   ", B183*2) &amp; C183</f>
        <v>            Annualized Moderator Booster Replacements</v>
      </c>
      <c r="E183" s="10"/>
      <c r="F183" s="10"/>
      <c r="G183" s="10"/>
      <c r="H183" s="10"/>
      <c r="I183" s="10"/>
      <c r="J183" s="16"/>
      <c r="K183" s="42"/>
      <c r="L183" s="23"/>
      <c r="M183" s="26"/>
      <c r="N183" s="23"/>
      <c r="O183" s="23"/>
      <c r="P183" s="23"/>
      <c r="Q183" s="20"/>
      <c r="R183" s="23"/>
      <c r="S183" s="50"/>
      <c r="T183" s="50"/>
      <c r="U183" s="23"/>
      <c r="V183" s="50"/>
      <c r="W183" s="12"/>
      <c r="X183" s="24"/>
      <c r="Y183" s="24"/>
      <c r="Z183" s="12"/>
      <c r="AA183" s="13"/>
      <c r="AB183" s="13"/>
      <c r="AC183" s="12"/>
      <c r="AD183" s="13"/>
      <c r="AE183" s="13"/>
      <c r="AF183" s="13"/>
      <c r="AG183" s="12"/>
    </row>
    <row r="184" customFormat="false" ht="45" hidden="false" customHeight="true" outlineLevel="0" collapsed="false">
      <c r="A184" s="6" t="n">
        <v>759</v>
      </c>
      <c r="B184" s="9" t="n">
        <f aca="false">IF(ISNUMBER(A184),
IF(AND(A184=INT(A184), MOD(A184, 10) = 0), 0,
IF(AND(A184=INT(A184), LEN(A184)=2), 1,
IF(AND(A184=INT(A184), LEN(A184)=3), 2,
LEN(A184) - FIND(".", A184) + 2)
)
),
"")</f>
        <v>2</v>
      </c>
      <c r="C184" s="37" t="s">
        <v>435</v>
      </c>
      <c r="D184" s="10" t="str">
        <f aca="false">REPT("   ", B184*2) &amp; C184</f>
        <v>            Annualized Plant Maintenance (Misc.)</v>
      </c>
      <c r="E184" s="10"/>
      <c r="F184" s="10"/>
      <c r="G184" s="10"/>
      <c r="H184" s="10"/>
      <c r="I184" s="10"/>
      <c r="J184" s="16"/>
      <c r="K184" s="42"/>
      <c r="L184" s="23"/>
      <c r="M184" s="26"/>
      <c r="N184" s="23"/>
      <c r="O184" s="23"/>
      <c r="P184" s="23"/>
      <c r="Q184" s="20"/>
      <c r="R184" s="23"/>
      <c r="S184" s="52"/>
      <c r="T184" s="52"/>
      <c r="U184" s="23"/>
      <c r="V184" s="52"/>
      <c r="W184" s="12"/>
      <c r="X184" s="24"/>
      <c r="Y184" s="24"/>
      <c r="Z184" s="12"/>
      <c r="AA184" s="13"/>
      <c r="AB184" s="13"/>
      <c r="AC184" s="12"/>
      <c r="AD184" s="13"/>
      <c r="AE184" s="13"/>
      <c r="AF184" s="13"/>
      <c r="AG184" s="12"/>
    </row>
    <row r="185" customFormat="false" ht="55.5" hidden="false" customHeight="true" outlineLevel="0" collapsed="false">
      <c r="A185" s="6" t="n">
        <v>759.1</v>
      </c>
      <c r="B185" s="9" t="n">
        <f aca="false">IF(ISNUMBER(A185),IF(AND(A185=INT(A185),MOD(A185,10)=0),0,IF(AND(A185=INT(A185),LEN(A185)=2),1,IF(AND(A185=INT(A185),LEN(A185)=3),2,LEN(A185)-FIND(".",A185)+2))),"")</f>
        <v>3</v>
      </c>
      <c r="C185" s="37" t="s">
        <v>436</v>
      </c>
      <c r="D185" s="10" t="str">
        <f aca="false">REPT("   ",B185*2)&amp;C185</f>
        <v>                  Annualized Building and Structural Maintenance (Accounts 212–215)</v>
      </c>
      <c r="E185" s="10"/>
      <c r="F185" s="10"/>
      <c r="G185" s="10"/>
      <c r="H185" s="10"/>
      <c r="I185" s="10"/>
      <c r="J185" s="16"/>
      <c r="K185" s="42"/>
      <c r="L185" s="23"/>
      <c r="M185" s="26"/>
      <c r="N185" s="23"/>
      <c r="O185" s="23"/>
      <c r="P185" s="23"/>
      <c r="Q185" s="20"/>
      <c r="R185" s="23"/>
      <c r="S185" s="52"/>
      <c r="T185" s="52"/>
      <c r="U185" s="23"/>
      <c r="V185" s="52"/>
      <c r="W185" s="12"/>
      <c r="X185" s="24"/>
      <c r="Y185" s="24"/>
      <c r="Z185" s="12"/>
      <c r="AA185" s="13"/>
      <c r="AB185" s="13"/>
      <c r="AC185" s="12"/>
      <c r="AD185" s="13"/>
      <c r="AE185" s="13"/>
      <c r="AF185" s="13"/>
      <c r="AG185" s="12"/>
    </row>
    <row r="186" customFormat="false" ht="55.5" hidden="false" customHeight="true" outlineLevel="0" collapsed="false">
      <c r="A186" s="6" t="n">
        <v>759.2</v>
      </c>
      <c r="B186" s="9" t="n">
        <f aca="false">IF(ISNUMBER(A186),IF(AND(A186=INT(A186),MOD(A186,10)=0),0,IF(AND(A186=INT(A186),LEN(A186)=2),1,IF(AND(A186=INT(A186),LEN(A186)=3),2,LEN(A186)-FIND(".",A186)+2))),"")</f>
        <v>3</v>
      </c>
      <c r="C186" s="37" t="s">
        <v>437</v>
      </c>
      <c r="D186" s="10" t="str">
        <f aca="false">REPT("   ",B186*2)&amp;C186</f>
        <v>                  Annualized Main Heat Transport System Maintenance (Accounts 222.1–222.3 and 222.6)</v>
      </c>
      <c r="E186" s="10"/>
      <c r="F186" s="10"/>
      <c r="G186" s="10"/>
      <c r="H186" s="10"/>
      <c r="I186" s="10"/>
      <c r="J186" s="16"/>
      <c r="K186" s="42"/>
      <c r="L186" s="23"/>
      <c r="M186" s="26"/>
      <c r="N186" s="23"/>
      <c r="O186" s="23"/>
      <c r="P186" s="23"/>
      <c r="Q186" s="20"/>
      <c r="R186" s="23"/>
      <c r="S186" s="52"/>
      <c r="T186" s="52"/>
      <c r="U186" s="23"/>
      <c r="V186" s="52"/>
      <c r="W186" s="12"/>
      <c r="X186" s="24"/>
      <c r="Y186" s="24"/>
      <c r="Z186" s="12"/>
      <c r="AA186" s="13"/>
      <c r="AB186" s="13"/>
      <c r="AC186" s="12"/>
      <c r="AD186" s="13"/>
      <c r="AE186" s="13"/>
      <c r="AF186" s="13"/>
      <c r="AG186" s="12"/>
    </row>
    <row r="187" customFormat="false" ht="55.5" hidden="false" customHeight="true" outlineLevel="0" collapsed="false">
      <c r="A187" s="6" t="n">
        <v>759.3</v>
      </c>
      <c r="B187" s="9" t="n">
        <f aca="false">IF(ISNUMBER(A187),IF(AND(A187=INT(A187),MOD(A187,10)=0),0,IF(AND(A187=INT(A187),LEN(A187)=2),1,IF(AND(A187=INT(A187),LEN(A187)=3),2,LEN(A187)-FIND(".",A187)+2))),"")</f>
        <v>3</v>
      </c>
      <c r="C187" s="37" t="s">
        <v>438</v>
      </c>
      <c r="D187" s="10" t="str">
        <f aca="false">REPT("   ",B187*2)&amp;C187</f>
        <v>                  Annualized Safety System Maintenance (Account 223)</v>
      </c>
      <c r="E187" s="10"/>
      <c r="F187" s="10"/>
      <c r="G187" s="10"/>
      <c r="H187" s="10"/>
      <c r="I187" s="10"/>
      <c r="J187" s="16"/>
      <c r="K187" s="42"/>
      <c r="L187" s="23"/>
      <c r="M187" s="26"/>
      <c r="N187" s="23"/>
      <c r="O187" s="23"/>
      <c r="P187" s="23"/>
      <c r="Q187" s="20"/>
      <c r="R187" s="23"/>
      <c r="S187" s="52"/>
      <c r="T187" s="52"/>
      <c r="U187" s="23"/>
      <c r="V187" s="52"/>
      <c r="W187" s="12"/>
      <c r="X187" s="24"/>
      <c r="Y187" s="24"/>
      <c r="Z187" s="12"/>
      <c r="AA187" s="13"/>
      <c r="AB187" s="13"/>
      <c r="AC187" s="12"/>
      <c r="AD187" s="13"/>
      <c r="AE187" s="13"/>
      <c r="AF187" s="13"/>
      <c r="AG187" s="12"/>
    </row>
    <row r="188" customFormat="false" ht="55.5" hidden="false" customHeight="true" outlineLevel="0" collapsed="false">
      <c r="A188" s="6" t="n">
        <v>759.4</v>
      </c>
      <c r="B188" s="9" t="n">
        <f aca="false">IF(ISNUMBER(A188),IF(AND(A188=INT(A188),MOD(A188,10)=0),0,IF(AND(A188=INT(A188),LEN(A188)=2),1,IF(AND(A188=INT(A188),LEN(A188)=3),2,LEN(A188)-FIND(".",A188)+2))),"")</f>
        <v>3</v>
      </c>
      <c r="C188" s="37" t="s">
        <v>439</v>
      </c>
      <c r="D188" s="10" t="str">
        <f aca="false">REPT("   ",B188*2)&amp;C188</f>
        <v>                  Annualized Reactor Plant Equipment Maintenance (Accounts 221.11, 226, and 228)</v>
      </c>
      <c r="E188" s="10"/>
      <c r="F188" s="10"/>
      <c r="G188" s="10"/>
      <c r="H188" s="10"/>
      <c r="I188" s="10"/>
      <c r="J188" s="16"/>
      <c r="K188" s="42"/>
      <c r="L188" s="23"/>
      <c r="M188" s="26"/>
      <c r="N188" s="23"/>
      <c r="O188" s="23"/>
      <c r="P188" s="23"/>
      <c r="Q188" s="20"/>
      <c r="R188" s="23"/>
      <c r="S188" s="52"/>
      <c r="T188" s="52"/>
      <c r="U188" s="23"/>
      <c r="V188" s="52"/>
      <c r="W188" s="12"/>
      <c r="X188" s="24"/>
      <c r="Y188" s="24"/>
      <c r="Z188" s="12"/>
      <c r="AA188" s="13"/>
      <c r="AB188" s="13"/>
      <c r="AC188" s="12"/>
      <c r="AD188" s="13"/>
      <c r="AE188" s="13"/>
      <c r="AF188" s="13"/>
      <c r="AG188" s="12"/>
    </row>
    <row r="189" customFormat="false" ht="55.5" hidden="false" customHeight="true" outlineLevel="0" collapsed="false">
      <c r="A189" s="6" t="n">
        <v>759.5</v>
      </c>
      <c r="B189" s="9" t="n">
        <f aca="false">IF(ISNUMBER(A189),IF(AND(A189=INT(A189),MOD(A189,10)=0),0,IF(AND(A189=INT(A189),LEN(A189)=2),1,IF(AND(A189=INT(A189),LEN(A189)=3),2,LEN(A189)-FIND(".",A189)+2))),"")</f>
        <v>3</v>
      </c>
      <c r="C189" s="37" t="s">
        <v>440</v>
      </c>
      <c r="D189" s="10" t="str">
        <f aca="false">REPT("   ",B189*2)&amp;C189</f>
        <v>                  Annualized Reactor I&amp;C Maintenance (Account 227)</v>
      </c>
      <c r="E189" s="10"/>
      <c r="F189" s="10"/>
      <c r="G189" s="10"/>
      <c r="H189" s="10"/>
      <c r="I189" s="10"/>
      <c r="J189" s="16"/>
      <c r="K189" s="42"/>
      <c r="L189" s="23"/>
      <c r="M189" s="26"/>
      <c r="N189" s="23"/>
      <c r="O189" s="23"/>
      <c r="P189" s="23"/>
      <c r="Q189" s="20"/>
      <c r="R189" s="23"/>
      <c r="S189" s="52"/>
      <c r="T189" s="52"/>
      <c r="U189" s="23"/>
      <c r="V189" s="52"/>
      <c r="W189" s="12"/>
      <c r="X189" s="24"/>
      <c r="Y189" s="24"/>
      <c r="Z189" s="12"/>
      <c r="AA189" s="13"/>
      <c r="AB189" s="13"/>
      <c r="AC189" s="12"/>
      <c r="AD189" s="13"/>
      <c r="AE189" s="13"/>
      <c r="AF189" s="13"/>
      <c r="AG189" s="12"/>
    </row>
    <row r="190" customFormat="false" ht="55.5" hidden="false" customHeight="true" outlineLevel="0" collapsed="false">
      <c r="A190" s="6" t="n">
        <v>759.6</v>
      </c>
      <c r="B190" s="9" t="n">
        <f aca="false">IF(ISNUMBER(A190),IF(AND(A190=INT(A190),MOD(A190,10)=0),0,IF(AND(A190=INT(A190),LEN(A190)=2),1,IF(AND(A190=INT(A190),LEN(A190)=3),2,LEN(A190)-FIND(".",A190)+2))),"")</f>
        <v>3</v>
      </c>
      <c r="C190" s="37" t="s">
        <v>441</v>
      </c>
      <c r="D190" s="10" t="str">
        <f aca="false">REPT("   ",B190*2)&amp;C190</f>
        <v>                  Annualized Energy Conversion System Maintenance (Account 23)</v>
      </c>
      <c r="E190" s="10"/>
      <c r="F190" s="10"/>
      <c r="G190" s="10"/>
      <c r="H190" s="10"/>
      <c r="I190" s="10"/>
      <c r="J190" s="16"/>
      <c r="K190" s="42"/>
      <c r="L190" s="23"/>
      <c r="M190" s="26"/>
      <c r="N190" s="23"/>
      <c r="O190" s="23"/>
      <c r="P190" s="23"/>
      <c r="Q190" s="20"/>
      <c r="R190" s="23"/>
      <c r="S190" s="52"/>
      <c r="T190" s="52"/>
      <c r="U190" s="23"/>
      <c r="V190" s="52"/>
      <c r="W190" s="12"/>
      <c r="X190" s="24"/>
      <c r="Y190" s="24"/>
      <c r="Z190" s="12"/>
      <c r="AA190" s="13"/>
      <c r="AB190" s="13"/>
      <c r="AC190" s="12"/>
      <c r="AD190" s="13"/>
      <c r="AE190" s="13"/>
      <c r="AF190" s="13"/>
      <c r="AG190" s="12"/>
    </row>
    <row r="191" customFormat="false" ht="55.5" hidden="false" customHeight="true" outlineLevel="0" collapsed="false">
      <c r="A191" s="6" t="n">
        <v>759.7</v>
      </c>
      <c r="B191" s="9" t="n">
        <f aca="false">IF(ISNUMBER(A191),IF(AND(A191=INT(A191),MOD(A191,10)=0),0,IF(AND(A191=INT(A191),LEN(A191)=2),1,IF(AND(A191=INT(A191),LEN(A191)=3),2,LEN(A191)-FIND(".",A191)+2))),"")</f>
        <v>3</v>
      </c>
      <c r="C191" s="37" t="s">
        <v>442</v>
      </c>
      <c r="D191" s="10" t="str">
        <f aca="false">REPT("   ",B191*2)&amp;C191</f>
        <v>                  Annualized Electrical Equipment Maintenance (Account 24)</v>
      </c>
      <c r="E191" s="10"/>
      <c r="F191" s="10"/>
      <c r="G191" s="10"/>
      <c r="H191" s="10"/>
      <c r="I191" s="10"/>
      <c r="J191" s="16"/>
      <c r="K191" s="42"/>
      <c r="L191" s="23"/>
      <c r="M191" s="26"/>
      <c r="N191" s="23"/>
      <c r="O191" s="23"/>
      <c r="P191" s="23"/>
      <c r="Q191" s="20"/>
      <c r="R191" s="23"/>
      <c r="S191" s="52"/>
      <c r="T191" s="52"/>
      <c r="U191" s="23"/>
      <c r="V191" s="52"/>
      <c r="W191" s="12"/>
      <c r="X191" s="24"/>
      <c r="Y191" s="24"/>
      <c r="Z191" s="12"/>
      <c r="AA191" s="13"/>
      <c r="AB191" s="13"/>
      <c r="AC191" s="12"/>
      <c r="AD191" s="13"/>
      <c r="AE191" s="13"/>
      <c r="AF191" s="13"/>
      <c r="AG191" s="12"/>
    </row>
    <row r="192" customFormat="false" ht="55.5" hidden="false" customHeight="true" outlineLevel="0" collapsed="false">
      <c r="A192" s="6" t="n">
        <v>759.8</v>
      </c>
      <c r="B192" s="9" t="n">
        <f aca="false">IF(ISNUMBER(A192),IF(AND(A192=INT(A192),MOD(A192,10)=0),0,IF(AND(A192=INT(A192),LEN(A192)=2),1,IF(AND(A192=INT(A192),LEN(A192)=3),2,LEN(A192)-FIND(".",A192)+2))),"")</f>
        <v>3</v>
      </c>
      <c r="C192" s="37" t="s">
        <v>443</v>
      </c>
      <c r="D192" s="10" t="str">
        <f aca="false">REPT("   ",B192*2)&amp;C192</f>
        <v>                  Annualized Miscellaneous Equipment Maintenance (Account 26)</v>
      </c>
      <c r="E192" s="10"/>
      <c r="F192" s="10"/>
      <c r="G192" s="10"/>
      <c r="H192" s="10"/>
      <c r="I192" s="10"/>
      <c r="J192" s="16"/>
      <c r="K192" s="42"/>
      <c r="L192" s="23"/>
      <c r="M192" s="26"/>
      <c r="N192" s="23"/>
      <c r="O192" s="23"/>
      <c r="P192" s="23"/>
      <c r="Q192" s="20"/>
      <c r="R192" s="23"/>
      <c r="S192" s="52"/>
      <c r="T192" s="52"/>
      <c r="U192" s="23"/>
      <c r="V192" s="52"/>
      <c r="W192" s="12"/>
      <c r="X192" s="24"/>
      <c r="Y192" s="24"/>
      <c r="Z192" s="12"/>
      <c r="AA192" s="13"/>
      <c r="AB192" s="13"/>
      <c r="AC192" s="12"/>
      <c r="AD192" s="13"/>
      <c r="AE192" s="13"/>
      <c r="AF192" s="13"/>
      <c r="AG192" s="12"/>
    </row>
    <row r="193" customFormat="false" ht="53.25" hidden="false" customHeight="true" outlineLevel="0" collapsed="false">
      <c r="A193" s="6" t="n">
        <v>78</v>
      </c>
      <c r="B193" s="9" t="n">
        <f aca="false">IF(ISNUMBER(A193),
    IF(AND(A193=INT(A193), MOD(A193, 10) = 0), 0,
        IF(AND(A193=INT(A193), LEN(A193)=2), 1,
            IF(AND(A193=INT(A193), LEN(A193)=3), 2,
                LEN(A193) - FIND(".", A193) + 2)
        )
    ),
"")</f>
        <v>1</v>
      </c>
      <c r="C193" s="37" t="s">
        <v>444</v>
      </c>
      <c r="D193" s="10" t="str">
        <f aca="false">REPT("   ", B193*2) &amp; C193</f>
        <v>      Annualized Decommissioning Cost</v>
      </c>
      <c r="E193" s="10"/>
      <c r="F193" s="10"/>
      <c r="G193" s="10"/>
      <c r="H193" s="10"/>
      <c r="I193" s="10"/>
      <c r="J193" s="16"/>
      <c r="K193" s="66"/>
      <c r="L193" s="23"/>
      <c r="M193" s="18"/>
      <c r="N193" s="23"/>
      <c r="O193" s="23"/>
      <c r="P193" s="23"/>
      <c r="Q193" s="20"/>
      <c r="R193" s="23"/>
      <c r="S193" s="26"/>
      <c r="T193" s="26"/>
      <c r="U193" s="23"/>
      <c r="V193" s="26" t="s">
        <v>445</v>
      </c>
      <c r="W193" s="12"/>
      <c r="X193" s="24"/>
      <c r="Y193" s="24"/>
      <c r="Z193" s="12"/>
      <c r="AA193" s="13"/>
      <c r="AB193" s="13"/>
      <c r="AC193" s="12"/>
      <c r="AD193" s="13"/>
      <c r="AE193" s="13"/>
      <c r="AF193" s="13"/>
      <c r="AG193" s="12"/>
    </row>
    <row r="194" customFormat="false" ht="26.25" hidden="false" customHeight="true" outlineLevel="0" collapsed="false">
      <c r="A194" s="6" t="n">
        <v>80</v>
      </c>
      <c r="B194" s="9" t="n">
        <f aca="false">IF(ISNUMBER(A194),
IF(AND(A194=INT(A194), MOD(A194, 10) = 0), 0,
IF(AND(A194=INT(A194), LEN(A194)=2), 1,
IF(AND(A194=INT(A194), LEN(A194)=3), 2,
LEN(A194) - FIND(".", A194) + 2)
)
),
"")</f>
        <v>0</v>
      </c>
      <c r="C194" s="63" t="s">
        <v>446</v>
      </c>
      <c r="D194" s="10" t="str">
        <f aca="false">REPT("   ", B194*2) &amp; C194</f>
        <v>Annualized Fuel Cost</v>
      </c>
      <c r="E194" s="10"/>
      <c r="F194" s="10"/>
      <c r="G194" s="10"/>
      <c r="H194" s="10"/>
      <c r="I194" s="10"/>
      <c r="J194" s="11"/>
      <c r="K194" s="11"/>
      <c r="L194" s="9"/>
      <c r="M194" s="5"/>
      <c r="N194" s="9"/>
      <c r="O194" s="9"/>
      <c r="P194" s="9"/>
      <c r="Q194" s="11"/>
      <c r="R194" s="9"/>
      <c r="S194" s="5"/>
      <c r="T194" s="9"/>
      <c r="U194" s="9"/>
      <c r="V194" s="9"/>
      <c r="W194" s="12"/>
      <c r="X194" s="24"/>
      <c r="Y194" s="24"/>
      <c r="Z194" s="12"/>
      <c r="AA194" s="13"/>
      <c r="AB194" s="13"/>
      <c r="AC194" s="12"/>
      <c r="AD194" s="13"/>
      <c r="AE194" s="13"/>
      <c r="AF194" s="13"/>
      <c r="AG194" s="12"/>
    </row>
    <row r="195" customFormat="false" ht="150.75" hidden="false" customHeight="true" outlineLevel="0" collapsed="false">
      <c r="A195" s="6" t="n">
        <v>81</v>
      </c>
      <c r="B195" s="9" t="n">
        <f aca="false">IF(ISNUMBER(A195),
IF(AND(A195=INT(A195), MOD(A195, 10) = 0), 0,
IF(AND(A195=INT(A195), LEN(A195)=2), 1,
IF(AND(A195=INT(A195), LEN(A195)=3), 2,
LEN(A195) - FIND(".", A195) + 2)
)
),
"")</f>
        <v>1</v>
      </c>
      <c r="C195" s="37" t="s">
        <v>447</v>
      </c>
      <c r="D195" s="10" t="str">
        <f aca="false">REPT("   ", B195*2) &amp; C195</f>
        <v>      Refueling Operations</v>
      </c>
      <c r="E195" s="10" t="s">
        <v>290</v>
      </c>
      <c r="F195" s="10"/>
      <c r="G195" s="10"/>
      <c r="H195" s="10"/>
      <c r="I195" s="10"/>
      <c r="J195" s="16"/>
      <c r="K195" s="42" t="n">
        <v>178500</v>
      </c>
      <c r="L195" s="23" t="s">
        <v>408</v>
      </c>
      <c r="M195" s="26" t="s">
        <v>409</v>
      </c>
      <c r="N195" s="23"/>
      <c r="O195" s="23"/>
      <c r="P195" s="23" t="n">
        <v>1</v>
      </c>
      <c r="Q195" s="20" t="n">
        <v>2024</v>
      </c>
      <c r="R195" s="23" t="s">
        <v>53</v>
      </c>
      <c r="S195" s="26"/>
      <c r="T195" s="26" t="s">
        <v>410</v>
      </c>
      <c r="U195" s="23"/>
      <c r="V195" s="23"/>
      <c r="W195" s="12" t="s">
        <v>43</v>
      </c>
      <c r="X195" s="24" t="n">
        <f aca="false">0.9*$J195</f>
        <v>0</v>
      </c>
      <c r="Y195" s="24" t="n">
        <f aca="false">1.5*J195</f>
        <v>0</v>
      </c>
      <c r="Z195" s="12" t="s">
        <v>44</v>
      </c>
      <c r="AA195" s="13" t="n">
        <f aca="false">0.9*K195</f>
        <v>160650</v>
      </c>
      <c r="AB195" s="13" t="n">
        <f aca="false">1.3*K195</f>
        <v>232050</v>
      </c>
      <c r="AC195" s="12" t="s">
        <v>44</v>
      </c>
      <c r="AD195" s="13" t="s">
        <v>45</v>
      </c>
      <c r="AE195" s="13" t="s">
        <v>46</v>
      </c>
      <c r="AF195" s="13" t="s">
        <v>47</v>
      </c>
      <c r="AG195" s="12" t="s">
        <v>48</v>
      </c>
    </row>
    <row r="196" customFormat="false" ht="26.25" hidden="false" customHeight="true" outlineLevel="0" collapsed="false">
      <c r="A196" s="6" t="n">
        <v>82</v>
      </c>
      <c r="B196" s="9" t="n">
        <f aca="false">IF(ISNUMBER(A196),
IF(AND(A196=INT(A196), MOD(A196, 10) = 0), 0,
IF(AND(A196=INT(A196), LEN(A196)=2), 1,
IF(AND(A196=INT(A196), LEN(A196)=3), 2,
LEN(A196) - FIND(".", A196) + 2)
)
),
"")</f>
        <v>1</v>
      </c>
      <c r="C196" s="37" t="s">
        <v>448</v>
      </c>
      <c r="D196" s="10" t="str">
        <f aca="false">REPT("   ", B196*2) &amp; C196</f>
        <v>      Additional Nuclear Fuel</v>
      </c>
      <c r="E196" s="10"/>
      <c r="F196" s="10"/>
      <c r="G196" s="10"/>
      <c r="H196" s="10"/>
      <c r="I196" s="10"/>
      <c r="J196" s="16"/>
      <c r="K196" s="42"/>
      <c r="L196" s="23"/>
      <c r="M196" s="26"/>
      <c r="N196" s="23"/>
      <c r="O196" s="23"/>
      <c r="P196" s="23"/>
      <c r="Q196" s="20"/>
      <c r="R196" s="23"/>
      <c r="S196" s="26"/>
      <c r="T196" s="23"/>
      <c r="U196" s="23"/>
      <c r="V196" s="23"/>
      <c r="W196" s="12"/>
      <c r="X196" s="24"/>
      <c r="Y196" s="24"/>
      <c r="Z196" s="12"/>
      <c r="AA196" s="13"/>
      <c r="AB196" s="13"/>
      <c r="AC196" s="12"/>
      <c r="AD196" s="13"/>
      <c r="AE196" s="13"/>
      <c r="AF196" s="13"/>
      <c r="AG196" s="12"/>
    </row>
    <row r="197" customFormat="false" ht="51.75" hidden="false" customHeight="true" outlineLevel="0" collapsed="false">
      <c r="A197" s="6" t="n">
        <v>83</v>
      </c>
      <c r="B197" s="9" t="n">
        <f aca="false">IF(ISNUMBER(A197),
IF(AND(A197=INT(A197), MOD(A197, 10) = 0), 0,
IF(AND(A197=INT(A197), LEN(A197)=2), 1,
IF(AND(A197=INT(A197), LEN(A197)=3), 2,
LEN(A197) - FIND(".", A197) + 2)
)
),
"")</f>
        <v>1</v>
      </c>
      <c r="C197" s="37" t="s">
        <v>449</v>
      </c>
      <c r="D197" s="10" t="str">
        <f aca="false">REPT("   ", B197*2) &amp; C197</f>
        <v>      Spent Fuel Management</v>
      </c>
      <c r="E197" s="10" t="s">
        <v>35</v>
      </c>
      <c r="F197" s="10"/>
      <c r="G197" s="10"/>
      <c r="H197" s="10"/>
      <c r="I197" s="10"/>
      <c r="J197" s="16"/>
      <c r="K197" s="42" t="n">
        <v>1</v>
      </c>
      <c r="L197" s="23" t="s">
        <v>450</v>
      </c>
      <c r="M197" s="26" t="s">
        <v>451</v>
      </c>
      <c r="N197" s="23"/>
      <c r="O197" s="23"/>
      <c r="P197" s="23" t="n">
        <v>1</v>
      </c>
      <c r="Q197" s="20" t="n">
        <v>2024</v>
      </c>
      <c r="R197" s="23" t="s">
        <v>96</v>
      </c>
      <c r="S197" s="26"/>
      <c r="T197" s="23"/>
      <c r="U197" s="23"/>
      <c r="V197" s="23"/>
      <c r="W197" s="12" t="s">
        <v>43</v>
      </c>
      <c r="X197" s="24" t="n">
        <f aca="false">0.9*$J197</f>
        <v>0</v>
      </c>
      <c r="Y197" s="24" t="n">
        <f aca="false">1.5*J197</f>
        <v>0</v>
      </c>
      <c r="Z197" s="12" t="s">
        <v>44</v>
      </c>
      <c r="AA197" s="13" t="n">
        <f aca="false">0.9*K197</f>
        <v>0.9</v>
      </c>
      <c r="AB197" s="13" t="n">
        <f aca="false">1.3*K197</f>
        <v>1.3</v>
      </c>
      <c r="AC197" s="12" t="s">
        <v>44</v>
      </c>
      <c r="AD197" s="13" t="s">
        <v>45</v>
      </c>
      <c r="AE197" s="13" t="s">
        <v>46</v>
      </c>
      <c r="AF197" s="13" t="s">
        <v>47</v>
      </c>
      <c r="AG197" s="12" t="s">
        <v>48</v>
      </c>
    </row>
  </sheetData>
  <mergeCells count="53">
    <mergeCell ref="T3:T4"/>
    <mergeCell ref="U3:U4"/>
    <mergeCell ref="U5:U6"/>
    <mergeCell ref="S11:S13"/>
    <mergeCell ref="T11:T13"/>
    <mergeCell ref="U11:U13"/>
    <mergeCell ref="S19:S21"/>
    <mergeCell ref="T19:T21"/>
    <mergeCell ref="U19:U21"/>
    <mergeCell ref="S26:S28"/>
    <mergeCell ref="T26:T28"/>
    <mergeCell ref="U26:U28"/>
    <mergeCell ref="S30:S32"/>
    <mergeCell ref="T30:T32"/>
    <mergeCell ref="U30:U32"/>
    <mergeCell ref="S34:S36"/>
    <mergeCell ref="T34:T36"/>
    <mergeCell ref="U34:U36"/>
    <mergeCell ref="S41:S43"/>
    <mergeCell ref="T41:T43"/>
    <mergeCell ref="U41:U43"/>
    <mergeCell ref="S45:S47"/>
    <mergeCell ref="T45:T47"/>
    <mergeCell ref="U45:U47"/>
    <mergeCell ref="S50:S52"/>
    <mergeCell ref="T50:T52"/>
    <mergeCell ref="U50:U52"/>
    <mergeCell ref="S56:S58"/>
    <mergeCell ref="T56:T58"/>
    <mergeCell ref="U56:U58"/>
    <mergeCell ref="V56:V58"/>
    <mergeCell ref="S61:S63"/>
    <mergeCell ref="T61:T63"/>
    <mergeCell ref="U61:U63"/>
    <mergeCell ref="S65:S67"/>
    <mergeCell ref="T65:T67"/>
    <mergeCell ref="U65:U67"/>
    <mergeCell ref="T72:T77"/>
    <mergeCell ref="T80:T84"/>
    <mergeCell ref="U80:U84"/>
    <mergeCell ref="U90:U100"/>
    <mergeCell ref="T110:T111"/>
    <mergeCell ref="U110:U111"/>
    <mergeCell ref="V110:V111"/>
    <mergeCell ref="V124:V125"/>
    <mergeCell ref="S139:S144"/>
    <mergeCell ref="T139:T144"/>
    <mergeCell ref="S146:S151"/>
    <mergeCell ref="T146:T151"/>
    <mergeCell ref="S156:S159"/>
    <mergeCell ref="S174:S180"/>
    <mergeCell ref="T174:T180"/>
    <mergeCell ref="V174:V180"/>
  </mergeCells>
  <conditionalFormatting sqref="O14">
    <cfRule type="expression" priority="2" aboveAverage="0" equalAverage="0" bottom="0" percent="0" rank="0" text="" dxfId="0">
      <formula>$B14=3</formula>
    </cfRule>
  </conditionalFormatting>
  <conditionalFormatting sqref="V16:AG17">
    <cfRule type="expression" priority="3" aboveAverage="0" equalAverage="0" bottom="0" percent="0" rank="0" text="" dxfId="1">
      <formula>$B16=3</formula>
    </cfRule>
  </conditionalFormatting>
  <conditionalFormatting sqref="A14:AG17">
    <cfRule type="expression" priority="4" aboveAverage="0" equalAverage="0" bottom="0" percent="0" rank="0" text="" dxfId="2">
      <formula>$B14=0</formula>
    </cfRule>
  </conditionalFormatting>
  <conditionalFormatting sqref="S14">
    <cfRule type="expression" priority="5" aboveAverage="0" equalAverage="0" bottom="0" percent="0" rank="0" text="" dxfId="3">
      <formula>$B14&lt;2</formula>
    </cfRule>
    <cfRule type="expression" priority="6" aboveAverage="0" equalAverage="0" bottom="0" percent="0" rank="0" text="" dxfId="4">
      <formula>$B14=2</formula>
    </cfRule>
  </conditionalFormatting>
  <conditionalFormatting sqref="S14:AG14">
    <cfRule type="expression" priority="7" aboveAverage="0" equalAverage="0" bottom="0" percent="0" rank="0" text="" dxfId="5">
      <formula>$B14=3</formula>
    </cfRule>
  </conditionalFormatting>
  <conditionalFormatting sqref="C14:D14">
    <cfRule type="expression" priority="8" aboveAverage="0" equalAverage="0" bottom="0" percent="0" rank="0" text="" dxfId="6">
      <formula>$B14&lt;2</formula>
    </cfRule>
    <cfRule type="expression" priority="9" aboveAverage="0" equalAverage="0" bottom="0" percent="0" rank="0" text="" dxfId="7">
      <formula>$B14=2</formula>
    </cfRule>
  </conditionalFormatting>
  <conditionalFormatting sqref="A14:R14">
    <cfRule type="expression" priority="10" aboveAverage="0" equalAverage="0" bottom="0" percent="0" rank="0" text="" dxfId="8">
      <formula>$B14=3</formula>
    </cfRule>
  </conditionalFormatting>
  <conditionalFormatting sqref="S16:S17">
    <cfRule type="expression" priority="11" aboveAverage="0" equalAverage="0" bottom="0" percent="0" rank="0" text="" dxfId="9">
      <formula>$B16&lt;2</formula>
    </cfRule>
    <cfRule type="expression" priority="12" aboveAverage="0" equalAverage="0" bottom="0" percent="0" rank="0" text="" dxfId="10">
      <formula>$B16=2</formula>
    </cfRule>
  </conditionalFormatting>
  <conditionalFormatting sqref="A15:AG17">
    <cfRule type="expression" priority="13" aboveAverage="0" equalAverage="0" bottom="0" percent="0" rank="0" text="" dxfId="11">
      <formula>$B15=3</formula>
    </cfRule>
  </conditionalFormatting>
  <conditionalFormatting sqref="J1:Q17">
    <cfRule type="expression" priority="14" aboveAverage="0" equalAverage="0" bottom="0" percent="0" rank="0" text="" dxfId="12">
      <formula>_xlfn.ISFORMULA(J1)</formula>
    </cfRule>
  </conditionalFormatting>
  <conditionalFormatting sqref="A15:AG15 A16:R17 T16:AG17 A14:B14 E14:R14 T14:AG14">
    <cfRule type="expression" priority="15" aboveAverage="0" equalAverage="0" bottom="0" percent="0" rank="0" text="" dxfId="13">
      <formula>$B14=2</formula>
    </cfRule>
  </conditionalFormatting>
  <conditionalFormatting sqref="A14:B14 E14:R14 T14:AG14 A15:AG15 A16:R17 T16:AG17">
    <cfRule type="expression" priority="16" aboveAverage="0" equalAverage="0" bottom="0" percent="0" rank="0" text="" dxfId="14">
      <formula>$B14&lt;2</formula>
    </cfRule>
  </conditionalFormatting>
  <conditionalFormatting sqref="D15:D17">
    <cfRule type="colorScale" priority="17">
      <colorScale>
        <cfvo type="min" val="0"/>
        <cfvo type="max" val="0"/>
        <color rgb="FFFF7128"/>
        <color rgb="FFFFEF9C"/>
      </colorScale>
    </cfRule>
  </conditionalFormatting>
  <conditionalFormatting sqref="K107:M107">
    <cfRule type="expression" priority="18" aboveAverage="0" equalAverage="0" bottom="0" percent="0" rank="0" text="" dxfId="15">
      <formula>$B107=3</formula>
    </cfRule>
    <cfRule type="expression" priority="19" aboveAverage="0" equalAverage="0" bottom="0" percent="0" rank="0" text="" dxfId="16">
      <formula>$B107=2</formula>
    </cfRule>
    <cfRule type="expression" priority="20" aboveAverage="0" equalAverage="0" bottom="0" percent="0" rank="0" text="" dxfId="17">
      <formula>$B107&lt;2</formula>
    </cfRule>
  </conditionalFormatting>
  <conditionalFormatting sqref="M106:M107">
    <cfRule type="expression" priority="21" aboveAverage="0" equalAverage="0" bottom="0" percent="0" rank="0" text="" dxfId="18">
      <formula>$B106=3</formula>
    </cfRule>
    <cfRule type="expression" priority="22" aboveAverage="0" equalAverage="0" bottom="0" percent="0" rank="0" text="" dxfId="19">
      <formula>$B106=2</formula>
    </cfRule>
    <cfRule type="expression" priority="23" aboveAverage="0" equalAverage="0" bottom="0" percent="0" rank="0" text="" dxfId="20">
      <formula>$B106&lt;2</formula>
    </cfRule>
  </conditionalFormatting>
  <conditionalFormatting sqref="F107">
    <cfRule type="expression" priority="24" aboveAverage="0" equalAverage="0" bottom="0" percent="0" rank="0" text="" dxfId="21">
      <formula>$B107=3</formula>
    </cfRule>
    <cfRule type="expression" priority="25" aboveAverage="0" equalAverage="0" bottom="0" percent="0" rank="0" text="" dxfId="22">
      <formula>$B107=2</formula>
    </cfRule>
    <cfRule type="expression" priority="26" aboveAverage="0" equalAverage="0" bottom="0" percent="0" rank="0" text="" dxfId="23">
      <formula>$B107&lt;2</formula>
    </cfRule>
  </conditionalFormatting>
  <conditionalFormatting sqref="F106:G106">
    <cfRule type="expression" priority="27" aboveAverage="0" equalAverage="0" bottom="0" percent="0" rank="0" text="" dxfId="24">
      <formula>$B106=3</formula>
    </cfRule>
    <cfRule type="expression" priority="28" aboveAverage="0" equalAverage="0" bottom="0" percent="0" rank="0" text="" dxfId="25">
      <formula>$B106=2</formula>
    </cfRule>
    <cfRule type="expression" priority="29" aboveAverage="0" equalAverage="0" bottom="0" percent="0" rank="0" text="" dxfId="26">
      <formula>$B106&lt;2</formula>
    </cfRule>
  </conditionalFormatting>
  <conditionalFormatting sqref="T104">
    <cfRule type="expression" priority="30" aboveAverage="0" equalAverage="0" bottom="0" percent="0" rank="0" text="" dxfId="27">
      <formula>$B104=3</formula>
    </cfRule>
    <cfRule type="expression" priority="31" aboveAverage="0" equalAverage="0" bottom="0" percent="0" rank="0" text="" dxfId="28">
      <formula>$B104=2</formula>
    </cfRule>
    <cfRule type="expression" priority="32" aboveAverage="0" equalAverage="0" bottom="0" percent="0" rank="0" text="" dxfId="29">
      <formula>$B104&lt;2</formula>
    </cfRule>
  </conditionalFormatting>
  <conditionalFormatting sqref="F106:I107">
    <cfRule type="expression" priority="33" aboveAverage="0" equalAverage="0" bottom="0" percent="0" rank="0" text="" dxfId="30">
      <formula>$B106=3</formula>
    </cfRule>
    <cfRule type="expression" priority="34" aboveAverage="0" equalAverage="0" bottom="0" percent="0" rank="0" text="" dxfId="31">
      <formula>$B106=2</formula>
    </cfRule>
    <cfRule type="expression" priority="35" aboveAverage="0" equalAverage="0" bottom="0" percent="0" rank="0" text="" dxfId="32">
      <formula>$B106&lt;2</formula>
    </cfRule>
  </conditionalFormatting>
  <conditionalFormatting sqref="A101:I107">
    <cfRule type="expression" priority="36" aboveAverage="0" equalAverage="0" bottom="0" percent="0" rank="0" text="" dxfId="33">
      <formula>$B101=0</formula>
    </cfRule>
  </conditionalFormatting>
  <conditionalFormatting sqref="T106:T107">
    <cfRule type="expression" priority="37" aboveAverage="0" equalAverage="0" bottom="0" percent="0" rank="0" text="" dxfId="34">
      <formula>$B106=3</formula>
    </cfRule>
    <cfRule type="expression" priority="38" aboveAverage="0" equalAverage="0" bottom="0" percent="0" rank="0" text="" dxfId="35">
      <formula>$B106=2</formula>
    </cfRule>
    <cfRule type="expression" priority="39" aboveAverage="0" equalAverage="0" bottom="0" percent="0" rank="0" text="" dxfId="36">
      <formula>$B106&lt;2</formula>
    </cfRule>
  </conditionalFormatting>
  <conditionalFormatting sqref="S106">
    <cfRule type="expression" priority="40" aboveAverage="0" equalAverage="0" bottom="0" percent="0" rank="0" text="" dxfId="37">
      <formula>$B106=3</formula>
    </cfRule>
    <cfRule type="expression" priority="41" aboveAverage="0" equalAverage="0" bottom="0" percent="0" rank="0" text="" dxfId="38">
      <formula>$B106=2</formula>
    </cfRule>
    <cfRule type="expression" priority="42" aboveAverage="0" equalAverage="0" bottom="0" percent="0" rank="0" text="" dxfId="39">
      <formula>$B106&lt;2</formula>
    </cfRule>
  </conditionalFormatting>
  <conditionalFormatting sqref="Q106:S106">
    <cfRule type="expression" priority="43" aboveAverage="0" equalAverage="0" bottom="0" percent="0" rank="0" text="" dxfId="40">
      <formula>$B106=3</formula>
    </cfRule>
    <cfRule type="expression" priority="44" aboveAverage="0" equalAverage="0" bottom="0" percent="0" rank="0" text="" dxfId="41">
      <formula>$B106=2</formula>
    </cfRule>
    <cfRule type="expression" priority="45" aboveAverage="0" equalAverage="0" bottom="0" percent="0" rank="0" text="" dxfId="42">
      <formula>$B106&lt;2</formula>
    </cfRule>
  </conditionalFormatting>
  <conditionalFormatting sqref="Q106:R106">
    <cfRule type="expression" priority="46" aboveAverage="0" equalAverage="0" bottom="0" percent="0" rank="0" text="" dxfId="43">
      <formula>$B106=3</formula>
    </cfRule>
    <cfRule type="expression" priority="47" aboveAverage="0" equalAverage="0" bottom="0" percent="0" rank="0" text="" dxfId="44">
      <formula>$B106=2</formula>
    </cfRule>
    <cfRule type="expression" priority="48" aboveAverage="0" equalAverage="0" bottom="0" percent="0" rank="0" text="" dxfId="45">
      <formula>$B106&lt;2</formula>
    </cfRule>
  </conditionalFormatting>
  <conditionalFormatting sqref="K106:M106">
    <cfRule type="expression" priority="49" aboveAverage="0" equalAverage="0" bottom="0" percent="0" rank="0" text="" dxfId="46">
      <formula>$B106=3</formula>
    </cfRule>
    <cfRule type="expression" priority="50" aboveAverage="0" equalAverage="0" bottom="0" percent="0" rank="0" text="" dxfId="47">
      <formula>$B106=2</formula>
    </cfRule>
    <cfRule type="expression" priority="51" aboveAverage="0" equalAverage="0" bottom="0" percent="0" rank="0" text="" dxfId="48">
      <formula>$B106&lt;2</formula>
    </cfRule>
  </conditionalFormatting>
  <conditionalFormatting sqref="C106:C107">
    <cfRule type="expression" priority="52" aboveAverage="0" equalAverage="0" bottom="0" percent="0" rank="0" text="" dxfId="49">
      <formula>$B106=3</formula>
    </cfRule>
    <cfRule type="expression" priority="53" aboveAverage="0" equalAverage="0" bottom="0" percent="0" rank="0" text="" dxfId="50">
      <formula>$B106=2</formula>
    </cfRule>
    <cfRule type="expression" priority="54" aboveAverage="0" equalAverage="0" bottom="0" percent="0" rank="0" text="" dxfId="51">
      <formula>$B106&lt;2</formula>
    </cfRule>
  </conditionalFormatting>
  <conditionalFormatting sqref="G104">
    <cfRule type="expression" priority="55" aboveAverage="0" equalAverage="0" bottom="0" percent="0" rank="0" text="" dxfId="52">
      <formula>$B104=3</formula>
    </cfRule>
    <cfRule type="expression" priority="56" aboveAverage="0" equalAverage="0" bottom="0" percent="0" rank="0" text="" dxfId="53">
      <formula>$B104=2</formula>
    </cfRule>
    <cfRule type="expression" priority="57" aboveAverage="0" equalAverage="0" bottom="0" percent="0" rank="0" text="" dxfId="54">
      <formula>$B104&lt;2</formula>
    </cfRule>
  </conditionalFormatting>
  <conditionalFormatting sqref="F103:I105">
    <cfRule type="expression" priority="58" aboveAverage="0" equalAverage="0" bottom="0" percent="0" rank="0" text="" dxfId="55">
      <formula>$B103=3</formula>
    </cfRule>
    <cfRule type="expression" priority="59" aboveAverage="0" equalAverage="0" bottom="0" percent="0" rank="0" text="" dxfId="56">
      <formula>$B103=2</formula>
    </cfRule>
    <cfRule type="expression" priority="60" aboveAverage="0" equalAverage="0" bottom="0" percent="0" rank="0" text="" dxfId="57">
      <formula>$B103&lt;2</formula>
    </cfRule>
  </conditionalFormatting>
  <conditionalFormatting sqref="A89:AG89">
    <cfRule type="expression" priority="61" aboveAverage="0" equalAverage="0" bottom="0" percent="0" rank="0" text="" dxfId="58">
      <formula>$B89=3</formula>
    </cfRule>
    <cfRule type="expression" priority="62" aboveAverage="0" equalAverage="0" bottom="0" percent="0" rank="0" text="" dxfId="59">
      <formula>$B89=2</formula>
    </cfRule>
    <cfRule type="expression" priority="63" aboveAverage="0" equalAverage="0" bottom="0" percent="0" rank="0" text="" dxfId="60">
      <formula>$B89&lt;2</formula>
    </cfRule>
  </conditionalFormatting>
  <conditionalFormatting sqref="A87:AG100">
    <cfRule type="expression" priority="64" aboveAverage="0" equalAverage="0" bottom="0" percent="0" rank="0" text="" dxfId="61">
      <formula>$B87=0</formula>
    </cfRule>
  </conditionalFormatting>
  <conditionalFormatting sqref="F115">
    <cfRule type="expression" priority="65" aboveAverage="0" equalAverage="0" bottom="0" percent="0" rank="0" text="" dxfId="62">
      <formula>$B115=3</formula>
    </cfRule>
    <cfRule type="expression" priority="66" aboveAverage="0" equalAverage="0" bottom="0" percent="0" rank="0" text="" dxfId="63">
      <formula>$B115=2</formula>
    </cfRule>
    <cfRule type="expression" priority="67" aboveAverage="0" equalAverage="0" bottom="0" percent="0" rank="0" text="" dxfId="64">
      <formula>$B115&lt;2</formula>
    </cfRule>
  </conditionalFormatting>
  <conditionalFormatting sqref="F113:G114">
    <cfRule type="expression" priority="68" aboveAverage="0" equalAverage="0" bottom="0" percent="0" rank="0" text="" dxfId="65">
      <formula>$B113=3</formula>
    </cfRule>
    <cfRule type="expression" priority="69" aboveAverage="0" equalAverage="0" bottom="0" percent="0" rank="0" text="" dxfId="66">
      <formula>$B113=2</formula>
    </cfRule>
    <cfRule type="expression" priority="70" aboveAverage="0" equalAverage="0" bottom="0" percent="0" rank="0" text="" dxfId="67">
      <formula>$B113&lt;2</formula>
    </cfRule>
  </conditionalFormatting>
  <conditionalFormatting sqref="F113:F115">
    <cfRule type="expression" priority="71" aboveAverage="0" equalAverage="0" bottom="0" percent="0" rank="0" text="" dxfId="68">
      <formula>$B113=0</formula>
    </cfRule>
  </conditionalFormatting>
  <conditionalFormatting sqref="Z101:AG107">
    <cfRule type="expression" priority="72" aboveAverage="0" equalAverage="0" bottom="0" percent="0" rank="0" text="" dxfId="69">
      <formula>$B101=3</formula>
    </cfRule>
    <cfRule type="expression" priority="73" aboveAverage="0" equalAverage="0" bottom="0" percent="0" rank="0" text="" dxfId="70">
      <formula>$B101=2</formula>
    </cfRule>
    <cfRule type="expression" priority="74" aboveAverage="0" equalAverage="0" bottom="0" percent="0" rank="0" text="" dxfId="71">
      <formula>$B101&lt;2</formula>
    </cfRule>
    <cfRule type="expression" priority="75" aboveAverage="0" equalAverage="0" bottom="0" percent="0" rank="0" text="" dxfId="72">
      <formula>$B101=0</formula>
    </cfRule>
  </conditionalFormatting>
  <conditionalFormatting sqref="S107:T107">
    <cfRule type="expression" priority="76" aboveAverage="0" equalAverage="0" bottom="0" percent="0" rank="0" text="" dxfId="73">
      <formula>$B107=3</formula>
    </cfRule>
    <cfRule type="expression" priority="77" aboveAverage="0" equalAverage="0" bottom="0" percent="0" rank="0" text="" dxfId="74">
      <formula>$B107=2</formula>
    </cfRule>
    <cfRule type="expression" priority="78" aboveAverage="0" equalAverage="0" bottom="0" percent="0" rank="0" text="" dxfId="75">
      <formula>$B107&lt;2</formula>
    </cfRule>
  </conditionalFormatting>
  <conditionalFormatting sqref="Q101:T107">
    <cfRule type="expression" priority="79" aboveAverage="0" equalAverage="0" bottom="0" percent="0" rank="0" text="" dxfId="76">
      <formula>$B101=0</formula>
    </cfRule>
  </conditionalFormatting>
  <conditionalFormatting sqref="S105:T105">
    <cfRule type="expression" priority="80" aboveAverage="0" equalAverage="0" bottom="0" percent="0" rank="0" text="" dxfId="77">
      <formula>$B105=3</formula>
    </cfRule>
    <cfRule type="expression" priority="81" aboveAverage="0" equalAverage="0" bottom="0" percent="0" rank="0" text="" dxfId="78">
      <formula>$B105=2</formula>
    </cfRule>
    <cfRule type="expression" priority="82" aboveAverage="0" equalAverage="0" bottom="0" percent="0" rank="0" text="" dxfId="79">
      <formula>$B105&lt;2</formula>
    </cfRule>
  </conditionalFormatting>
  <conditionalFormatting sqref="T103:T106">
    <cfRule type="expression" priority="83" aboveAverage="0" equalAverage="0" bottom="0" percent="0" rank="0" text="" dxfId="80">
      <formula>$B103=3</formula>
    </cfRule>
    <cfRule type="expression" priority="84" aboveAverage="0" equalAverage="0" bottom="0" percent="0" rank="0" text="" dxfId="81">
      <formula>$B103=2</formula>
    </cfRule>
    <cfRule type="expression" priority="85" aboveAverage="0" equalAverage="0" bottom="0" percent="0" rank="0" text="" dxfId="82">
      <formula>$B103&lt;2</formula>
    </cfRule>
  </conditionalFormatting>
  <conditionalFormatting sqref="Q105:S105">
    <cfRule type="expression" priority="86" aboveAverage="0" equalAverage="0" bottom="0" percent="0" rank="0" text="" dxfId="83">
      <formula>$B105=3</formula>
    </cfRule>
    <cfRule type="expression" priority="87" aboveAverage="0" equalAverage="0" bottom="0" percent="0" rank="0" text="" dxfId="84">
      <formula>$B105=2</formula>
    </cfRule>
    <cfRule type="expression" priority="88" aboveAverage="0" equalAverage="0" bottom="0" percent="0" rank="0" text="" dxfId="85">
      <formula>$B105&lt;2</formula>
    </cfRule>
  </conditionalFormatting>
  <conditionalFormatting sqref="Q107:S107">
    <cfRule type="expression" priority="89" aboveAverage="0" equalAverage="0" bottom="0" percent="0" rank="0" text="" dxfId="86">
      <formula>$B107=3</formula>
    </cfRule>
    <cfRule type="expression" priority="90" aboveAverage="0" equalAverage="0" bottom="0" percent="0" rank="0" text="" dxfId="87">
      <formula>$B107=2</formula>
    </cfRule>
    <cfRule type="expression" priority="91" aboveAverage="0" equalAverage="0" bottom="0" percent="0" rank="0" text="" dxfId="88">
      <formula>$B107&lt;2</formula>
    </cfRule>
  </conditionalFormatting>
  <conditionalFormatting sqref="Q107:R107">
    <cfRule type="expression" priority="92" aboveAverage="0" equalAverage="0" bottom="0" percent="0" rank="0" text="" dxfId="89">
      <formula>$B107=3</formula>
    </cfRule>
    <cfRule type="expression" priority="93" aboveAverage="0" equalAverage="0" bottom="0" percent="0" rank="0" text="" dxfId="90">
      <formula>$B107=2</formula>
    </cfRule>
    <cfRule type="expression" priority="94" aboveAverage="0" equalAverage="0" bottom="0" percent="0" rank="0" text="" dxfId="91">
      <formula>$B107&lt;2</formula>
    </cfRule>
  </conditionalFormatting>
  <conditionalFormatting sqref="Q105:R105">
    <cfRule type="expression" priority="95" aboveAverage="0" equalAverage="0" bottom="0" percent="0" rank="0" text="" dxfId="92">
      <formula>$B105=3</formula>
    </cfRule>
    <cfRule type="expression" priority="96" aboveAverage="0" equalAverage="0" bottom="0" percent="0" rank="0" text="" dxfId="93">
      <formula>$B105=2</formula>
    </cfRule>
    <cfRule type="expression" priority="97" aboveAverage="0" equalAverage="0" bottom="0" percent="0" rank="0" text="" dxfId="94">
      <formula>$B105&lt;2</formula>
    </cfRule>
  </conditionalFormatting>
  <conditionalFormatting sqref="Q101:Q107">
    <cfRule type="expression" priority="98" aboveAverage="0" equalAverage="0" bottom="0" percent="0" rank="0" text="" dxfId="95">
      <formula>_xlfn.ISFORMULA(Q101)</formula>
    </cfRule>
  </conditionalFormatting>
  <conditionalFormatting sqref="K101:M107">
    <cfRule type="expression" priority="99" aboveAverage="0" equalAverage="0" bottom="0" percent="0" rank="0" text="" dxfId="96">
      <formula>_xlfn.ISFORMULA(K101)</formula>
    </cfRule>
    <cfRule type="expression" priority="100" aboveAverage="0" equalAverage="0" bottom="0" percent="0" rank="0" text="" dxfId="97">
      <formula>$B101=0</formula>
    </cfRule>
  </conditionalFormatting>
  <conditionalFormatting sqref="K103:M107">
    <cfRule type="expression" priority="101" aboveAverage="0" equalAverage="0" bottom="0" percent="0" rank="0" text="" dxfId="98">
      <formula>$B103=3</formula>
    </cfRule>
    <cfRule type="expression" priority="102" aboveAverage="0" equalAverage="0" bottom="0" percent="0" rank="0" text="" dxfId="99">
      <formula>$B103=2</formula>
    </cfRule>
    <cfRule type="expression" priority="103" aboveAverage="0" equalAverage="0" bottom="0" percent="0" rank="0" text="" dxfId="100">
      <formula>$B103&lt;2</formula>
    </cfRule>
  </conditionalFormatting>
  <conditionalFormatting sqref="K101:M105">
    <cfRule type="expression" priority="104" aboveAverage="0" equalAverage="0" bottom="0" percent="0" rank="0" text="" dxfId="101">
      <formula>$B101=3</formula>
    </cfRule>
    <cfRule type="expression" priority="105" aboveAverage="0" equalAverage="0" bottom="0" percent="0" rank="0" text="" dxfId="102">
      <formula>$B101=2</formula>
    </cfRule>
    <cfRule type="expression" priority="106" aboveAverage="0" equalAverage="0" bottom="0" percent="0" rank="0" text="" dxfId="103">
      <formula>$B101&lt;2</formula>
    </cfRule>
  </conditionalFormatting>
  <conditionalFormatting sqref="F107:I107">
    <cfRule type="expression" priority="107" aboveAverage="0" equalAverage="0" bottom="0" percent="0" rank="0" text="" dxfId="104">
      <formula>$B107=3</formula>
    </cfRule>
    <cfRule type="expression" priority="108" aboveAverage="0" equalAverage="0" bottom="0" percent="0" rank="0" text="" dxfId="105">
      <formula>$B107=2</formula>
    </cfRule>
    <cfRule type="expression" priority="109" aboveAverage="0" equalAverage="0" bottom="0" percent="0" rank="0" text="" dxfId="106">
      <formula>$B107&lt;2</formula>
    </cfRule>
  </conditionalFormatting>
  <conditionalFormatting sqref="F106:F107 F101:I103 F104 H104:I104 F105:I105 H106:I106">
    <cfRule type="expression" priority="110" aboveAverage="0" equalAverage="0" bottom="0" percent="0" rank="0" text="" dxfId="107">
      <formula>$B101=3</formula>
    </cfRule>
  </conditionalFormatting>
  <conditionalFormatting sqref="F101:I103 F104 H104:I104 F105:I105 H106:I106 F106:F107">
    <cfRule type="expression" priority="111" aboveAverage="0" equalAverage="0" bottom="0" percent="0" rank="0" text="" dxfId="108">
      <formula>$B101=2</formula>
    </cfRule>
    <cfRule type="expression" priority="112" aboveAverage="0" equalAverage="0" bottom="0" percent="0" rank="0" text="" dxfId="109">
      <formula>$B101&lt;2</formula>
    </cfRule>
  </conditionalFormatting>
  <conditionalFormatting sqref="W101:W107">
    <cfRule type="expression" priority="113" aboveAverage="0" equalAverage="0" bottom="0" percent="0" rank="0" text="" dxfId="110">
      <formula>$B101=3</formula>
    </cfRule>
    <cfRule type="expression" priority="114" aboveAverage="0" equalAverage="0" bottom="0" percent="0" rank="0" text="" dxfId="111">
      <formula>$B101=2</formula>
    </cfRule>
    <cfRule type="expression" priority="115" aboveAverage="0" equalAverage="0" bottom="0" percent="0" rank="0" text="" dxfId="112">
      <formula>$B101&lt;2</formula>
    </cfRule>
    <cfRule type="expression" priority="116" aboveAverage="0" equalAverage="0" bottom="0" percent="0" rank="0" text="" dxfId="113">
      <formula>$B101=0</formula>
    </cfRule>
  </conditionalFormatting>
  <conditionalFormatting sqref="T101:T104">
    <cfRule type="expression" priority="117" aboveAverage="0" equalAverage="0" bottom="0" percent="0" rank="0" text="" dxfId="114">
      <formula>$B101=3</formula>
    </cfRule>
    <cfRule type="expression" priority="118" aboveAverage="0" equalAverage="0" bottom="0" percent="0" rank="0" text="" dxfId="115">
      <formula>$B101=2</formula>
    </cfRule>
    <cfRule type="expression" priority="119" aboveAverage="0" equalAverage="0" bottom="0" percent="0" rank="0" text="" dxfId="116">
      <formula>$B101&lt;2</formula>
    </cfRule>
  </conditionalFormatting>
  <conditionalFormatting sqref="S101:T102">
    <cfRule type="expression" priority="120" aboveAverage="0" equalAverage="0" bottom="0" percent="0" rank="0" text="" dxfId="117">
      <formula>$B101=3</formula>
    </cfRule>
    <cfRule type="expression" priority="121" aboveAverage="0" equalAverage="0" bottom="0" percent="0" rank="0" text="" dxfId="118">
      <formula>$B101=2</formula>
    </cfRule>
    <cfRule type="expression" priority="122" aboveAverage="0" equalAverage="0" bottom="0" percent="0" rank="0" text="" dxfId="119">
      <formula>$B101&lt;2</formula>
    </cfRule>
  </conditionalFormatting>
  <conditionalFormatting sqref="S101:S104">
    <cfRule type="expression" priority="123" aboveAverage="0" equalAverage="0" bottom="0" percent="0" rank="0" text="" dxfId="120">
      <formula>$B101=3</formula>
    </cfRule>
    <cfRule type="expression" priority="124" aboveAverage="0" equalAverage="0" bottom="0" percent="0" rank="0" text="" dxfId="121">
      <formula>$B101=2</formula>
    </cfRule>
    <cfRule type="expression" priority="125" aboveAverage="0" equalAverage="0" bottom="0" percent="0" rank="0" text="" dxfId="122">
      <formula>$B101&lt;2</formula>
    </cfRule>
  </conditionalFormatting>
  <conditionalFormatting sqref="Q103:S104">
    <cfRule type="expression" priority="126" aboveAverage="0" equalAverage="0" bottom="0" percent="0" rank="0" text="" dxfId="123">
      <formula>$B103=3</formula>
    </cfRule>
    <cfRule type="expression" priority="127" aboveAverage="0" equalAverage="0" bottom="0" percent="0" rank="0" text="" dxfId="124">
      <formula>$B103=2</formula>
    </cfRule>
    <cfRule type="expression" priority="128" aboveAverage="0" equalAverage="0" bottom="0" percent="0" rank="0" text="" dxfId="125">
      <formula>$B103&lt;2</formula>
    </cfRule>
  </conditionalFormatting>
  <conditionalFormatting sqref="Q101:R104">
    <cfRule type="expression" priority="129" aboveAverage="0" equalAverage="0" bottom="0" percent="0" rank="0" text="" dxfId="126">
      <formula>$B101=3</formula>
    </cfRule>
    <cfRule type="expression" priority="130" aboveAverage="0" equalAverage="0" bottom="0" percent="0" rank="0" text="" dxfId="127">
      <formula>$B101=2</formula>
    </cfRule>
    <cfRule type="expression" priority="131" aboveAverage="0" equalAverage="0" bottom="0" percent="0" rank="0" text="" dxfId="128">
      <formula>$B101&lt;2</formula>
    </cfRule>
  </conditionalFormatting>
  <conditionalFormatting sqref="Q101:R102">
    <cfRule type="expression" priority="132" aboveAverage="0" equalAverage="0" bottom="0" percent="0" rank="0" text="" dxfId="129">
      <formula>$B101=3</formula>
    </cfRule>
    <cfRule type="expression" priority="133" aboveAverage="0" equalAverage="0" bottom="0" percent="0" rank="0" text="" dxfId="130">
      <formula>$B101=2</formula>
    </cfRule>
    <cfRule type="expression" priority="134" aboveAverage="0" equalAverage="0" bottom="0" percent="0" rank="0" text="" dxfId="131">
      <formula>$B101&lt;2</formula>
    </cfRule>
  </conditionalFormatting>
  <conditionalFormatting sqref="O103:O107">
    <cfRule type="expression" priority="135" aboveAverage="0" equalAverage="0" bottom="0" percent="0" rank="0" text="" dxfId="132">
      <formula>$B103=3</formula>
    </cfRule>
    <cfRule type="expression" priority="136" aboveAverage="0" equalAverage="0" bottom="0" percent="0" rank="0" text="" dxfId="133">
      <formula>$B103=2</formula>
    </cfRule>
    <cfRule type="expression" priority="137" aboveAverage="0" equalAverage="0" bottom="0" percent="0" rank="0" text="" dxfId="134">
      <formula>$B103&lt;2</formula>
    </cfRule>
  </conditionalFormatting>
  <conditionalFormatting sqref="O101:O107">
    <cfRule type="expression" priority="138" aboveAverage="0" equalAverage="0" bottom="0" percent="0" rank="0" text="" dxfId="135">
      <formula>_xlfn.ISFORMULA(O101)</formula>
    </cfRule>
    <cfRule type="expression" priority="139" aboveAverage="0" equalAverage="0" bottom="0" percent="0" rank="0" text="" dxfId="136">
      <formula>$B101=3</formula>
    </cfRule>
    <cfRule type="expression" priority="140" aboveAverage="0" equalAverage="0" bottom="0" percent="0" rank="0" text="" dxfId="137">
      <formula>$B101=2</formula>
    </cfRule>
    <cfRule type="expression" priority="141" aboveAverage="0" equalAverage="0" bottom="0" percent="0" rank="0" text="" dxfId="138">
      <formula>$B101&lt;2</formula>
    </cfRule>
    <cfRule type="expression" priority="142" aboveAverage="0" equalAverage="0" bottom="0" percent="0" rank="0" text="" dxfId="139">
      <formula>$B101=0</formula>
    </cfRule>
  </conditionalFormatting>
  <conditionalFormatting sqref="O101:O102">
    <cfRule type="expression" priority="143" aboveAverage="0" equalAverage="0" bottom="0" percent="0" rank="0" text="" dxfId="140">
      <formula>$B101=3</formula>
    </cfRule>
    <cfRule type="expression" priority="144" aboveAverage="0" equalAverage="0" bottom="0" percent="0" rank="0" text="" dxfId="141">
      <formula>$B101=2</formula>
    </cfRule>
    <cfRule type="expression" priority="145" aboveAverage="0" equalAverage="0" bottom="0" percent="0" rank="0" text="" dxfId="142">
      <formula>$B101&lt;2</formula>
    </cfRule>
  </conditionalFormatting>
  <conditionalFormatting sqref="K101:M102">
    <cfRule type="expression" priority="146" aboveAverage="0" equalAverage="0" bottom="0" percent="0" rank="0" text="" dxfId="143">
      <formula>$B101=3</formula>
    </cfRule>
    <cfRule type="expression" priority="147" aboveAverage="0" equalAverage="0" bottom="0" percent="0" rank="0" text="" dxfId="144">
      <formula>$B101=2</formula>
    </cfRule>
    <cfRule type="expression" priority="148" aboveAverage="0" equalAverage="0" bottom="0" percent="0" rank="0" text="" dxfId="145">
      <formula>$B101&lt;2</formula>
    </cfRule>
  </conditionalFormatting>
  <conditionalFormatting sqref="F101:I102">
    <cfRule type="expression" priority="149" aboveAverage="0" equalAverage="0" bottom="0" percent="0" rank="0" text="" dxfId="146">
      <formula>$B101=3</formula>
    </cfRule>
    <cfRule type="expression" priority="150" aboveAverage="0" equalAverage="0" bottom="0" percent="0" rank="0" text="" dxfId="147">
      <formula>$B101=2</formula>
    </cfRule>
    <cfRule type="expression" priority="151" aboveAverage="0" equalAverage="0" bottom="0" percent="0" rank="0" text="" dxfId="148">
      <formula>$B101&lt;2</formula>
    </cfRule>
  </conditionalFormatting>
  <conditionalFormatting sqref="E101:E107">
    <cfRule type="expression" priority="152" aboveAverage="0" equalAverage="0" bottom="0" percent="0" rank="0" text="" dxfId="149">
      <formula>$B101=3</formula>
    </cfRule>
    <cfRule type="expression" priority="153" aboveAverage="0" equalAverage="0" bottom="0" percent="0" rank="0" text="" dxfId="150">
      <formula>$B101=2</formula>
    </cfRule>
    <cfRule type="expression" priority="154" aboveAverage="0" equalAverage="0" bottom="0" percent="0" rank="0" text="" dxfId="151">
      <formula>$B101&lt;2</formula>
    </cfRule>
  </conditionalFormatting>
  <conditionalFormatting sqref="D101:E107">
    <cfRule type="expression" priority="155" aboveAverage="0" equalAverage="0" bottom="0" percent="0" rank="0" text="" dxfId="152">
      <formula>$B101=3</formula>
    </cfRule>
    <cfRule type="expression" priority="156" aboveAverage="0" equalAverage="0" bottom="0" percent="0" rank="0" text="" dxfId="153">
      <formula>$B101=2</formula>
    </cfRule>
    <cfRule type="expression" priority="157" aboveAverage="0" equalAverage="0" bottom="0" percent="0" rank="0" text="" dxfId="154">
      <formula>$B101&lt;2</formula>
    </cfRule>
  </conditionalFormatting>
  <conditionalFormatting sqref="C105:C107">
    <cfRule type="expression" priority="158" aboveAverage="0" equalAverage="0" bottom="0" percent="0" rank="0" text="" dxfId="155">
      <formula>$B105=3</formula>
    </cfRule>
    <cfRule type="expression" priority="159" aboveAverage="0" equalAverage="0" bottom="0" percent="0" rank="0" text="" dxfId="156">
      <formula>$B105=2</formula>
    </cfRule>
    <cfRule type="expression" priority="160" aboveAverage="0" equalAverage="0" bottom="0" percent="0" rank="0" text="" dxfId="157">
      <formula>$B105&lt;2</formula>
    </cfRule>
  </conditionalFormatting>
  <conditionalFormatting sqref="C103:C106">
    <cfRule type="expression" priority="161" aboveAverage="0" equalAverage="0" bottom="0" percent="0" rank="0" text="" dxfId="158">
      <formula>$B103=3</formula>
    </cfRule>
    <cfRule type="expression" priority="162" aboveAverage="0" equalAverage="0" bottom="0" percent="0" rank="0" text="" dxfId="159">
      <formula>$B103=2</formula>
    </cfRule>
    <cfRule type="expression" priority="163" aboveAverage="0" equalAverage="0" bottom="0" percent="0" rank="0" text="" dxfId="160">
      <formula>$B103&lt;2</formula>
    </cfRule>
  </conditionalFormatting>
  <conditionalFormatting sqref="C101:C104">
    <cfRule type="expression" priority="164" aboveAverage="0" equalAverage="0" bottom="0" percent="0" rank="0" text="" dxfId="161">
      <formula>$B101=3</formula>
    </cfRule>
    <cfRule type="expression" priority="165" aboveAverage="0" equalAverage="0" bottom="0" percent="0" rank="0" text="" dxfId="162">
      <formula>$B101=2</formula>
    </cfRule>
    <cfRule type="expression" priority="166" aboveAverage="0" equalAverage="0" bottom="0" percent="0" rank="0" text="" dxfId="163">
      <formula>$B101&lt;2</formula>
    </cfRule>
  </conditionalFormatting>
  <conditionalFormatting sqref="C101:C102">
    <cfRule type="expression" priority="167" aboveAverage="0" equalAverage="0" bottom="0" percent="0" rank="0" text="" dxfId="164">
      <formula>$B101=3</formula>
    </cfRule>
    <cfRule type="expression" priority="168" aboveAverage="0" equalAverage="0" bottom="0" percent="0" rank="0" text="" dxfId="165">
      <formula>$B101=2</formula>
    </cfRule>
    <cfRule type="expression" priority="169" aboveAverage="0" equalAverage="0" bottom="0" percent="0" rank="0" text="" dxfId="166">
      <formula>$B101&lt;2</formula>
    </cfRule>
  </conditionalFormatting>
  <conditionalFormatting sqref="W139:AG144">
    <cfRule type="expression" priority="170" aboveAverage="0" equalAverage="0" bottom="0" percent="0" rank="0" text="" dxfId="167">
      <formula>$B139=3</formula>
    </cfRule>
    <cfRule type="expression" priority="171" aboveAverage="0" equalAverage="0" bottom="0" percent="0" rank="0" text="" dxfId="168">
      <formula>$B139=2</formula>
    </cfRule>
    <cfRule type="expression" priority="172" aboveAverage="0" equalAverage="0" bottom="0" percent="0" rank="0" text="" dxfId="169">
      <formula>$B139&lt;2</formula>
    </cfRule>
  </conditionalFormatting>
  <conditionalFormatting sqref="U139:AG144">
    <cfRule type="expression" priority="173" aboveAverage="0" equalAverage="0" bottom="0" percent="0" rank="0" text="" dxfId="170">
      <formula>$B139=0</formula>
    </cfRule>
  </conditionalFormatting>
  <conditionalFormatting sqref="Z137:AG137">
    <cfRule type="expression" priority="174" aboveAverage="0" equalAverage="0" bottom="0" percent="0" rank="0" text="" dxfId="171">
      <formula>$B137=3</formula>
    </cfRule>
    <cfRule type="expression" priority="175" aboveAverage="0" equalAverage="0" bottom="0" percent="0" rank="0" text="" dxfId="172">
      <formula>$B137=2</formula>
    </cfRule>
    <cfRule type="expression" priority="176" aboveAverage="0" equalAverage="0" bottom="0" percent="0" rank="0" text="" dxfId="173">
      <formula>$B137&lt;2</formula>
    </cfRule>
  </conditionalFormatting>
  <conditionalFormatting sqref="A137:AG138">
    <cfRule type="expression" priority="177" aboveAverage="0" equalAverage="0" bottom="0" percent="0" rank="0" text="" dxfId="174">
      <formula>$B137=0</formula>
    </cfRule>
  </conditionalFormatting>
  <conditionalFormatting sqref="T5">
    <cfRule type="expression" priority="178" aboveAverage="0" equalAverage="0" bottom="0" percent="0" rank="0" text="" dxfId="175">
      <formula>$B5=0</formula>
    </cfRule>
    <cfRule type="expression" priority="179" aboveAverage="0" equalAverage="0" bottom="0" percent="0" rank="0" text="" dxfId="176">
      <formula>$B5=3</formula>
    </cfRule>
    <cfRule type="expression" priority="180" aboveAverage="0" equalAverage="0" bottom="0" percent="0" rank="0" text="" dxfId="177">
      <formula>$B5=2</formula>
    </cfRule>
    <cfRule type="expression" priority="181" aboveAverage="0" equalAverage="0" bottom="0" percent="0" rank="0" text="" dxfId="178">
      <formula>$B5&lt;2</formula>
    </cfRule>
  </conditionalFormatting>
  <conditionalFormatting sqref="A78:V100 A108:V108 A174:R180">
    <cfRule type="expression" priority="182" aboveAverage="0" equalAverage="0" bottom="0" percent="0" rank="0" text="" dxfId="179">
      <formula>$B78=3</formula>
    </cfRule>
    <cfRule type="expression" priority="183" aboveAverage="0" equalAverage="0" bottom="0" percent="0" rank="0" text="" dxfId="180">
      <formula>$B78=2</formula>
    </cfRule>
    <cfRule type="expression" priority="184" aboveAverage="0" equalAverage="0" bottom="0" percent="0" rank="0" text="" dxfId="181">
      <formula>$B78&lt;2</formula>
    </cfRule>
  </conditionalFormatting>
  <conditionalFormatting sqref="A1:AG4 A5:S6 U5:AG6 A7:AG13 A18:AG55 A174:R180">
    <cfRule type="expression" priority="185" aboveAverage="0" equalAverage="0" bottom="0" percent="0" rank="0" text="" dxfId="182">
      <formula>$B1=0</formula>
    </cfRule>
  </conditionalFormatting>
  <conditionalFormatting sqref="W136:AG136">
    <cfRule type="expression" priority="186" aboveAverage="0" equalAverage="0" bottom="0" percent="0" rank="0" text="" dxfId="183">
      <formula>$B136=3</formula>
    </cfRule>
    <cfRule type="expression" priority="187" aboveAverage="0" equalAverage="0" bottom="0" percent="0" rank="0" text="" dxfId="184">
      <formula>$B136=2</formula>
    </cfRule>
    <cfRule type="expression" priority="188" aboveAverage="0" equalAverage="0" bottom="0" percent="0" rank="0" text="" dxfId="185">
      <formula>$B136&lt;2</formula>
    </cfRule>
    <cfRule type="expression" priority="189" aboveAverage="0" equalAverage="0" bottom="0" percent="0" rank="0" text="" dxfId="186">
      <formula>$B136=0</formula>
    </cfRule>
  </conditionalFormatting>
  <conditionalFormatting sqref="A108:AG112">
    <cfRule type="expression" priority="190" aboveAverage="0" equalAverage="0" bottom="0" percent="0" rank="0" text="" dxfId="187">
      <formula>$B108=3</formula>
    </cfRule>
    <cfRule type="expression" priority="191" aboveAverage="0" equalAverage="0" bottom="0" percent="0" rank="0" text="" dxfId="188">
      <formula>$B108=2</formula>
    </cfRule>
    <cfRule type="expression" priority="192" aboveAverage="0" equalAverage="0" bottom="0" percent="0" rank="0" text="" dxfId="189">
      <formula>$B108&lt;2</formula>
    </cfRule>
  </conditionalFormatting>
  <conditionalFormatting sqref="W110:AG112">
    <cfRule type="expression" priority="193" aboveAverage="0" equalAverage="0" bottom="0" percent="0" rank="0" text="" dxfId="190">
      <formula>$B110=0</formula>
    </cfRule>
  </conditionalFormatting>
  <conditionalFormatting sqref="A90:AG97">
    <cfRule type="expression" priority="194" aboveAverage="0" equalAverage="0" bottom="0" percent="0" rank="0" text="" dxfId="191">
      <formula>$B90=3</formula>
    </cfRule>
    <cfRule type="expression" priority="195" aboveAverage="0" equalAverage="0" bottom="0" percent="0" rank="0" text="" dxfId="192">
      <formula>$B90=2</formula>
    </cfRule>
    <cfRule type="expression" priority="196" aboveAverage="0" equalAverage="0" bottom="0" percent="0" rank="0" text="" dxfId="193">
      <formula>$B90&lt;2</formula>
    </cfRule>
  </conditionalFormatting>
  <conditionalFormatting sqref="W80:AG86">
    <cfRule type="expression" priority="197" aboveAverage="0" equalAverage="0" bottom="0" percent="0" rank="0" text="" dxfId="194">
      <formula>$B80=3</formula>
    </cfRule>
    <cfRule type="expression" priority="198" aboveAverage="0" equalAverage="0" bottom="0" percent="0" rank="0" text="" dxfId="195">
      <formula>$B80=2</formula>
    </cfRule>
    <cfRule type="expression" priority="199" aboveAverage="0" equalAverage="0" bottom="0" percent="0" rank="0" text="" dxfId="196">
      <formula>$B80&lt;2</formula>
    </cfRule>
    <cfRule type="expression" priority="200" aboveAverage="0" equalAverage="0" bottom="0" percent="0" rank="0" text="" dxfId="197">
      <formula>$B80=0</formula>
    </cfRule>
  </conditionalFormatting>
  <conditionalFormatting sqref="F56:AG56 A56:E58">
    <cfRule type="expression" priority="201" aboveAverage="0" equalAverage="0" bottom="0" percent="0" rank="0" text="" dxfId="198">
      <formula>$B56=0</formula>
    </cfRule>
  </conditionalFormatting>
  <conditionalFormatting sqref="A7:AG13 A18:AG52">
    <cfRule type="expression" priority="202" aboveAverage="0" equalAverage="0" bottom="0" percent="0" rank="0" text="" dxfId="199">
      <formula>$B7=3</formula>
    </cfRule>
    <cfRule type="expression" priority="203" aboveAverage="0" equalAverage="0" bottom="0" percent="0" rank="0" text="" dxfId="200">
      <formula>$B7=2</formula>
    </cfRule>
    <cfRule type="expression" priority="204" aboveAverage="0" equalAverage="0" bottom="0" percent="0" rank="0" text="" dxfId="201">
      <formula>$B7&lt;2</formula>
    </cfRule>
  </conditionalFormatting>
  <conditionalFormatting sqref="A145:AG148 A149:G150 I149:AG150 A151:AG173">
    <cfRule type="expression" priority="205" aboveAverage="0" equalAverage="0" bottom="0" percent="0" rank="0" text="" dxfId="202">
      <formula>$B145=0</formula>
    </cfRule>
  </conditionalFormatting>
  <conditionalFormatting sqref="F55:I58">
    <cfRule type="expression" priority="206" aboveAverage="0" equalAverage="0" bottom="0" percent="0" rank="0" text="" dxfId="203">
      <formula>$B55=3</formula>
    </cfRule>
    <cfRule type="expression" priority="207" aboveAverage="0" equalAverage="0" bottom="0" percent="0" rank="0" text="" dxfId="204">
      <formula>$B55=2</formula>
    </cfRule>
    <cfRule type="expression" priority="208" aboveAverage="0" equalAverage="0" bottom="0" percent="0" rank="0" text="" dxfId="205">
      <formula>$B55&lt;2</formula>
    </cfRule>
    <cfRule type="expression" priority="209" aboveAverage="0" equalAverage="0" bottom="0" percent="0" rank="0" text="" dxfId="206">
      <formula>$B55=0</formula>
    </cfRule>
  </conditionalFormatting>
  <conditionalFormatting sqref="A101:B107">
    <cfRule type="expression" priority="210" aboveAverage="0" equalAverage="0" bottom="0" percent="0" rank="0" text="" dxfId="207">
      <formula>$B101=3</formula>
    </cfRule>
    <cfRule type="expression" priority="211" aboveAverage="0" equalAverage="0" bottom="0" percent="0" rank="0" text="" dxfId="208">
      <formula>$B101=2</formula>
    </cfRule>
    <cfRule type="expression" priority="212" aboveAverage="0" equalAverage="0" bottom="0" percent="0" rank="0" text="" dxfId="209">
      <formula>$B101&lt;2</formula>
    </cfRule>
  </conditionalFormatting>
  <conditionalFormatting sqref="N85">
    <cfRule type="expression" priority="213" aboveAverage="0" equalAverage="0" bottom="0" percent="0" rank="0" text="" dxfId="210">
      <formula>_xlfn.ISFORMULA(N85)</formula>
    </cfRule>
  </conditionalFormatting>
  <conditionalFormatting sqref="A80:V87">
    <cfRule type="expression" priority="214" aboveAverage="0" equalAverage="0" bottom="0" percent="0" rank="0" text="" dxfId="211">
      <formula>$B80=0</formula>
    </cfRule>
  </conditionalFormatting>
  <conditionalFormatting sqref="K85">
    <cfRule type="expression" priority="215" aboveAverage="0" equalAverage="0" bottom="0" percent="0" rank="0" text="" dxfId="212">
      <formula>_xlfn.ISFORMULA(K85)</formula>
    </cfRule>
  </conditionalFormatting>
  <conditionalFormatting sqref="A128:S129 U128:V129 U170:V172">
    <cfRule type="expression" priority="216" aboveAverage="0" equalAverage="0" bottom="0" percent="0" rank="0" text="" dxfId="213">
      <formula>$B128=0</formula>
    </cfRule>
  </conditionalFormatting>
  <conditionalFormatting sqref="D85">
    <cfRule type="colorScale" priority="217">
      <colorScale>
        <cfvo type="min" val="0"/>
        <cfvo type="max" val="0"/>
        <color rgb="FFFF7128"/>
        <color rgb="FFFFEF9C"/>
      </colorScale>
    </cfRule>
  </conditionalFormatting>
  <conditionalFormatting sqref="J5">
    <cfRule type="expression" priority="218" aboveAverage="0" equalAverage="0" bottom="0" percent="0" rank="0" text="" dxfId="214">
      <formula>$B5=3</formula>
    </cfRule>
    <cfRule type="expression" priority="219" aboveAverage="0" equalAverage="0" bottom="0" percent="0" rank="0" text="" dxfId="215">
      <formula>$B5=2</formula>
    </cfRule>
    <cfRule type="expression" priority="220" aboveAverage="0" equalAverage="0" bottom="0" percent="0" rank="0" text="" dxfId="216">
      <formula>$B5&lt;2</formula>
    </cfRule>
    <cfRule type="expression" priority="221" aboveAverage="0" equalAverage="0" bottom="0" percent="0" rank="0" text="" dxfId="217">
      <formula>$B5=0</formula>
    </cfRule>
  </conditionalFormatting>
  <conditionalFormatting sqref="L116:V116">
    <cfRule type="expression" priority="222" aboveAverage="0" equalAverage="0" bottom="0" percent="0" rank="0" text="" dxfId="218">
      <formula>$B116=3</formula>
    </cfRule>
    <cfRule type="expression" priority="223" aboveAverage="0" equalAverage="0" bottom="0" percent="0" rank="0" text="" dxfId="219">
      <formula>$B116=2</formula>
    </cfRule>
    <cfRule type="expression" priority="224" aboveAverage="0" equalAverage="0" bottom="0" percent="0" rank="0" text="" dxfId="220">
      <formula>$B116&lt;2</formula>
    </cfRule>
  </conditionalFormatting>
  <conditionalFormatting sqref="L116">
    <cfRule type="expression" priority="225" aboveAverage="0" equalAverage="0" bottom="0" percent="0" rank="0" text="" dxfId="221">
      <formula>$B116=0</formula>
    </cfRule>
    <cfRule type="expression" priority="226" aboveAverage="0" equalAverage="0" bottom="0" percent="0" rank="0" text="" dxfId="222">
      <formula>#REF!=2</formula>
    </cfRule>
    <cfRule type="expression" priority="227" aboveAverage="0" equalAverage="0" bottom="0" percent="0" rank="0" text="" dxfId="223">
      <formula>#REF!&lt;2</formula>
    </cfRule>
    <cfRule type="expression" priority="228" aboveAverage="0" equalAverage="0" bottom="0" percent="0" rank="0" text="" dxfId="224">
      <formula>#REF!=0</formula>
    </cfRule>
    <cfRule type="expression" priority="229" aboveAverage="0" equalAverage="0" bottom="0" percent="0" rank="0" text="" dxfId="225">
      <formula>#REF!=3</formula>
    </cfRule>
  </conditionalFormatting>
  <conditionalFormatting sqref="E139:Q144">
    <cfRule type="expression" priority="230" aboveAverage="0" equalAverage="0" bottom="0" percent="0" rank="0" text="" dxfId="226">
      <formula>_xlfn.ISFORMULA(E139)</formula>
    </cfRule>
  </conditionalFormatting>
  <conditionalFormatting sqref="C139:T139 C140:R144">
    <cfRule type="expression" priority="231" aboveAverage="0" equalAverage="0" bottom="0" percent="0" rank="0" text="" dxfId="227">
      <formula>$B139=3</formula>
    </cfRule>
    <cfRule type="expression" priority="232" aboveAverage="0" equalAverage="0" bottom="0" percent="0" rank="0" text="" dxfId="228">
      <formula>$B139=2</formula>
    </cfRule>
    <cfRule type="expression" priority="233" aboveAverage="0" equalAverage="0" bottom="0" percent="0" rank="0" text="" dxfId="229">
      <formula>$B139&lt;2</formula>
    </cfRule>
    <cfRule type="expression" priority="234" aboveAverage="0" equalAverage="0" bottom="0" percent="0" rank="0" text="" dxfId="230">
      <formula>$B139=0</formula>
    </cfRule>
  </conditionalFormatting>
  <conditionalFormatting sqref="D139:D144">
    <cfRule type="colorScale" priority="235">
      <colorScale>
        <cfvo type="min" val="0"/>
        <cfvo type="max" val="0"/>
        <color rgb="FFFF7128"/>
        <color rgb="FFFFEF9C"/>
      </colorScale>
    </cfRule>
  </conditionalFormatting>
  <conditionalFormatting sqref="A130:V144 A126:V127">
    <cfRule type="expression" priority="236" aboveAverage="0" equalAverage="0" bottom="0" percent="0" rank="0" text="" dxfId="231">
      <formula>$B126=3</formula>
    </cfRule>
  </conditionalFormatting>
  <conditionalFormatting sqref="A126:V127 A130:V144 A99:V100 D101:D107 A145:AG148 A149:G150 I149:AG150 A151:AG173">
    <cfRule type="expression" priority="237" aboveAverage="0" equalAverage="0" bottom="0" percent="0" rank="0" text="" dxfId="232">
      <formula>$B99=2</formula>
    </cfRule>
  </conditionalFormatting>
  <conditionalFormatting sqref="A99:V100 D101:D107 A126:V127 A130:V144 A145:AG148 A149:G150 I149:AG150 A151:AG173">
    <cfRule type="expression" priority="238" aboveAverage="0" equalAverage="0" bottom="0" percent="0" rank="0" text="" dxfId="233">
      <formula>$B99&lt;2</formula>
    </cfRule>
  </conditionalFormatting>
  <conditionalFormatting sqref="S94:V97">
    <cfRule type="expression" priority="239" aboveAverage="0" equalAverage="0" bottom="0" percent="0" rank="0" text="" dxfId="234">
      <formula>$B94=0</formula>
    </cfRule>
  </conditionalFormatting>
  <conditionalFormatting sqref="E87:Q87 Q128:Q129">
    <cfRule type="expression" priority="240" aboveAverage="0" equalAverage="0" bottom="0" percent="0" rank="0" text="" dxfId="235">
      <formula>_xlfn.ISFORMULA(E87)</formula>
    </cfRule>
  </conditionalFormatting>
  <conditionalFormatting sqref="D87">
    <cfRule type="colorScale" priority="241">
      <colorScale>
        <cfvo type="min" val="0"/>
        <cfvo type="max" val="0"/>
        <color rgb="FFFF7128"/>
        <color rgb="FFFFEF9C"/>
      </colorScale>
    </cfRule>
  </conditionalFormatting>
  <conditionalFormatting sqref="Q75:Q77">
    <cfRule type="expression" priority="242" aboveAverage="0" equalAverage="0" bottom="0" percent="0" rank="0" text="" dxfId="236">
      <formula>_xlfn.ISFORMULA(Q75)</formula>
    </cfRule>
  </conditionalFormatting>
  <conditionalFormatting sqref="J73:S77">
    <cfRule type="expression" priority="243" aboveAverage="0" equalAverage="0" bottom="0" percent="0" rank="0" text="" dxfId="237">
      <formula>$B73=3</formula>
    </cfRule>
    <cfRule type="expression" priority="244" aboveAverage="0" equalAverage="0" bottom="0" percent="0" rank="0" text="" dxfId="238">
      <formula>$B73=2</formula>
    </cfRule>
    <cfRule type="expression" priority="245" aboveAverage="0" equalAverage="0" bottom="0" percent="0" rank="0" text="" dxfId="239">
      <formula>$B73&lt;2</formula>
    </cfRule>
  </conditionalFormatting>
  <conditionalFormatting sqref="Q75:S77">
    <cfRule type="expression" priority="246" aboveAverage="0" equalAverage="0" bottom="0" percent="0" rank="0" text="" dxfId="240">
      <formula>$B75=0</formula>
    </cfRule>
  </conditionalFormatting>
  <conditionalFormatting sqref="J75:L77">
    <cfRule type="expression" priority="247" aboveAverage="0" equalAverage="0" bottom="0" percent="0" rank="0" text="" dxfId="241">
      <formula>_xlfn.ISFORMULA(J75)</formula>
    </cfRule>
    <cfRule type="expression" priority="248" aboveAverage="0" equalAverage="0" bottom="0" percent="0" rank="0" text="" dxfId="242">
      <formula>$B75=0</formula>
    </cfRule>
  </conditionalFormatting>
  <conditionalFormatting sqref="J72:Q74">
    <cfRule type="expression" priority="249" aboveAverage="0" equalAverage="0" bottom="0" percent="0" rank="0" text="" dxfId="243">
      <formula>_xlfn.ISFORMULA(J72)</formula>
    </cfRule>
  </conditionalFormatting>
  <conditionalFormatting sqref="J72:V72 U73:V77">
    <cfRule type="expression" priority="250" aboveAverage="0" equalAverage="0" bottom="0" percent="0" rank="0" text="" dxfId="244">
      <formula>$B72=3</formula>
    </cfRule>
    <cfRule type="expression" priority="251" aboveAverage="0" equalAverage="0" bottom="0" percent="0" rank="0" text="" dxfId="245">
      <formula>$B72=2</formula>
    </cfRule>
    <cfRule type="expression" priority="252" aboveAverage="0" equalAverage="0" bottom="0" percent="0" rank="0" text="" dxfId="246">
      <formula>$B72&lt;2</formula>
    </cfRule>
  </conditionalFormatting>
  <conditionalFormatting sqref="J72:V72 J73:S74 U73:V77">
    <cfRule type="expression" priority="253" aboveAverage="0" equalAverage="0" bottom="0" percent="0" rank="0" text="" dxfId="247">
      <formula>$B72=0</formula>
    </cfRule>
  </conditionalFormatting>
  <conditionalFormatting sqref="J18:Q100 J108:Q1048576">
    <cfRule type="expression" priority="254" aboveAverage="0" equalAverage="0" bottom="0" percent="0" rank="0" text="" dxfId="248">
      <formula>_xlfn.ISFORMULA(J18)</formula>
    </cfRule>
  </conditionalFormatting>
  <conditionalFormatting sqref="A182:V193">
    <cfRule type="expression" priority="255" aboveAverage="0" equalAverage="0" bottom="0" percent="0" rank="0" text="" dxfId="249">
      <formula>$B182=3</formula>
    </cfRule>
    <cfRule type="expression" priority="256" aboveAverage="0" equalAverage="0" bottom="0" percent="0" rank="0" text="" dxfId="250">
      <formula>$B182=2</formula>
    </cfRule>
    <cfRule type="expression" priority="257" aboveAverage="0" equalAverage="0" bottom="0" percent="0" rank="0" text="" dxfId="251">
      <formula>$B182&lt;2</formula>
    </cfRule>
    <cfRule type="expression" priority="258" aboveAverage="0" equalAverage="0" bottom="0" percent="0" rank="0" text="" dxfId="252">
      <formula>$B182=0</formula>
    </cfRule>
  </conditionalFormatting>
  <conditionalFormatting sqref="K166:L167 H149:H150">
    <cfRule type="expression" priority="259" aboveAverage="0" equalAverage="0" bottom="0" percent="0" rank="0" text="" dxfId="253">
      <formula>$B150=3</formula>
    </cfRule>
  </conditionalFormatting>
  <conditionalFormatting sqref="H149:H150 K166:L167">
    <cfRule type="expression" priority="260" aboveAverage="0" equalAverage="0" bottom="0" percent="0" rank="0" text="" dxfId="254">
      <formula>$B150=2</formula>
    </cfRule>
    <cfRule type="expression" priority="261" aboveAverage="0" equalAverage="0" bottom="0" percent="0" rank="0" text="" dxfId="255">
      <formula>$B150&lt;2</formula>
    </cfRule>
    <cfRule type="expression" priority="262" aboveAverage="0" equalAverage="0" bottom="0" percent="0" rank="0" text="" dxfId="256">
      <formula>$B150=0</formula>
    </cfRule>
  </conditionalFormatting>
  <conditionalFormatting sqref="A154:R161">
    <cfRule type="expression" priority="263" aboveAverage="0" equalAverage="0" bottom="0" percent="0" rank="0" text="" dxfId="257">
      <formula>$B154=3</formula>
    </cfRule>
    <cfRule type="expression" priority="264" aboveAverage="0" equalAverage="0" bottom="0" percent="0" rank="0" text="" dxfId="258">
      <formula>$B154=2</formula>
    </cfRule>
    <cfRule type="expression" priority="265" aboveAverage="0" equalAverage="0" bottom="0" percent="0" rank="0" text="" dxfId="259">
      <formula>$B154&lt;2</formula>
    </cfRule>
    <cfRule type="expression" priority="266" aboveAverage="0" equalAverage="0" bottom="0" percent="0" rank="0" text="" dxfId="260">
      <formula>$B154=0</formula>
    </cfRule>
  </conditionalFormatting>
  <conditionalFormatting sqref="S154:V155">
    <cfRule type="expression" priority="267" aboveAverage="0" equalAverage="0" bottom="0" percent="0" rank="0" text="" dxfId="261">
      <formula>$B154=3</formula>
    </cfRule>
    <cfRule type="expression" priority="268" aboveAverage="0" equalAverage="0" bottom="0" percent="0" rank="0" text="" dxfId="262">
      <formula>$B154=2</formula>
    </cfRule>
    <cfRule type="expression" priority="269" aboveAverage="0" equalAverage="0" bottom="0" percent="0" rank="0" text="" dxfId="263">
      <formula>$B154&lt;2</formula>
    </cfRule>
    <cfRule type="expression" priority="270" aboveAverage="0" equalAverage="0" bottom="0" percent="0" rank="0" text="" dxfId="264">
      <formula>$B154=0</formula>
    </cfRule>
  </conditionalFormatting>
  <conditionalFormatting sqref="A153:V153">
    <cfRule type="expression" priority="271" aboveAverage="0" equalAverage="0" bottom="0" percent="0" rank="0" text="" dxfId="265">
      <formula>$B153=3</formula>
    </cfRule>
    <cfRule type="expression" priority="272" aboveAverage="0" equalAverage="0" bottom="0" percent="0" rank="0" text="" dxfId="266">
      <formula>$B153=2</formula>
    </cfRule>
    <cfRule type="expression" priority="273" aboveAverage="0" equalAverage="0" bottom="0" percent="0" rank="0" text="" dxfId="267">
      <formula>$B153&lt;2</formula>
    </cfRule>
    <cfRule type="expression" priority="274" aboveAverage="0" equalAverage="0" bottom="0" percent="0" rank="0" text="" dxfId="268">
      <formula>$B153=0</formula>
    </cfRule>
  </conditionalFormatting>
  <conditionalFormatting sqref="S160:S161">
    <cfRule type="expression" priority="275" aboveAverage="0" equalAverage="0" bottom="0" percent="0" rank="0" text="" dxfId="269">
      <formula>$B160=3</formula>
    </cfRule>
    <cfRule type="expression" priority="276" aboveAverage="0" equalAverage="0" bottom="0" percent="0" rank="0" text="" dxfId="270">
      <formula>$B160=2</formula>
    </cfRule>
    <cfRule type="expression" priority="277" aboveAverage="0" equalAverage="0" bottom="0" percent="0" rank="0" text="" dxfId="271">
      <formula>$B160&lt;2</formula>
    </cfRule>
    <cfRule type="expression" priority="278" aboveAverage="0" equalAverage="0" bottom="0" percent="0" rank="0" text="" dxfId="272">
      <formula>$B160=0</formula>
    </cfRule>
  </conditionalFormatting>
  <conditionalFormatting sqref="S156">
    <cfRule type="expression" priority="279" aboveAverage="0" equalAverage="0" bottom="0" percent="0" rank="0" text="" dxfId="273">
      <formula>$B156=3</formula>
    </cfRule>
    <cfRule type="expression" priority="280" aboveAverage="0" equalAverage="0" bottom="0" percent="0" rank="0" text="" dxfId="274">
      <formula>$B156=2</formula>
    </cfRule>
    <cfRule type="expression" priority="281" aboveAverage="0" equalAverage="0" bottom="0" percent="0" rank="0" text="" dxfId="275">
      <formula>$B156&lt;2</formula>
    </cfRule>
    <cfRule type="expression" priority="282" aboveAverage="0" equalAverage="0" bottom="0" percent="0" rank="0" text="" dxfId="276">
      <formula>$B156=0</formula>
    </cfRule>
  </conditionalFormatting>
  <conditionalFormatting sqref="A98:AG100 D101:D107 A149:G150 I149:R150 A151:R151">
    <cfRule type="expression" priority="283" aboveAverage="0" equalAverage="0" bottom="0" percent="0" rank="0" text="" dxfId="277">
      <formula>$B98=3</formula>
    </cfRule>
  </conditionalFormatting>
  <conditionalFormatting sqref="W99:AG100 A149:G150 I149:R150 A151:R151">
    <cfRule type="expression" priority="284" aboveAverage="0" equalAverage="0" bottom="0" percent="0" rank="0" text="" dxfId="278">
      <formula>$B99=2</formula>
    </cfRule>
    <cfRule type="expression" priority="285" aboveAverage="0" equalAverage="0" bottom="0" percent="0" rank="0" text="" dxfId="279">
      <formula>$B99&lt;2</formula>
    </cfRule>
  </conditionalFormatting>
  <conditionalFormatting sqref="A151:R151">
    <cfRule type="expression" priority="286" aboveAverage="0" equalAverage="0" bottom="0" percent="0" rank="0" text="" dxfId="280">
      <formula>$B151=0</formula>
    </cfRule>
  </conditionalFormatting>
  <conditionalFormatting sqref="K146:M147">
    <cfRule type="expression" priority="287" aboveAverage="0" equalAverage="0" bottom="0" percent="0" rank="0" text="" dxfId="281">
      <formula>$B146=3</formula>
    </cfRule>
    <cfRule type="expression" priority="288" aboveAverage="0" equalAverage="0" bottom="0" percent="0" rank="0" text="" dxfId="282">
      <formula>$B146=2</formula>
    </cfRule>
    <cfRule type="expression" priority="289" aboveAverage="0" equalAverage="0" bottom="0" percent="0" rank="0" text="" dxfId="283">
      <formula>$B146&lt;2</formula>
    </cfRule>
    <cfRule type="expression" priority="290" aboveAverage="0" equalAverage="0" bottom="0" percent="0" rank="0" text="" dxfId="284">
      <formula>$B146=0</formula>
    </cfRule>
  </conditionalFormatting>
  <conditionalFormatting sqref="A181:AG193 A59:AG79 A87:AG88 A126:AG135 A136:V136 A137:Y137 A138:AG138 A113:AG124 A80:V86 A101:B107 A53:AG55 F56:AG56 F57:U58 A56:E58 W57:AG58 A125:U125 W125:AG125 S174:AG174 U175:U180 W175:AG180">
    <cfRule type="expression" priority="291" aboveAverage="0" equalAverage="0" bottom="0" percent="0" rank="0" text="" dxfId="285">
      <formula>$B53=3</formula>
    </cfRule>
  </conditionalFormatting>
  <conditionalFormatting sqref="A53:AG55 F56:AG56 A56:E58 F57:U58 W57:AG58 A59:AG79 A80:V86 A87:AG88 A101:B107 A113:AG124 A125:U125 W125:AG125 A126:AG135 A136:V136 A137:Y137 A138:AG138 S174:AG174 U175:U180 W175:AG180 A181:AG193 A98:AG98">
    <cfRule type="expression" priority="292" aboveAverage="0" equalAverage="0" bottom="0" percent="0" rank="0" text="" dxfId="286">
      <formula>$B53=2</formula>
    </cfRule>
  </conditionalFormatting>
  <conditionalFormatting sqref="A53:AG55 F56:AG56 A56:E58 F57:U58 W57:AG58 A59:AG79 A80:V86 A87:AG88 A98:AG98 A101:B107 A113:AG124 A125:U125 W125:AG125 A126:AG135 A136:V136 A137:Y137 A138:AG138 S174:AG174 U175:U180 W175:AG180 A181:AG193">
    <cfRule type="expression" priority="293" aboveAverage="0" equalAverage="0" bottom="0" percent="0" rank="0" text="" dxfId="287">
      <formula>$B53&lt;2</formula>
    </cfRule>
  </conditionalFormatting>
  <conditionalFormatting sqref="F57:U58 W57:AG58 A59:AG79 A108:AG109 A110:V113 A113:AG124 A125:U125 W125:AG125 A126:AG135 A130:V145 S174:AG174 U175:U180 W175:AG180 A181:AG193">
    <cfRule type="expression" priority="294" aboveAverage="0" equalAverage="0" bottom="0" percent="0" rank="0" text="" dxfId="288">
      <formula>$B57=0</formula>
    </cfRule>
  </conditionalFormatting>
  <conditionalFormatting sqref="A126:V127">
    <cfRule type="expression" priority="295" aboveAverage="0" equalAverage="0" bottom="0" percent="0" rank="0" text="" dxfId="289">
      <formula>$B126=0</formula>
    </cfRule>
  </conditionalFormatting>
  <conditionalFormatting sqref="G110:I111">
    <cfRule type="expression" priority="296" aboveAverage="0" equalAverage="0" bottom="0" percent="0" rank="0" text="" dxfId="290">
      <formula>$B110=3</formula>
    </cfRule>
    <cfRule type="expression" priority="297" aboveAverage="0" equalAverage="0" bottom="0" percent="0" rank="0" text="" dxfId="291">
      <formula>$B110=2</formula>
    </cfRule>
    <cfRule type="expression" priority="298" aboveAverage="0" equalAverage="0" bottom="0" percent="0" rank="0" text="" dxfId="292">
      <formula>$B110&lt;2</formula>
    </cfRule>
    <cfRule type="expression" priority="299" aboveAverage="0" equalAverage="0" bottom="0" percent="0" rank="0" text="" dxfId="293">
      <formula>$B110=0</formula>
    </cfRule>
  </conditionalFormatting>
  <conditionalFormatting sqref="A113:V115 U117:V123 U124:U125 A128:S129 U128:V129 A145:AG148 A149:G150 I149:AG150 A151:AG173 A139:B144 U139:V144 U147:V152 A5:S6 A110:F112 A1:AG4 U5:AG6">
    <cfRule type="expression" priority="300" aboveAverage="0" equalAverage="0" bottom="0" percent="0" rank="0" text="" dxfId="294">
      <formula>$B1=3</formula>
    </cfRule>
  </conditionalFormatting>
  <conditionalFormatting sqref="A1:AG4 A5:S6 U5:AG6 A110:F112 A113:V115 U117:V123 U124:U125 A128:S129 U128:V129 A139:B144 U139:V144 A145:V145 N146:V146 N147:R147 U147:V152 K148:R148 A152:T152 T156:V161 A162:V165 A166:J167 A168:L172 U170:V172">
    <cfRule type="expression" priority="301" aboveAverage="0" equalAverage="0" bottom="0" percent="0" rank="0" text="" dxfId="295">
      <formula>$B1=2</formula>
    </cfRule>
    <cfRule type="expression" priority="302" aboveAverage="0" equalAverage="0" bottom="0" percent="0" rank="0" text="" dxfId="296">
      <formula>$B1&lt;2</formula>
    </cfRule>
  </conditionalFormatting>
  <conditionalFormatting sqref="A110:F112 U117:V123 U124:U125 A139:B144 N146:V146 N147:R147 U147:V152 K148:R148 A152:T152 T156:V161 A162:V165 A166:J167">
    <cfRule type="expression" priority="303" aboveAverage="0" equalAverage="0" bottom="0" percent="0" rank="0" text="" dxfId="297">
      <formula>$B110=0</formula>
    </cfRule>
  </conditionalFormatting>
  <conditionalFormatting sqref="A109:U109">
    <cfRule type="expression" priority="304" aboveAverage="0" equalAverage="0" bottom="0" percent="0" rank="0" text="" dxfId="298">
      <formula>$B109=3</formula>
    </cfRule>
    <cfRule type="expression" priority="305" aboveAverage="0" equalAverage="0" bottom="0" percent="0" rank="0" text="" dxfId="299">
      <formula>$B109=2</formula>
    </cfRule>
    <cfRule type="expression" priority="306" aboveAverage="0" equalAverage="0" bottom="0" percent="0" rank="0" text="" dxfId="300">
      <formula>$B109&lt;2</formula>
    </cfRule>
    <cfRule type="expression" priority="307" aboveAverage="0" equalAverage="0" bottom="0" percent="0" rank="0" text="" dxfId="301">
      <formula>$B109=0</formula>
    </cfRule>
  </conditionalFormatting>
  <conditionalFormatting sqref="Q153">
    <cfRule type="expression" priority="308" aboveAverage="0" equalAverage="0" bottom="0" percent="0" rank="0" text="" dxfId="302">
      <formula>$B154=3</formula>
    </cfRule>
    <cfRule type="expression" priority="309" aboveAverage="0" equalAverage="0" bottom="0" percent="0" rank="0" text="" dxfId="303">
      <formula>$B154=2</formula>
    </cfRule>
    <cfRule type="expression" priority="310" aboveAverage="0" equalAverage="0" bottom="0" percent="0" rank="0" text="" dxfId="304">
      <formula>$B154&lt;2</formula>
    </cfRule>
    <cfRule type="expression" priority="311" aboveAverage="0" equalAverage="0" bottom="0" percent="0" rank="0" text="" dxfId="305">
      <formula>$B154=0</formula>
    </cfRule>
  </conditionalFormatting>
  <conditionalFormatting sqref="U110">
    <cfRule type="expression" priority="312" aboveAverage="0" equalAverage="0" bottom="0" percent="0" rank="0" text="" dxfId="306">
      <formula>$B109=3</formula>
    </cfRule>
    <cfRule type="expression" priority="313" aboveAverage="0" equalAverage="0" bottom="0" percent="0" rank="0" text="" dxfId="307">
      <formula>$B109=2</formula>
    </cfRule>
    <cfRule type="expression" priority="314" aboveAverage="0" equalAverage="0" bottom="0" percent="0" rank="0" text="" dxfId="308">
      <formula>$B109&lt;2</formula>
    </cfRule>
    <cfRule type="expression" priority="315" aboveAverage="0" equalAverage="0" bottom="0" percent="0" rank="0" text="" dxfId="309">
      <formula>$B109=0</formula>
    </cfRule>
  </conditionalFormatting>
  <conditionalFormatting sqref="D2:D13 D86 D88:D138 D145:D201 D18:D84">
    <cfRule type="colorScale" priority="316">
      <colorScale>
        <cfvo type="min" val="0"/>
        <cfvo type="max" val="0"/>
        <color rgb="FFFF7128"/>
        <color rgb="FFFFEF9C"/>
      </colorScale>
    </cfRule>
  </conditionalFormatting>
  <conditionalFormatting sqref="T6">
    <cfRule type="expression" priority="317" aboveAverage="0" equalAverage="0" bottom="0" percent="0" rank="0" text="" dxfId="310">
      <formula>$B5=2</formula>
    </cfRule>
    <cfRule type="expression" priority="318" aboveAverage="0" equalAverage="0" bottom="0" percent="0" rank="0" text="" dxfId="311">
      <formula>$B5&lt;2</formula>
    </cfRule>
    <cfRule type="expression" priority="319" aboveAverage="0" equalAverage="0" bottom="0" percent="0" rank="0" text="" dxfId="312">
      <formula>$B5=0</formula>
    </cfRule>
    <cfRule type="expression" priority="320" aboveAverage="0" equalAverage="0" bottom="0" percent="0" rank="0" text="" dxfId="313">
      <formula>$B5=3</formula>
    </cfRule>
  </conditionalFormatting>
  <conditionalFormatting sqref="H149:H150">
    <cfRule type="expression" priority="321" aboveAverage="0" equalAverage="0" bottom="0" percent="0" rank="0" text="" dxfId="314">
      <formula>$B150=2</formula>
    </cfRule>
    <cfRule type="expression" priority="322" aboveAverage="0" equalAverage="0" bottom="0" percent="0" rank="0" text="" dxfId="315">
      <formula>$B150&lt;2</formula>
    </cfRule>
    <cfRule type="expression" priority="323" aboveAverage="0" equalAverage="0" bottom="0" percent="0" rank="0" text="" dxfId="316">
      <formula>$B150=3</formula>
    </cfRule>
  </conditionalFormatting>
  <dataValidations count="17">
    <dataValidation allowBlank="true" errorStyle="stop" operator="between" showDropDown="false" showErrorMessage="true" showInputMessage="true" sqref="Q2:Q153 Q155:Q201" type="whole">
      <formula1>1950</formula1>
      <formula2>2025</formula2>
    </dataValidation>
    <dataValidation allowBlank="true" errorStyle="stop" operator="greaterThan" showDropDown="false" showErrorMessage="true" showInputMessage="true" sqref="N1:N71 J2:K9 J10:J64 K11:K52 K56:K58 K61:K63 J65:K67 J68:J131 K71:K83 N75:N87 K88 N89:N107 K98:K108 N109:N194 K110:K151 J134:J135 J138:J145 J149:J193 K153:K193 N195:N1197" type="decimal">
      <formula1>0</formula1>
      <formula2>0</formula2>
    </dataValidation>
    <dataValidation allowBlank="true" errorStyle="stop" operator="between" showDropDown="false" showErrorMessage="true" showInputMessage="true" sqref="M360:M370" type="list">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allowBlank="true" errorStyle="stop" operator="between" showDropDown="false" showErrorMessage="true" showInputMessage="true" sqref="L1 L202:L1197" type="list">
      <formula1>"$/acres,$/MWe,$/m^3,$/MWt"</formula1>
      <formula2>0</formula2>
    </dataValidation>
    <dataValidation allowBlank="true" errorStyle="stop" operator="between" showDropDown="false" showErrorMessage="true" showInputMessage="true" sqref="P202:P339" type="whole">
      <formula1>0</formula1>
      <formula2>2</formula2>
    </dataValidation>
    <dataValidation allowBlank="true" errorStyle="stop" operator="between" showDropDown="false" showErrorMessage="true" showInputMessage="true" sqref="P2:P84 P86:P138 P145:P201" type="decimal">
      <formula1>0</formula1>
      <formula2>2</formula2>
    </dataValidation>
    <dataValidation allowBlank="true" errorStyle="stop" operator="between" showDropDown="false" showErrorMessage="true" showInputMessage="true" sqref="O2:O13 O15 O18:O84 O86:O135 O138 O145:O201" type="list">
      <formula1>"acres,MWe,m^3,MWt,Kg,Drums,kW,$,m^2,kg/s"</formula1>
      <formula2>0</formula2>
    </dataValidation>
    <dataValidation allowBlank="true" errorStyle="stop" operator="between" showDropDown="false" showErrorMessage="true" showInputMessage="true" sqref="L2:L13 L15 L18:L84 L86:L114 L116:L138 L145:L201" type="list">
      <formula1>"$/m^2,$/MWeHour,$/FTE,$/acres,$/MWe,$/m^3,$/MWt,$/Kg,$/Drum,$/(kg.sec),$/SWU,unitless,$/kWe"</formula1>
      <formula2>0</formula2>
    </dataValidation>
    <dataValidation allowBlank="true" errorStyle="stop" operator="between" showDropDown="false" showErrorMessage="true" showInputMessage="true" sqref="O136:O137" type="list">
      <formula1>"acres,MWe,m^3,MWt,Kg,Drums,kW,$,m^2,kg/s,kWe"</formula1>
      <formula2>0</formula2>
    </dataValidation>
    <dataValidation allowBlank="true" errorStyle="stop" operator="between" showDropDown="false" showErrorMessage="true" showInputMessage="true" sqref="L85 L139:L144" type="list">
      <formula1>"$/MWeHour,$/FTE,$/acres,$/MWe,$/m^3,$/MWt,$/Kg,$/Drum,$/(kg.sec),$/SWU,unitless"</formula1>
      <formula2>0</formula2>
    </dataValidation>
    <dataValidation allowBlank="true" errorStyle="stop" operator="between" showDropDown="false" showErrorMessage="true" showInputMessage="true" sqref="O85 O139:O144" type="list">
      <formula1>"acres,MWe,m^3,MWt,Kg,Drums,kW,$"</formula1>
      <formula2>0</formula2>
    </dataValidation>
    <dataValidation allowBlank="true" errorStyle="stop" operator="between" showDropDown="false" showErrorMessage="true" showInputMessage="true" sqref="P85 P139:P144" type="decimal">
      <formula1>0</formula1>
      <formula2>1</formula2>
    </dataValidation>
    <dataValidation allowBlank="true" errorStyle="stop" operator="between" showDropDown="false" showErrorMessage="true" showInputMessage="true" sqref="E2:E201" type="list">
      <formula1>"standard,nonstandard"</formula1>
      <formula2>0</formula2>
    </dataValidation>
    <dataValidation allowBlank="true" errorStyle="stop" operator="between" showDropDown="false" showErrorMessage="true" showInputMessage="true" sqref="R2:R201" type="list">
      <formula1>"NA,General,Labor,Material,Equipment,Lab and Mat and Equip,'Lab and Equip"</formula1>
      <formula2>0</formula2>
    </dataValidation>
    <dataValidation allowBlank="true" errorStyle="stop" operator="between" showDropDown="false" showErrorMessage="true" showInputMessage="true" sqref="L115" type="list">
      <formula1>"$/heatpipe,$/m^2,$/MWeHour,$/FTE,$/acres,$/MWe,$/m^3,$/MWt,$/Kg,$/Drum,$/(kg.sec),$/SWU,unitless,$/kWe"</formula1>
      <formula2>0</formula2>
    </dataValidation>
    <dataValidation allowBlank="true" errorStyle="stop" operator="between" showDropDown="false" showErrorMessage="true" showInputMessage="true" sqref="O14 O16:O17" type="list">
      <formula1>"m,acres,MWe,m^3,MWt,Kg,Drums,kW,$,m^2,kg/s"</formula1>
      <formula2>0</formula2>
    </dataValidation>
    <dataValidation allowBlank="true" errorStyle="stop" operator="between" showDropDown="false" showErrorMessage="true" showInputMessage="true" sqref="L14 L16:L17" type="list">
      <formula1>"$/m,$/m^2,$/MWeHour,$/FTE,$/acres,$/MWe,$/m^3,$/MWt,$/Kg,$/Drum,$/(kg.sec),$/SWU,unitless,$/kWe"</formula1>
      <formula2>0</formula2>
    </dataValidation>
  </dataValidations>
  <hyperlinks>
    <hyperlink ref="U3" r:id="rId1" display="https://inldigitallibrary.inl.gov/sites/sti/sti/Sort_107010.pdf"/>
    <hyperlink ref="U5" r:id="rId2" display="https://art.inl.gov/NGNP/INL%20Documents/Year%202012/Assessment%20of%20High%20Temperature%20Gas-Cooled%20Reactor%20-%20HTGR%20-%20Capital%20and%20Operating%20Costs.pdf"/>
    <hyperlink ref="U22" r:id="rId3" display="https://doi.org/10.1016/j.rser.2021.111880"/>
    <hyperlink ref="U23" r:id="rId4" display="https://doi.org/10.1016/j.rser.2021.111880"/>
    <hyperlink ref="U37" r:id="rId5" display="https://doi.org/10.1016/j.rser.2021.111880"/>
    <hyperlink ref="U53" r:id="rId6" display="https://inldigitallibrary.inl.gov/sites/sti/sti/Sort_129862.pdf&#10;&#10;https://www.sciencedirect.com/science/article/pii/S1364032121011473"/>
    <hyperlink ref="U113" r:id="rId7" display="https://www.sciencedirect.com/science/article/pii/S1290072903000218&#10;https://publications.anl.gov/anlpubs/2019/06/152862.pdf"/>
    <hyperlink ref="U124" r:id="rId8" display="https://doi.org/10.3929/ethz-b-000709311"/>
    <hyperlink ref="U134" r:id="rId9" display="https://www.osti.gov/servlets/purl/5084245"/>
    <hyperlink ref="U135" r:id="rId10" display="https://doi.org/10.1016/j.nucengdes.2023.112470"/>
    <hyperlink ref="U139" r:id="rId11" display="https://www.osti.gov/biblio/2447366"/>
    <hyperlink ref="U140" r:id="rId12" display="https://doi.org/10.1016/j.nucengdes.2023.112470"/>
    <hyperlink ref="U173" r:id="rId13" display="https://doi.org/10.3929/ethz-b-000709311"/>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078125" defaultRowHeight="15" customHeight="false" zeroHeight="false" outlineLevelRow="0" outlineLevelCol="0"/>
  <cols>
    <col collapsed="false" customWidth="true" hidden="false" outlineLevel="0" max="1" min="1" style="67" width="11.67"/>
    <col collapsed="false" customWidth="true" hidden="false" outlineLevel="0" max="2" min="2" style="68" width="35.67"/>
    <col collapsed="false" customWidth="true" hidden="false" outlineLevel="0" max="3" min="3" style="69" width="20.66"/>
    <col collapsed="false" customWidth="true" hidden="false" outlineLevel="0" max="5" min="5" style="0" width="12.67"/>
  </cols>
  <sheetData>
    <row r="1" customFormat="false" ht="26.25" hidden="false" customHeight="true" outlineLevel="0" collapsed="false">
      <c r="A1" s="70" t="s">
        <v>452</v>
      </c>
      <c r="B1" s="71" t="s">
        <v>3</v>
      </c>
      <c r="C1" s="72" t="s">
        <v>453</v>
      </c>
    </row>
    <row r="2" customFormat="false" ht="15" hidden="false" customHeight="false" outlineLevel="0" collapsed="false">
      <c r="A2" s="70"/>
      <c r="B2" s="70"/>
      <c r="C2" s="70"/>
    </row>
    <row r="3" customFormat="false" ht="27.75" hidden="false" customHeight="true" outlineLevel="0" collapsed="false">
      <c r="A3" s="73" t="n">
        <v>10</v>
      </c>
      <c r="B3" s="74" t="s">
        <v>33</v>
      </c>
      <c r="C3" s="75" t="n">
        <f aca="false">C4</f>
        <v>5210451</v>
      </c>
    </row>
    <row r="4" customFormat="false" ht="27.75" hidden="false" customHeight="true" outlineLevel="0" collapsed="false">
      <c r="A4" s="76" t="n">
        <v>15</v>
      </c>
      <c r="B4" s="77" t="s">
        <v>64</v>
      </c>
      <c r="C4" s="78" t="n">
        <v>5210451</v>
      </c>
      <c r="E4" s="78"/>
    </row>
    <row r="5" customFormat="false" ht="27.75" hidden="false" customHeight="true" outlineLevel="0" collapsed="false">
      <c r="A5" s="73" t="n">
        <v>20</v>
      </c>
      <c r="B5" s="74" t="s">
        <v>69</v>
      </c>
      <c r="C5" s="75" t="n">
        <f aca="false">C6+C13+C45+C48+C52+C54</f>
        <v>30295715.422</v>
      </c>
    </row>
    <row r="6" customFormat="false" ht="27.75" hidden="false" customHeight="true" outlineLevel="0" collapsed="false">
      <c r="A6" s="76" t="n">
        <v>21</v>
      </c>
      <c r="B6" s="77" t="s">
        <v>70</v>
      </c>
      <c r="C6" s="78" t="n">
        <f aca="false">C7+C8+C9+C10</f>
        <v>2799006.732</v>
      </c>
    </row>
    <row r="7" customFormat="false" ht="27.75" hidden="false" customHeight="true" outlineLevel="0" collapsed="false">
      <c r="A7" s="76" t="n">
        <v>211</v>
      </c>
      <c r="B7" s="77" t="s">
        <v>454</v>
      </c>
      <c r="C7" s="78"/>
    </row>
    <row r="8" customFormat="false" ht="27.75" hidden="false" customHeight="true" outlineLevel="0" collapsed="false">
      <c r="A8" s="76" t="n">
        <v>212</v>
      </c>
      <c r="B8" s="77" t="s">
        <v>93</v>
      </c>
      <c r="C8" s="78" t="n">
        <v>2573469.872</v>
      </c>
    </row>
    <row r="9" customFormat="false" ht="27.75" hidden="false" customHeight="true" outlineLevel="0" collapsed="false">
      <c r="A9" s="76" t="n">
        <v>213</v>
      </c>
      <c r="B9" s="77" t="s">
        <v>111</v>
      </c>
      <c r="C9" s="78"/>
    </row>
    <row r="10" customFormat="false" ht="27.75" hidden="false" customHeight="true" outlineLevel="0" collapsed="false">
      <c r="A10" s="76" t="n">
        <v>214</v>
      </c>
      <c r="B10" s="77" t="s">
        <v>138</v>
      </c>
      <c r="C10" s="78" t="n">
        <f aca="false">SUM(C11)</f>
        <v>225536.86</v>
      </c>
    </row>
    <row r="11" customFormat="false" ht="27.75" hidden="false" customHeight="true" outlineLevel="0" collapsed="false">
      <c r="A11" s="76" t="n">
        <v>214.7</v>
      </c>
      <c r="B11" s="77" t="s">
        <v>455</v>
      </c>
      <c r="C11" s="78" t="n">
        <v>225536.86</v>
      </c>
      <c r="E11" s="79"/>
    </row>
    <row r="12" customFormat="false" ht="27.75" hidden="false" customHeight="true" outlineLevel="0" collapsed="false">
      <c r="A12" s="76" t="n">
        <v>217</v>
      </c>
      <c r="B12" s="77" t="s">
        <v>456</v>
      </c>
      <c r="C12" s="78"/>
    </row>
    <row r="13" customFormat="false" ht="27.75" hidden="false" customHeight="true" outlineLevel="0" collapsed="false">
      <c r="A13" s="76" t="n">
        <v>22</v>
      </c>
      <c r="B13" s="77" t="s">
        <v>192</v>
      </c>
      <c r="C13" s="78" t="n">
        <f aca="false">C14+C32+C41+C42+C43+C44</f>
        <v>17586712.57</v>
      </c>
    </row>
    <row r="14" customFormat="false" ht="27.75" hidden="false" customHeight="true" outlineLevel="0" collapsed="false">
      <c r="A14" s="76" t="n">
        <v>221</v>
      </c>
      <c r="B14" s="77" t="s">
        <v>193</v>
      </c>
      <c r="C14" s="78" t="n">
        <f aca="false">C15+C19+C25</f>
        <v>8937296.6</v>
      </c>
    </row>
    <row r="15" customFormat="false" ht="27.75" hidden="false" customHeight="true" outlineLevel="0" collapsed="false">
      <c r="A15" s="76" t="n">
        <v>221.1</v>
      </c>
      <c r="B15" s="77" t="s">
        <v>457</v>
      </c>
      <c r="C15" s="78" t="n">
        <f aca="false">C16+C17+C18</f>
        <v>2004852</v>
      </c>
    </row>
    <row r="16" customFormat="false" ht="27.75" hidden="false" customHeight="true" outlineLevel="0" collapsed="false">
      <c r="A16" s="76" t="n">
        <v>221.11</v>
      </c>
      <c r="B16" s="77" t="s">
        <v>458</v>
      </c>
      <c r="C16" s="78" t="n">
        <v>762382.4</v>
      </c>
    </row>
    <row r="17" customFormat="false" ht="27.75" hidden="false" customHeight="true" outlineLevel="0" collapsed="false">
      <c r="A17" s="76" t="n">
        <v>221.12</v>
      </c>
      <c r="B17" s="80" t="s">
        <v>459</v>
      </c>
      <c r="C17" s="78" t="n">
        <v>1201688.6</v>
      </c>
    </row>
    <row r="18" customFormat="false" ht="27.75" hidden="false" customHeight="true" outlineLevel="0" collapsed="false">
      <c r="A18" s="76" t="n">
        <v>221.13</v>
      </c>
      <c r="B18" s="80" t="s">
        <v>460</v>
      </c>
      <c r="C18" s="78" t="n">
        <v>40781</v>
      </c>
    </row>
    <row r="19" customFormat="false" ht="27.75" hidden="false" customHeight="true" outlineLevel="0" collapsed="false">
      <c r="A19" s="76" t="n">
        <v>221.2</v>
      </c>
      <c r="B19" s="80" t="s">
        <v>461</v>
      </c>
      <c r="C19" s="78" t="n">
        <f aca="false">C20</f>
        <v>2114223</v>
      </c>
    </row>
    <row r="20" customFormat="false" ht="30" hidden="false" customHeight="true" outlineLevel="0" collapsed="false">
      <c r="A20" s="76" t="n">
        <v>221.21</v>
      </c>
      <c r="B20" s="80" t="s">
        <v>462</v>
      </c>
      <c r="C20" s="78" t="n">
        <f aca="false">SUM(C21:C23)</f>
        <v>2114223</v>
      </c>
    </row>
    <row r="21" customFormat="false" ht="27.75" hidden="false" customHeight="true" outlineLevel="0" collapsed="false">
      <c r="A21" s="81" t="n">
        <v>221.211</v>
      </c>
      <c r="B21" s="82" t="s">
        <v>216</v>
      </c>
      <c r="C21" s="78" t="n">
        <v>1391560</v>
      </c>
      <c r="D21" s="83"/>
    </row>
    <row r="22" customFormat="false" ht="27.75" hidden="false" customHeight="true" outlineLevel="0" collapsed="false">
      <c r="A22" s="81" t="n">
        <v>221.212</v>
      </c>
      <c r="B22" s="82" t="s">
        <v>224</v>
      </c>
      <c r="C22" s="78" t="n">
        <v>322663</v>
      </c>
    </row>
    <row r="23" customFormat="false" ht="27.75" hidden="false" customHeight="true" outlineLevel="0" collapsed="false">
      <c r="A23" s="81" t="n">
        <v>221.213</v>
      </c>
      <c r="B23" s="82" t="s">
        <v>225</v>
      </c>
      <c r="C23" s="78" t="n">
        <v>400000</v>
      </c>
    </row>
    <row r="24" customFormat="false" ht="27.75" hidden="false" customHeight="true" outlineLevel="0" collapsed="false">
      <c r="A24" s="81" t="n">
        <v>221.214</v>
      </c>
      <c r="B24" s="82" t="s">
        <v>232</v>
      </c>
    </row>
    <row r="25" customFormat="false" ht="27.75" hidden="false" customHeight="true" outlineLevel="0" collapsed="false">
      <c r="A25" s="76" t="n">
        <v>221.3</v>
      </c>
      <c r="B25" s="80" t="s">
        <v>463</v>
      </c>
      <c r="C25" s="78" t="n">
        <f aca="false">C26+C30+C31</f>
        <v>4818221.6</v>
      </c>
    </row>
    <row r="26" customFormat="false" ht="27.75" hidden="false" customHeight="true" outlineLevel="0" collapsed="false">
      <c r="A26" s="76" t="n">
        <v>221.31</v>
      </c>
      <c r="B26" s="80" t="s">
        <v>258</v>
      </c>
      <c r="C26" s="78" t="n">
        <v>4170231</v>
      </c>
    </row>
    <row r="27" customFormat="false" ht="27.75" hidden="false" customHeight="true" outlineLevel="0" collapsed="false">
      <c r="A27" s="84" t="n">
        <v>221.311</v>
      </c>
      <c r="B27" s="80" t="s">
        <v>464</v>
      </c>
      <c r="C27" s="78" t="n">
        <v>3200000</v>
      </c>
    </row>
    <row r="28" customFormat="false" ht="27.75" hidden="false" customHeight="true" outlineLevel="0" collapsed="false">
      <c r="A28" s="84" t="n">
        <v>221.312</v>
      </c>
      <c r="B28" s="80" t="s">
        <v>465</v>
      </c>
      <c r="C28" s="78" t="n">
        <v>850000</v>
      </c>
    </row>
    <row r="29" customFormat="false" ht="27.75" hidden="false" customHeight="true" outlineLevel="0" collapsed="false">
      <c r="A29" s="84" t="n">
        <v>221.313</v>
      </c>
      <c r="B29" s="80" t="s">
        <v>466</v>
      </c>
      <c r="C29" s="78" t="n">
        <v>120231</v>
      </c>
    </row>
    <row r="30" customFormat="false" ht="27.75" hidden="false" customHeight="true" outlineLevel="0" collapsed="false">
      <c r="A30" s="76" t="n">
        <v>221.32</v>
      </c>
      <c r="B30" s="80" t="s">
        <v>265</v>
      </c>
      <c r="C30" s="78" t="n">
        <v>647990.6</v>
      </c>
    </row>
    <row r="31" customFormat="false" ht="27.75" hidden="false" customHeight="true" outlineLevel="0" collapsed="false">
      <c r="A31" s="76" t="n">
        <v>221.33</v>
      </c>
      <c r="B31" s="80" t="s">
        <v>273</v>
      </c>
      <c r="C31" s="78" t="n">
        <v>0</v>
      </c>
    </row>
    <row r="32" customFormat="false" ht="27.75" hidden="false" customHeight="true" outlineLevel="0" collapsed="false">
      <c r="A32" s="76" t="s">
        <v>467</v>
      </c>
      <c r="B32" s="77" t="s">
        <v>287</v>
      </c>
      <c r="C32" s="78" t="n">
        <f aca="false">C33+C34+C38+C39+C40</f>
        <v>5908950.6</v>
      </c>
    </row>
    <row r="33" customFormat="false" ht="27.75" hidden="false" customHeight="true" outlineLevel="0" collapsed="false">
      <c r="A33" s="76" t="n">
        <v>222.1</v>
      </c>
      <c r="B33" s="77" t="s">
        <v>468</v>
      </c>
      <c r="C33" s="78" t="n">
        <v>0</v>
      </c>
    </row>
    <row r="34" customFormat="false" ht="27.75" hidden="false" customHeight="true" outlineLevel="0" collapsed="false">
      <c r="A34" s="76" t="n">
        <v>222.2</v>
      </c>
      <c r="B34" s="77" t="s">
        <v>469</v>
      </c>
      <c r="C34" s="78" t="n">
        <v>4890230.6</v>
      </c>
    </row>
    <row r="35" customFormat="false" ht="27.75" hidden="false" customHeight="true" outlineLevel="0" collapsed="false">
      <c r="A35" s="76" t="n">
        <v>222.21</v>
      </c>
      <c r="B35" s="77" t="s">
        <v>470</v>
      </c>
      <c r="C35" s="78" t="n">
        <v>1520786</v>
      </c>
    </row>
    <row r="36" customFormat="false" ht="57" hidden="false" customHeight="true" outlineLevel="0" collapsed="false">
      <c r="A36" s="76" t="n">
        <v>222.22</v>
      </c>
      <c r="B36" s="77" t="s">
        <v>471</v>
      </c>
      <c r="C36" s="78" t="n">
        <v>3341486</v>
      </c>
    </row>
    <row r="37" customFormat="false" ht="57" hidden="false" customHeight="true" outlineLevel="0" collapsed="false">
      <c r="A37" s="76" t="n">
        <v>222.23</v>
      </c>
      <c r="B37" s="77" t="s">
        <v>472</v>
      </c>
      <c r="C37" s="78" t="n">
        <v>27958.6</v>
      </c>
    </row>
    <row r="38" customFormat="false" ht="27.75" hidden="false" customHeight="true" outlineLevel="0" collapsed="false">
      <c r="A38" s="76" t="n">
        <v>222.3</v>
      </c>
      <c r="B38" s="77" t="s">
        <v>312</v>
      </c>
      <c r="C38" s="78" t="n">
        <v>0</v>
      </c>
    </row>
    <row r="39" customFormat="false" ht="27.75" hidden="false" customHeight="true" outlineLevel="0" collapsed="false">
      <c r="A39" s="76" t="n">
        <v>222.4</v>
      </c>
      <c r="B39" s="77" t="s">
        <v>473</v>
      </c>
      <c r="C39" s="78" t="n">
        <v>0</v>
      </c>
    </row>
    <row r="40" customFormat="false" ht="27.75" hidden="false" customHeight="true" outlineLevel="0" collapsed="false">
      <c r="A40" s="76" t="n">
        <v>222.5</v>
      </c>
      <c r="B40" s="77" t="s">
        <v>474</v>
      </c>
      <c r="C40" s="78" t="n">
        <v>1018720</v>
      </c>
    </row>
    <row r="41" customFormat="false" ht="27.75" hidden="false" customHeight="true" outlineLevel="0" collapsed="false">
      <c r="A41" s="76" t="s">
        <v>475</v>
      </c>
      <c r="B41" s="77" t="s">
        <v>476</v>
      </c>
      <c r="C41" s="78"/>
    </row>
    <row r="42" customFormat="false" ht="27.75" hidden="false" customHeight="true" outlineLevel="0" collapsed="false">
      <c r="A42" s="76" t="s">
        <v>477</v>
      </c>
      <c r="B42" s="77" t="s">
        <v>341</v>
      </c>
      <c r="C42" s="78" t="n">
        <v>456297</v>
      </c>
    </row>
    <row r="43" customFormat="false" ht="27.75" hidden="false" customHeight="true" outlineLevel="0" collapsed="false">
      <c r="A43" s="76" t="s">
        <v>478</v>
      </c>
      <c r="B43" s="77" t="s">
        <v>349</v>
      </c>
      <c r="C43" s="78" t="n">
        <v>2253208.37</v>
      </c>
    </row>
    <row r="44" customFormat="false" ht="27.75" hidden="false" customHeight="true" outlineLevel="0" collapsed="false">
      <c r="A44" s="76" t="s">
        <v>479</v>
      </c>
      <c r="B44" s="77" t="s">
        <v>355</v>
      </c>
      <c r="C44" s="78" t="n">
        <v>30960</v>
      </c>
    </row>
    <row r="45" customFormat="false" ht="27.75" hidden="false" customHeight="true" outlineLevel="0" collapsed="false">
      <c r="A45" s="76" t="n">
        <v>23</v>
      </c>
      <c r="B45" s="77" t="s">
        <v>480</v>
      </c>
      <c r="C45" s="78" t="n">
        <f aca="false">C46</f>
        <v>0</v>
      </c>
    </row>
    <row r="46" customFormat="false" ht="27.75" hidden="false" customHeight="true" outlineLevel="0" collapsed="false">
      <c r="A46" s="76" t="n">
        <v>232</v>
      </c>
      <c r="B46" s="77" t="s">
        <v>357</v>
      </c>
      <c r="C46" s="78" t="n">
        <f aca="false">C47</f>
        <v>0</v>
      </c>
    </row>
    <row r="47" customFormat="false" ht="27.75" hidden="false" customHeight="true" outlineLevel="0" collapsed="false">
      <c r="A47" s="76" t="n">
        <v>232.1</v>
      </c>
      <c r="B47" s="77" t="s">
        <v>358</v>
      </c>
      <c r="C47" s="78" t="n">
        <v>0</v>
      </c>
    </row>
    <row r="48" customFormat="false" ht="27.75" hidden="false" customHeight="true" outlineLevel="0" collapsed="false">
      <c r="A48" s="76" t="n">
        <v>24</v>
      </c>
      <c r="B48" s="77" t="s">
        <v>364</v>
      </c>
      <c r="C48" s="78" t="n">
        <f aca="false">C49+C50+C51</f>
        <v>73415.62</v>
      </c>
    </row>
    <row r="49" customFormat="false" ht="27.75" hidden="false" customHeight="true" outlineLevel="0" collapsed="false">
      <c r="A49" s="76" t="s">
        <v>481</v>
      </c>
      <c r="B49" s="77" t="s">
        <v>482</v>
      </c>
      <c r="C49" s="78" t="n">
        <v>1627.02</v>
      </c>
    </row>
    <row r="50" customFormat="false" ht="27.75" hidden="false" customHeight="true" outlineLevel="0" collapsed="false">
      <c r="A50" s="76" t="s">
        <v>483</v>
      </c>
      <c r="B50" s="77" t="s">
        <v>484</v>
      </c>
      <c r="C50" s="78" t="n">
        <v>0</v>
      </c>
    </row>
    <row r="51" customFormat="false" ht="27.75" hidden="false" customHeight="true" outlineLevel="0" collapsed="false">
      <c r="A51" s="76" t="s">
        <v>485</v>
      </c>
      <c r="B51" s="77" t="s">
        <v>486</v>
      </c>
      <c r="C51" s="78" t="n">
        <v>71788.6</v>
      </c>
    </row>
    <row r="52" customFormat="false" ht="27.75" hidden="false" customHeight="true" outlineLevel="0" collapsed="false">
      <c r="A52" s="76" t="n">
        <v>25</v>
      </c>
      <c r="B52" s="77" t="s">
        <v>373</v>
      </c>
      <c r="C52" s="78" t="n">
        <f aca="false">C53</f>
        <v>9836580.5</v>
      </c>
    </row>
    <row r="53" customFormat="false" ht="27.75" hidden="false" customHeight="true" outlineLevel="0" collapsed="false">
      <c r="A53" s="76" t="s">
        <v>487</v>
      </c>
      <c r="B53" s="77" t="s">
        <v>382</v>
      </c>
      <c r="C53" s="78" t="n">
        <v>9836580.5</v>
      </c>
    </row>
    <row r="54" customFormat="false" ht="27.75" hidden="false" customHeight="true" outlineLevel="0" collapsed="false">
      <c r="A54" s="76" t="n">
        <v>26</v>
      </c>
      <c r="B54" s="77" t="s">
        <v>488</v>
      </c>
      <c r="C54" s="78"/>
    </row>
    <row r="55" customFormat="false" ht="27.75" hidden="false" customHeight="true" outlineLevel="0" collapsed="false">
      <c r="A55" s="73" t="n">
        <v>30</v>
      </c>
      <c r="B55" s="74" t="s">
        <v>392</v>
      </c>
      <c r="C55" s="75" t="n">
        <f aca="false">C56+C58+C62+C65+C68</f>
        <v>6442742.52373783</v>
      </c>
    </row>
    <row r="56" customFormat="false" ht="27.75" hidden="false" customHeight="true" outlineLevel="0" collapsed="false">
      <c r="A56" s="76" t="n">
        <v>31</v>
      </c>
      <c r="B56" s="77" t="s">
        <v>489</v>
      </c>
      <c r="C56" s="78" t="n">
        <f aca="false">C57</f>
        <v>1333020.8</v>
      </c>
    </row>
    <row r="57" customFormat="false" ht="27.75" hidden="false" customHeight="true" outlineLevel="0" collapsed="false">
      <c r="A57" s="76" t="n">
        <v>317</v>
      </c>
      <c r="B57" s="77" t="s">
        <v>490</v>
      </c>
      <c r="C57" s="78" t="n">
        <v>1333020.8</v>
      </c>
    </row>
    <row r="58" customFormat="false" ht="27.75" hidden="false" customHeight="true" outlineLevel="0" collapsed="false">
      <c r="A58" s="76" t="n">
        <v>33</v>
      </c>
      <c r="B58" s="77" t="s">
        <v>395</v>
      </c>
      <c r="C58" s="78" t="n">
        <f aca="false">C59</f>
        <v>2407166.4</v>
      </c>
    </row>
    <row r="59" customFormat="false" ht="27.75" hidden="false" customHeight="true" outlineLevel="0" collapsed="false">
      <c r="A59" s="76" t="n">
        <v>331</v>
      </c>
      <c r="B59" s="77" t="s">
        <v>491</v>
      </c>
      <c r="C59" s="78" t="n">
        <f aca="false">C60+C61</f>
        <v>2407166.4</v>
      </c>
    </row>
    <row r="60" customFormat="false" ht="27.75" hidden="false" customHeight="true" outlineLevel="0" collapsed="false">
      <c r="A60" s="76" t="n">
        <v>331.3</v>
      </c>
      <c r="B60" s="77" t="s">
        <v>492</v>
      </c>
      <c r="C60" s="78" t="n">
        <v>215000</v>
      </c>
    </row>
    <row r="61" customFormat="false" ht="27.75" hidden="false" customHeight="true" outlineLevel="0" collapsed="false">
      <c r="A61" s="76" t="n">
        <v>331.5</v>
      </c>
      <c r="B61" s="77" t="s">
        <v>493</v>
      </c>
      <c r="C61" s="78" t="n">
        <v>2192166.4</v>
      </c>
    </row>
    <row r="62" customFormat="false" ht="27.75" hidden="false" customHeight="true" outlineLevel="0" collapsed="false">
      <c r="A62" s="76" t="n">
        <v>34</v>
      </c>
      <c r="B62" s="77" t="s">
        <v>396</v>
      </c>
      <c r="C62" s="78" t="n">
        <f aca="false">C63+C64</f>
        <v>1665282.8</v>
      </c>
    </row>
    <row r="63" customFormat="false" ht="27.75" hidden="false" customHeight="true" outlineLevel="0" collapsed="false">
      <c r="A63" s="76" t="n">
        <v>341</v>
      </c>
      <c r="B63" s="77" t="s">
        <v>494</v>
      </c>
      <c r="C63" s="78" t="n">
        <v>1635355.8</v>
      </c>
    </row>
    <row r="64" customFormat="false" ht="27.75" hidden="false" customHeight="true" outlineLevel="0" collapsed="false">
      <c r="A64" s="76" t="n">
        <v>345</v>
      </c>
      <c r="B64" s="77" t="s">
        <v>495</v>
      </c>
      <c r="C64" s="78" t="n">
        <v>29927</v>
      </c>
    </row>
    <row r="65" customFormat="false" ht="27.75" hidden="false" customHeight="true" outlineLevel="0" collapsed="false">
      <c r="A65" s="76" t="n">
        <v>35</v>
      </c>
      <c r="B65" s="77" t="s">
        <v>397</v>
      </c>
      <c r="C65" s="78" t="n">
        <f aca="false">C66+C67</f>
        <v>620313.587737832</v>
      </c>
    </row>
    <row r="66" customFormat="false" ht="27.75" hidden="false" customHeight="true" outlineLevel="0" collapsed="false">
      <c r="A66" s="76" t="n">
        <v>351</v>
      </c>
      <c r="B66" s="77" t="s">
        <v>496</v>
      </c>
      <c r="C66" s="78" t="n">
        <v>257261.4</v>
      </c>
    </row>
    <row r="67" customFormat="false" ht="27.75" hidden="false" customHeight="true" outlineLevel="0" collapsed="false">
      <c r="A67" s="76" t="n">
        <v>352</v>
      </c>
      <c r="B67" s="77" t="s">
        <v>497</v>
      </c>
      <c r="C67" s="78" t="n">
        <v>363052.187737832</v>
      </c>
    </row>
    <row r="68" customFormat="false" ht="27.75" hidden="false" customHeight="true" outlineLevel="0" collapsed="false">
      <c r="A68" s="76" t="n">
        <v>36</v>
      </c>
      <c r="B68" s="77" t="s">
        <v>398</v>
      </c>
      <c r="C68" s="78" t="n">
        <f aca="false">C69+C70</f>
        <v>416958.936</v>
      </c>
    </row>
    <row r="69" customFormat="false" ht="27.75" hidden="false" customHeight="true" outlineLevel="0" collapsed="false">
      <c r="A69" s="76" t="n">
        <v>361</v>
      </c>
      <c r="B69" s="77" t="s">
        <v>496</v>
      </c>
      <c r="C69" s="78"/>
    </row>
    <row r="70" customFormat="false" ht="27.75" hidden="false" customHeight="true" outlineLevel="0" collapsed="false">
      <c r="A70" s="76" t="n">
        <v>362</v>
      </c>
      <c r="B70" s="77" t="s">
        <v>497</v>
      </c>
      <c r="C70" s="78" t="n">
        <v>416958.936</v>
      </c>
    </row>
    <row r="71" customFormat="false" ht="27.75" hidden="false" customHeight="true" outlineLevel="0" collapsed="false">
      <c r="A71" s="73" t="n">
        <v>40</v>
      </c>
      <c r="B71" s="74" t="s">
        <v>498</v>
      </c>
      <c r="C71" s="75" t="n">
        <f aca="false">C72</f>
        <v>4169765</v>
      </c>
    </row>
    <row r="72" customFormat="false" ht="27.75" hidden="false" customHeight="true" outlineLevel="0" collapsed="false">
      <c r="A72" s="76" t="n">
        <v>41</v>
      </c>
      <c r="B72" s="77" t="s">
        <v>499</v>
      </c>
      <c r="C72" s="78" t="n">
        <v>4169765</v>
      </c>
    </row>
    <row r="73" customFormat="false" ht="27.75" hidden="false" customHeight="true" outlineLevel="0" collapsed="false">
      <c r="A73" s="73" t="n">
        <v>50</v>
      </c>
      <c r="B73" s="74" t="s">
        <v>500</v>
      </c>
      <c r="C73" s="75" t="n">
        <f aca="false">C74</f>
        <v>16408781.6</v>
      </c>
    </row>
    <row r="74" customFormat="false" ht="27.75" hidden="false" customHeight="true" outlineLevel="0" collapsed="false">
      <c r="A74" s="76" t="n">
        <v>54</v>
      </c>
      <c r="B74" s="77" t="s">
        <v>501</v>
      </c>
      <c r="C74" s="78" t="n">
        <v>16408781.6</v>
      </c>
    </row>
    <row r="75" customFormat="false" ht="27.75" hidden="false" customHeight="true" outlineLevel="0" collapsed="false">
      <c r="A75" s="73" t="n">
        <v>60</v>
      </c>
      <c r="B75" s="74" t="s">
        <v>403</v>
      </c>
      <c r="C75" s="75" t="n">
        <f aca="false">C76</f>
        <v>6160606</v>
      </c>
    </row>
    <row r="76" customFormat="false" ht="27.75" hidden="false" customHeight="true" outlineLevel="0" collapsed="false">
      <c r="A76" s="76" t="n">
        <v>61</v>
      </c>
      <c r="B76" s="77" t="s">
        <v>502</v>
      </c>
      <c r="C76" s="78" t="n">
        <v>6160606</v>
      </c>
    </row>
    <row r="77" customFormat="false" ht="27.75" hidden="false" customHeight="true" outlineLevel="0" collapsed="false">
      <c r="A77" s="76" t="n">
        <v>70</v>
      </c>
      <c r="B77" s="77" t="s">
        <v>405</v>
      </c>
      <c r="C77" s="78" t="n">
        <f aca="false">C78</f>
        <v>2456659.2</v>
      </c>
    </row>
    <row r="78" customFormat="false" ht="27.75" hidden="false" customHeight="true" outlineLevel="0" collapsed="false">
      <c r="A78" s="76" t="n">
        <v>71</v>
      </c>
      <c r="B78" s="77" t="s">
        <v>406</v>
      </c>
      <c r="C78" s="78" t="n">
        <v>2456659.2</v>
      </c>
    </row>
    <row r="79" customFormat="false" ht="84.75" hidden="false" customHeight="true" outlineLevel="0" collapsed="false">
      <c r="A79" s="80" t="s">
        <v>503</v>
      </c>
      <c r="B79" s="77" t="s">
        <v>503</v>
      </c>
      <c r="C79" s="78" t="n">
        <v>33779050.1382622</v>
      </c>
    </row>
  </sheetData>
  <mergeCells count="3">
    <mergeCell ref="A1:A2"/>
    <mergeCell ref="B1:B2"/>
    <mergeCell ref="C1:C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2.75" customHeight="false" zeroHeight="false" outlineLevelRow="0" outlineLevelCol="0"/>
  <cols>
    <col collapsed="false" customWidth="true" hidden="false" outlineLevel="0" max="1" min="1" style="85" width="19"/>
    <col collapsed="false" customWidth="true" hidden="false" outlineLevel="0" max="2" min="2" style="85" width="16.5"/>
    <col collapsed="false" customWidth="true" hidden="false" outlineLevel="0" max="3" min="3" style="85" width="22.5"/>
    <col collapsed="false" customWidth="true" hidden="false" outlineLevel="0" max="4" min="4" style="85" width="32.5"/>
    <col collapsed="false" customWidth="false" hidden="false" outlineLevel="0" max="16384" min="5" style="85" width="10.66"/>
  </cols>
  <sheetData>
    <row r="1" customFormat="false" ht="30" hidden="false" customHeight="true" outlineLevel="0" collapsed="false">
      <c r="A1" s="86" t="s">
        <v>504</v>
      </c>
      <c r="B1" s="87" t="s">
        <v>505</v>
      </c>
      <c r="C1" s="87" t="s">
        <v>14</v>
      </c>
      <c r="D1" s="87" t="s">
        <v>506</v>
      </c>
    </row>
    <row r="2" customFormat="false" ht="24.75" hidden="false" customHeight="true" outlineLevel="0" collapsed="false">
      <c r="A2" s="88" t="s">
        <v>507</v>
      </c>
      <c r="B2" s="88"/>
      <c r="C2" s="88"/>
      <c r="D2" s="88"/>
    </row>
    <row r="3" customFormat="false" ht="24.75" hidden="false" customHeight="true" outlineLevel="0" collapsed="false">
      <c r="A3" s="89" t="s">
        <v>508</v>
      </c>
      <c r="B3" s="90" t="n">
        <v>83</v>
      </c>
      <c r="C3" s="91" t="s">
        <v>509</v>
      </c>
      <c r="D3" s="91" t="s">
        <v>510</v>
      </c>
    </row>
    <row r="4" customFormat="false" ht="24.75" hidden="false" customHeight="true" outlineLevel="0" collapsed="false">
      <c r="A4" s="89" t="s">
        <v>511</v>
      </c>
      <c r="B4" s="90" t="n">
        <v>20</v>
      </c>
      <c r="C4" s="91" t="s">
        <v>512</v>
      </c>
      <c r="D4" s="91"/>
    </row>
    <row r="5" customFormat="false" ht="24.75" hidden="false" customHeight="true" outlineLevel="0" collapsed="false">
      <c r="A5" s="89" t="s">
        <v>513</v>
      </c>
      <c r="B5" s="90" t="n">
        <v>5.5</v>
      </c>
      <c r="C5" s="91" t="s">
        <v>514</v>
      </c>
      <c r="D5" s="91" t="s">
        <v>510</v>
      </c>
    </row>
    <row r="6" customFormat="false" ht="24.75" hidden="false" customHeight="true" outlineLevel="0" collapsed="false">
      <c r="A6" s="89" t="s">
        <v>515</v>
      </c>
      <c r="B6" s="90" t="n">
        <v>16.5</v>
      </c>
      <c r="C6" s="91" t="s">
        <v>514</v>
      </c>
      <c r="D6" s="91" t="s">
        <v>510</v>
      </c>
    </row>
    <row r="7" customFormat="false" ht="24.75" hidden="false" customHeight="true" outlineLevel="0" collapsed="false">
      <c r="A7" s="88" t="s">
        <v>385</v>
      </c>
      <c r="B7" s="88"/>
      <c r="C7" s="88"/>
      <c r="D7" s="88"/>
    </row>
    <row r="8" customFormat="false" ht="24.75" hidden="false" customHeight="true" outlineLevel="0" collapsed="false">
      <c r="A8" s="89" t="s">
        <v>516</v>
      </c>
      <c r="B8" s="90" t="n">
        <v>145.3</v>
      </c>
      <c r="C8" s="91" t="s">
        <v>517</v>
      </c>
      <c r="D8" s="91" t="s">
        <v>518</v>
      </c>
    </row>
    <row r="9" customFormat="false" ht="24.75" hidden="false" customHeight="true" outlineLevel="0" collapsed="false">
      <c r="A9" s="89" t="s">
        <v>519</v>
      </c>
      <c r="B9" s="90" t="n">
        <v>30</v>
      </c>
      <c r="C9" s="91" t="s">
        <v>520</v>
      </c>
      <c r="D9" s="91" t="s">
        <v>521</v>
      </c>
    </row>
    <row r="10" customFormat="false" ht="24.75" hidden="false" customHeight="true" outlineLevel="0" collapsed="false">
      <c r="A10" s="89" t="s">
        <v>522</v>
      </c>
      <c r="B10" s="90" t="n">
        <v>19.75</v>
      </c>
      <c r="C10" s="91" t="s">
        <v>520</v>
      </c>
      <c r="D10" s="91" t="s">
        <v>523</v>
      </c>
    </row>
    <row r="11" customFormat="false" ht="24.75" hidden="false" customHeight="true" outlineLevel="0" collapsed="false">
      <c r="A11" s="89" t="s">
        <v>524</v>
      </c>
      <c r="B11" s="90" t="n">
        <v>36</v>
      </c>
      <c r="C11" s="91" t="s">
        <v>525</v>
      </c>
      <c r="D11" s="91" t="s">
        <v>510</v>
      </c>
    </row>
    <row r="12" customFormat="false" ht="24.75" hidden="false" customHeight="true" outlineLevel="0" collapsed="false">
      <c r="A12" s="88" t="s">
        <v>258</v>
      </c>
      <c r="B12" s="88"/>
      <c r="C12" s="88"/>
      <c r="D12" s="88"/>
    </row>
    <row r="13" customFormat="false" ht="24.75" hidden="false" customHeight="true" outlineLevel="0" collapsed="false">
      <c r="A13" s="89" t="s">
        <v>526</v>
      </c>
      <c r="B13" s="90" t="s">
        <v>234</v>
      </c>
      <c r="C13" s="91" t="s">
        <v>510</v>
      </c>
      <c r="D13" s="91" t="s">
        <v>527</v>
      </c>
    </row>
    <row r="14" customFormat="false" ht="24.75" hidden="false" customHeight="true" outlineLevel="0" collapsed="false">
      <c r="A14" s="89" t="s">
        <v>528</v>
      </c>
      <c r="B14" s="90" t="n">
        <v>124</v>
      </c>
      <c r="C14" s="91" t="s">
        <v>525</v>
      </c>
      <c r="D14" s="91" t="s">
        <v>529</v>
      </c>
    </row>
    <row r="15" customFormat="false" ht="24.75" hidden="false" customHeight="true" outlineLevel="0" collapsed="false">
      <c r="A15" s="89" t="s">
        <v>530</v>
      </c>
      <c r="B15" s="90" t="n">
        <v>1</v>
      </c>
      <c r="C15" s="91" t="s">
        <v>514</v>
      </c>
      <c r="D15" s="91" t="s">
        <v>510</v>
      </c>
    </row>
    <row r="16" customFormat="false" ht="27.75" hidden="false" customHeight="true" outlineLevel="0" collapsed="false">
      <c r="A16" s="89" t="s">
        <v>531</v>
      </c>
      <c r="B16" s="90" t="n">
        <v>818.4</v>
      </c>
      <c r="C16" s="91" t="s">
        <v>532</v>
      </c>
      <c r="D16" s="91" t="s">
        <v>510</v>
      </c>
    </row>
    <row r="17" customFormat="false" ht="24.75" hidden="false" customHeight="true" outlineLevel="0" collapsed="false">
      <c r="A17" s="89" t="s">
        <v>533</v>
      </c>
      <c r="B17" s="90" t="n">
        <v>318</v>
      </c>
      <c r="C17" s="91" t="s">
        <v>198</v>
      </c>
      <c r="D17" s="91"/>
    </row>
    <row r="18" customFormat="false" ht="27.75" hidden="false" customHeight="true" outlineLevel="0" collapsed="false">
      <c r="A18" s="89" t="s">
        <v>534</v>
      </c>
      <c r="B18" s="90" t="n">
        <v>570</v>
      </c>
      <c r="C18" s="91" t="s">
        <v>532</v>
      </c>
      <c r="D18" s="91" t="s">
        <v>510</v>
      </c>
    </row>
    <row r="19" customFormat="false" ht="24.75" hidden="false" customHeight="true" outlineLevel="0" collapsed="false">
      <c r="A19" s="89" t="s">
        <v>535</v>
      </c>
      <c r="B19" s="90" t="n">
        <v>0.019</v>
      </c>
      <c r="C19" s="91" t="s">
        <v>536</v>
      </c>
      <c r="D19" s="91" t="s">
        <v>510</v>
      </c>
    </row>
    <row r="20" customFormat="false" ht="24.75" hidden="false" customHeight="true" outlineLevel="0" collapsed="false">
      <c r="A20" s="88" t="s">
        <v>537</v>
      </c>
      <c r="B20" s="88"/>
      <c r="C20" s="88"/>
      <c r="D20" s="88"/>
    </row>
    <row r="21" customFormat="false" ht="24.75" hidden="false" customHeight="true" outlineLevel="0" collapsed="false">
      <c r="A21" s="89" t="s">
        <v>538</v>
      </c>
      <c r="B21" s="90" t="n">
        <v>4</v>
      </c>
      <c r="C21" s="91" t="s">
        <v>525</v>
      </c>
      <c r="D21" s="91" t="s">
        <v>510</v>
      </c>
    </row>
    <row r="22" customFormat="false" ht="24.75" hidden="false" customHeight="true" outlineLevel="0" collapsed="false">
      <c r="A22" s="89" t="s">
        <v>539</v>
      </c>
      <c r="B22" s="90" t="n">
        <v>1</v>
      </c>
      <c r="C22" s="91" t="s">
        <v>525</v>
      </c>
      <c r="D22" s="91" t="s">
        <v>510</v>
      </c>
    </row>
    <row r="23" customFormat="false" ht="24.75" hidden="false" customHeight="true" outlineLevel="0" collapsed="false">
      <c r="A23" s="89" t="s">
        <v>540</v>
      </c>
      <c r="B23" s="90" t="n">
        <v>124</v>
      </c>
      <c r="C23" s="91" t="s">
        <v>525</v>
      </c>
      <c r="D23" s="91" t="s">
        <v>541</v>
      </c>
    </row>
    <row r="24" customFormat="false" ht="24.75" hidden="false" customHeight="true" outlineLevel="0" collapsed="false">
      <c r="A24" s="89" t="s">
        <v>542</v>
      </c>
      <c r="B24" s="90" t="n">
        <v>1</v>
      </c>
      <c r="C24" s="91" t="s">
        <v>514</v>
      </c>
      <c r="D24" s="91" t="s">
        <v>510</v>
      </c>
    </row>
    <row r="25" customFormat="false" ht="27.75" hidden="false" customHeight="true" outlineLevel="0" collapsed="false">
      <c r="A25" s="89" t="s">
        <v>543</v>
      </c>
      <c r="B25" s="90" t="n">
        <v>880.8</v>
      </c>
      <c r="C25" s="91" t="s">
        <v>532</v>
      </c>
      <c r="D25" s="91" t="s">
        <v>544</v>
      </c>
    </row>
    <row r="26" customFormat="false" ht="24.75" hidden="false" customHeight="true" outlineLevel="0" collapsed="false">
      <c r="A26" s="89" t="s">
        <v>545</v>
      </c>
      <c r="B26" s="90" t="n">
        <v>309</v>
      </c>
      <c r="C26" s="91" t="s">
        <v>198</v>
      </c>
      <c r="D26" s="91" t="s">
        <v>510</v>
      </c>
    </row>
    <row r="27" customFormat="false" ht="31.5" hidden="false" customHeight="true" outlineLevel="0" collapsed="false">
      <c r="A27" s="89" t="s">
        <v>546</v>
      </c>
      <c r="B27" s="90" t="n">
        <v>49.2</v>
      </c>
      <c r="C27" s="91" t="s">
        <v>532</v>
      </c>
      <c r="D27" s="91" t="s">
        <v>547</v>
      </c>
    </row>
    <row r="28" customFormat="false" ht="24.75" hidden="false" customHeight="true" outlineLevel="0" collapsed="false">
      <c r="A28" s="89" t="s">
        <v>548</v>
      </c>
      <c r="B28" s="90" t="n">
        <v>14</v>
      </c>
      <c r="C28" s="91" t="s">
        <v>198</v>
      </c>
      <c r="D28" s="91" t="s">
        <v>510</v>
      </c>
    </row>
    <row r="29" customFormat="false" ht="31.5" hidden="false" customHeight="true" outlineLevel="0" collapsed="false">
      <c r="A29" s="89" t="s">
        <v>549</v>
      </c>
      <c r="B29" s="90" t="n">
        <v>14</v>
      </c>
      <c r="C29" s="91" t="s">
        <v>198</v>
      </c>
      <c r="D29" s="91" t="s">
        <v>547</v>
      </c>
    </row>
    <row r="30" customFormat="false" ht="24.75" hidden="false" customHeight="true" outlineLevel="0" collapsed="false">
      <c r="A30" s="88" t="s">
        <v>550</v>
      </c>
      <c r="B30" s="88"/>
      <c r="C30" s="88"/>
      <c r="D30" s="88"/>
    </row>
    <row r="31" customFormat="false" ht="24.75" hidden="false" customHeight="true" outlineLevel="0" collapsed="false">
      <c r="A31" s="89" t="s">
        <v>551</v>
      </c>
      <c r="B31" s="90" t="n">
        <v>5</v>
      </c>
      <c r="C31" s="92"/>
      <c r="D31" s="91" t="s">
        <v>510</v>
      </c>
    </row>
    <row r="32" customFormat="false" ht="24.75" hidden="false" customHeight="true" outlineLevel="0" collapsed="false">
      <c r="A32" s="89" t="s">
        <v>552</v>
      </c>
      <c r="B32" s="90" t="n">
        <v>2</v>
      </c>
      <c r="C32" s="92"/>
      <c r="D32" s="91" t="s">
        <v>510</v>
      </c>
    </row>
    <row r="33" customFormat="false" ht="24.75" hidden="false" customHeight="true" outlineLevel="0" collapsed="false">
      <c r="A33" s="89" t="s">
        <v>553</v>
      </c>
      <c r="B33" s="90" t="n">
        <v>9</v>
      </c>
      <c r="C33" s="92"/>
      <c r="D33" s="91" t="s">
        <v>510</v>
      </c>
    </row>
    <row r="34" customFormat="false" ht="24.75" hidden="false" customHeight="true" outlineLevel="0" collapsed="false">
      <c r="A34" s="89" t="s">
        <v>554</v>
      </c>
      <c r="B34" s="90" t="n">
        <v>213</v>
      </c>
      <c r="C34" s="92"/>
      <c r="D34" s="91" t="s">
        <v>510</v>
      </c>
    </row>
    <row r="35" s="97" customFormat="true" ht="51.75" hidden="false" customHeight="true" outlineLevel="0" collapsed="false">
      <c r="A35" s="93" t="s">
        <v>555</v>
      </c>
      <c r="B35" s="94" t="n">
        <v>48</v>
      </c>
      <c r="C35" s="95" t="s">
        <v>510</v>
      </c>
      <c r="D35" s="96" t="s">
        <v>556</v>
      </c>
    </row>
    <row r="36" s="97" customFormat="true" ht="24.75" hidden="false" customHeight="true" outlineLevel="0" collapsed="false">
      <c r="A36" s="93" t="s">
        <v>557</v>
      </c>
      <c r="B36" s="94" t="n">
        <v>277</v>
      </c>
      <c r="C36" s="95"/>
      <c r="D36" s="96"/>
    </row>
    <row r="37" customFormat="false" ht="24.75" hidden="false" customHeight="true" outlineLevel="0" collapsed="false">
      <c r="A37" s="88" t="s">
        <v>558</v>
      </c>
      <c r="B37" s="88"/>
      <c r="C37" s="88"/>
      <c r="D37" s="88"/>
    </row>
    <row r="38" customFormat="false" ht="24.75" hidden="false" customHeight="true" outlineLevel="0" collapsed="false">
      <c r="A38" s="89" t="s">
        <v>559</v>
      </c>
      <c r="B38" s="90" t="n">
        <v>54.2</v>
      </c>
      <c r="C38" s="91" t="s">
        <v>198</v>
      </c>
      <c r="D38" s="91" t="s">
        <v>560</v>
      </c>
    </row>
    <row r="39" customFormat="false" ht="24.75" hidden="false" customHeight="true" outlineLevel="0" collapsed="false">
      <c r="A39" s="89" t="s">
        <v>561</v>
      </c>
      <c r="B39" s="90" t="n">
        <v>56.3</v>
      </c>
      <c r="C39" s="91" t="s">
        <v>198</v>
      </c>
      <c r="D39" s="91" t="s">
        <v>562</v>
      </c>
    </row>
    <row r="40" customFormat="false" ht="24.75" hidden="false" customHeight="true" outlineLevel="0" collapsed="false">
      <c r="A40" s="89" t="s">
        <v>563</v>
      </c>
      <c r="B40" s="90" t="n">
        <v>39.7</v>
      </c>
      <c r="C40" s="91" t="s">
        <v>198</v>
      </c>
      <c r="D40" s="91" t="s">
        <v>564</v>
      </c>
    </row>
    <row r="41" customFormat="false" ht="24.75" hidden="false" customHeight="true" outlineLevel="0" collapsed="false">
      <c r="A41" s="89" t="s">
        <v>565</v>
      </c>
      <c r="B41" s="90" t="n">
        <v>95.3</v>
      </c>
      <c r="C41" s="91" t="s">
        <v>198</v>
      </c>
      <c r="D41" s="91" t="s">
        <v>566</v>
      </c>
    </row>
    <row r="42" customFormat="false" ht="24.75" hidden="false" customHeight="true" outlineLevel="0" collapsed="false">
      <c r="A42" s="89" t="s">
        <v>567</v>
      </c>
      <c r="B42" s="90" t="n">
        <v>2571.9</v>
      </c>
      <c r="C42" s="91" t="s">
        <v>198</v>
      </c>
      <c r="D42" s="91" t="s">
        <v>568</v>
      </c>
    </row>
    <row r="43" customFormat="false" ht="24.75" hidden="false" customHeight="true" outlineLevel="0" collapsed="false">
      <c r="A43" s="89" t="s">
        <v>569</v>
      </c>
      <c r="B43" s="90" t="n">
        <v>925.3</v>
      </c>
      <c r="C43" s="91" t="s">
        <v>198</v>
      </c>
      <c r="D43" s="91" t="s">
        <v>570</v>
      </c>
    </row>
    <row r="44" customFormat="false" ht="24.75" hidden="false" customHeight="true" outlineLevel="0" collapsed="false">
      <c r="A44" s="88" t="s">
        <v>571</v>
      </c>
      <c r="B44" s="88"/>
      <c r="C44" s="88"/>
      <c r="D44" s="88"/>
    </row>
    <row r="45" customFormat="false" ht="24.75" hidden="false" customHeight="true" outlineLevel="0" collapsed="false">
      <c r="A45" s="89" t="s">
        <v>572</v>
      </c>
      <c r="B45" s="90" t="n">
        <v>8.3</v>
      </c>
      <c r="C45" s="91" t="s">
        <v>536</v>
      </c>
      <c r="D45" s="91" t="s">
        <v>573</v>
      </c>
    </row>
    <row r="46" customFormat="false" ht="24.75" hidden="false" customHeight="true" outlineLevel="0" collapsed="false">
      <c r="A46" s="88" t="s">
        <v>574</v>
      </c>
      <c r="B46" s="88"/>
      <c r="C46" s="88"/>
      <c r="D46" s="88"/>
    </row>
    <row r="47" customFormat="false" ht="24.75" hidden="false" customHeight="true" outlineLevel="0" collapsed="false">
      <c r="A47" s="89" t="s">
        <v>575</v>
      </c>
      <c r="B47" s="90" t="n">
        <v>156</v>
      </c>
      <c r="C47" s="91" t="s">
        <v>198</v>
      </c>
      <c r="D47" s="91" t="s">
        <v>576</v>
      </c>
    </row>
    <row r="48" customFormat="false" ht="24.75" hidden="false" customHeight="true" outlineLevel="0" collapsed="false">
      <c r="A48" s="89" t="s">
        <v>577</v>
      </c>
      <c r="B48" s="90" t="n">
        <v>4</v>
      </c>
      <c r="C48" s="91" t="s">
        <v>525</v>
      </c>
      <c r="D48" s="91" t="s">
        <v>578</v>
      </c>
    </row>
    <row r="49" customFormat="false" ht="24.75" hidden="false" customHeight="true" outlineLevel="0" collapsed="false">
      <c r="A49" s="89" t="s">
        <v>579</v>
      </c>
      <c r="B49" s="90" t="n">
        <v>0.86</v>
      </c>
      <c r="C49" s="91" t="s">
        <v>536</v>
      </c>
      <c r="D49" s="91" t="s">
        <v>580</v>
      </c>
    </row>
    <row r="50" customFormat="false" ht="24.75" hidden="false" customHeight="true" outlineLevel="0" collapsed="false">
      <c r="A50" s="88" t="s">
        <v>581</v>
      </c>
      <c r="B50" s="88"/>
      <c r="C50" s="88"/>
      <c r="D50" s="88"/>
    </row>
    <row r="51" customFormat="false" ht="24.75" hidden="false" customHeight="true" outlineLevel="0" collapsed="false">
      <c r="A51" s="89" t="s">
        <v>582</v>
      </c>
      <c r="B51" s="90" t="n">
        <v>1.11</v>
      </c>
      <c r="C51" s="91" t="s">
        <v>536</v>
      </c>
      <c r="D51" s="91" t="s">
        <v>576</v>
      </c>
    </row>
    <row r="52" customFormat="false" ht="24.75" hidden="false" customHeight="true" outlineLevel="0" collapsed="false">
      <c r="A52" s="89" t="s">
        <v>583</v>
      </c>
      <c r="B52" s="90" t="n">
        <v>1.587</v>
      </c>
      <c r="C52" s="91" t="s">
        <v>536</v>
      </c>
      <c r="D52" s="91" t="s">
        <v>576</v>
      </c>
    </row>
  </sheetData>
  <mergeCells count="9">
    <mergeCell ref="A2:D2"/>
    <mergeCell ref="A7:D7"/>
    <mergeCell ref="A12:D12"/>
    <mergeCell ref="A20:D20"/>
    <mergeCell ref="A30:D30"/>
    <mergeCell ref="A37:D37"/>
    <mergeCell ref="A44:D44"/>
    <mergeCell ref="A46:D46"/>
    <mergeCell ref="A50:D50"/>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59" zoomScaleNormal="59" zoomScalePageLayoutView="100" workbookViewId="0">
      <selection pane="topLeft" activeCell="A1" activeCellId="0" sqref="A1"/>
    </sheetView>
  </sheetViews>
  <sheetFormatPr defaultColWidth="11.5078125" defaultRowHeight="15" customHeight="false" zeroHeight="false" outlineLevelRow="0" outlineLevelCol="0"/>
  <cols>
    <col collapsed="false" customWidth="true" hidden="false" outlineLevel="0" max="2" min="2" style="0" width="15"/>
    <col collapsed="false" customWidth="true" hidden="false" outlineLevel="0" max="5" min="5" style="0" width="10"/>
    <col collapsed="false" customWidth="true" hidden="false" outlineLevel="0" max="6" min="6" style="0" width="17.16"/>
    <col collapsed="false" customWidth="true" hidden="false" outlineLevel="0" max="7" min="7" style="0" width="12.5"/>
  </cols>
  <sheetData>
    <row r="1" customFormat="false" ht="15" hidden="false" customHeight="false" outlineLevel="0" collapsed="false">
      <c r="A1" s="98" t="s">
        <v>584</v>
      </c>
      <c r="B1" s="98" t="s">
        <v>39</v>
      </c>
      <c r="C1" s="98" t="s">
        <v>53</v>
      </c>
      <c r="D1" s="98" t="s">
        <v>229</v>
      </c>
      <c r="E1" s="98" t="s">
        <v>163</v>
      </c>
      <c r="F1" s="98" t="s">
        <v>96</v>
      </c>
      <c r="G1" s="98" t="s">
        <v>73</v>
      </c>
    </row>
    <row r="2" customFormat="false" ht="15" hidden="false" customHeight="false" outlineLevel="0" collapsed="false">
      <c r="A2" s="0" t="n">
        <v>1978</v>
      </c>
      <c r="B2" s="99" t="n">
        <v>3.1209</v>
      </c>
      <c r="C2" s="99" t="n">
        <v>4.2536</v>
      </c>
      <c r="D2" s="99" t="n">
        <v>3.811</v>
      </c>
      <c r="E2" s="99" t="n">
        <v>5.3954</v>
      </c>
      <c r="F2" s="100" t="n">
        <f aca="false">(C2+D2+E2)/3</f>
        <v>4.48666666666667</v>
      </c>
      <c r="G2" s="100" t="n">
        <f aca="false">AVERAGE(C2,E2)</f>
        <v>4.8245</v>
      </c>
      <c r="J2" s="99"/>
      <c r="K2" s="99"/>
      <c r="L2" s="99"/>
      <c r="M2" s="99"/>
    </row>
    <row r="3" customFormat="false" ht="15" hidden="false" customHeight="false" outlineLevel="0" collapsed="false">
      <c r="A3" s="0" t="n">
        <v>1985</v>
      </c>
      <c r="B3" s="99" t="n">
        <v>2.53800998598027</v>
      </c>
      <c r="C3" s="99" t="n">
        <v>3.31228628230616</v>
      </c>
      <c r="D3" s="99" t="n">
        <v>3.14612610211513</v>
      </c>
      <c r="E3" s="99" t="n">
        <v>4.06039685435672</v>
      </c>
      <c r="F3" s="100" t="n">
        <f aca="false">(C3+D3+E3)/3</f>
        <v>3.50626974625934</v>
      </c>
      <c r="G3" s="100" t="n">
        <f aca="false">AVERAGE(C3,E3)</f>
        <v>3.68634156833144</v>
      </c>
      <c r="J3" s="99"/>
      <c r="K3" s="99"/>
      <c r="L3" s="99"/>
      <c r="M3" s="99"/>
    </row>
    <row r="4" customFormat="false" ht="15" hidden="false" customHeight="false" outlineLevel="0" collapsed="false">
      <c r="A4" s="0" t="n">
        <v>1986</v>
      </c>
      <c r="B4" s="99" t="n">
        <v>2.48779755820009</v>
      </c>
      <c r="C4" s="99" t="n">
        <v>3.20862782859894</v>
      </c>
      <c r="D4" s="99" t="n">
        <v>3.15247648474497</v>
      </c>
      <c r="E4" s="99" t="n">
        <v>3.95708203556101</v>
      </c>
      <c r="F4" s="100" t="n">
        <f aca="false">(C4+D4+E4)/3</f>
        <v>3.43939544963497</v>
      </c>
      <c r="G4" s="100" t="n">
        <f aca="false">AVERAGE(C4,E4)</f>
        <v>3.58285493207997</v>
      </c>
      <c r="J4" s="99"/>
      <c r="K4" s="99"/>
      <c r="L4" s="99"/>
      <c r="M4" s="99"/>
    </row>
    <row r="5" customFormat="false" ht="15" hidden="false" customHeight="false" outlineLevel="0" collapsed="false">
      <c r="A5" s="0" t="n">
        <v>1987</v>
      </c>
      <c r="B5" s="99" t="n">
        <v>2.42782425380333</v>
      </c>
      <c r="C5" s="99" t="n">
        <v>3.11126050420168</v>
      </c>
      <c r="D5" s="99" t="n">
        <v>3.0891631494865</v>
      </c>
      <c r="E5" s="99" t="n">
        <v>3.92102114216282</v>
      </c>
      <c r="F5" s="100" t="n">
        <f aca="false">(C5+D5+E5)/3</f>
        <v>3.37381493195033</v>
      </c>
      <c r="G5" s="100" t="n">
        <f aca="false">AVERAGE(C5,E5)</f>
        <v>3.51614082318225</v>
      </c>
      <c r="J5" s="99"/>
      <c r="K5" s="99"/>
      <c r="L5" s="99"/>
      <c r="M5" s="99"/>
    </row>
    <row r="6" customFormat="false" ht="15" hidden="false" customHeight="false" outlineLevel="0" collapsed="false">
      <c r="A6" s="0" t="n">
        <v>1988</v>
      </c>
      <c r="B6" s="99" t="n">
        <v>2.34514692981459</v>
      </c>
      <c r="C6" s="99" t="n">
        <v>2.98982503364738</v>
      </c>
      <c r="D6" s="99" t="n">
        <v>2.92579073420275</v>
      </c>
      <c r="E6" s="99" t="n">
        <v>3.73603519536903</v>
      </c>
      <c r="F6" s="100" t="n">
        <f aca="false">(C6+D6+E6)/3</f>
        <v>3.21721698773972</v>
      </c>
      <c r="G6" s="100" t="n">
        <f aca="false">AVERAGE(C6,E6)</f>
        <v>3.3629301145082</v>
      </c>
      <c r="J6" s="99"/>
      <c r="K6" s="99"/>
      <c r="L6" s="99"/>
      <c r="M6" s="99"/>
    </row>
    <row r="7" customFormat="false" ht="15" hidden="false" customHeight="false" outlineLevel="0" collapsed="false">
      <c r="A7" s="0" t="n">
        <v>1989</v>
      </c>
      <c r="B7" s="99" t="n">
        <v>2.25651825545389</v>
      </c>
      <c r="C7" s="99" t="n">
        <v>2.8925</v>
      </c>
      <c r="D7" s="99" t="n">
        <v>2.83232542372881</v>
      </c>
      <c r="E7" s="99" t="n">
        <v>3.51142589771491</v>
      </c>
      <c r="F7" s="100" t="n">
        <f aca="false">(C7+D7+E7)/3</f>
        <v>3.07875044048124</v>
      </c>
      <c r="G7" s="100" t="n">
        <f aca="false">AVERAGE(C7,E7)</f>
        <v>3.20196294885745</v>
      </c>
      <c r="J7" s="99"/>
      <c r="K7" s="99"/>
      <c r="L7" s="99"/>
      <c r="M7" s="99"/>
    </row>
    <row r="8" customFormat="false" ht="15" hidden="false" customHeight="false" outlineLevel="0" collapsed="false">
      <c r="A8" s="0" t="n">
        <v>1990</v>
      </c>
      <c r="B8" s="99" t="n">
        <v>2.17493122447001</v>
      </c>
      <c r="C8" s="99" t="n">
        <v>2.76527800829876</v>
      </c>
      <c r="D8" s="99" t="n">
        <v>2.82897099066462</v>
      </c>
      <c r="E8" s="99" t="n">
        <v>3.41752756155679</v>
      </c>
      <c r="F8" s="100" t="n">
        <f aca="false">(C8+D8+E8)/3</f>
        <v>3.00392552017339</v>
      </c>
      <c r="G8" s="100" t="n">
        <f aca="false">AVERAGE(C8,E8)</f>
        <v>3.09140278492777</v>
      </c>
      <c r="J8" s="99"/>
      <c r="K8" s="99"/>
      <c r="L8" s="99"/>
      <c r="M8" s="99"/>
    </row>
    <row r="9" customFormat="false" ht="15" hidden="false" customHeight="false" outlineLevel="0" collapsed="false">
      <c r="A9" s="0" t="n">
        <v>1991</v>
      </c>
      <c r="B9" s="99" t="n">
        <v>2.10391700784576</v>
      </c>
      <c r="C9" s="99" t="n">
        <v>2.65616580310881</v>
      </c>
      <c r="D9" s="99" t="n">
        <v>2.81095456181642</v>
      </c>
      <c r="E9" s="99" t="n">
        <v>3.30529456500864</v>
      </c>
      <c r="F9" s="100" t="n">
        <f aca="false">(C9+D9+E9)/3</f>
        <v>2.92413830997796</v>
      </c>
      <c r="G9" s="100" t="n">
        <f aca="false">AVERAGE(C9,E9)</f>
        <v>2.98073018405873</v>
      </c>
      <c r="J9" s="99"/>
      <c r="K9" s="99"/>
      <c r="L9" s="99"/>
      <c r="M9" s="99"/>
    </row>
    <row r="10" customFormat="false" ht="15" hidden="false" customHeight="false" outlineLevel="0" collapsed="false">
      <c r="A10" s="0" t="n">
        <v>1992</v>
      </c>
      <c r="B10" s="99" t="n">
        <v>2.05709246042821</v>
      </c>
      <c r="C10" s="99" t="n">
        <v>2.57409038238702</v>
      </c>
      <c r="D10" s="99" t="n">
        <v>2.76219642201211</v>
      </c>
      <c r="E10" s="99" t="n">
        <v>3.16935770670923</v>
      </c>
      <c r="F10" s="100" t="n">
        <f aca="false">(C10+D10+E10)/3</f>
        <v>2.83521483703612</v>
      </c>
      <c r="G10" s="100" t="n">
        <f aca="false">AVERAGE(C10,E10)</f>
        <v>2.87172404454812</v>
      </c>
      <c r="J10" s="99"/>
      <c r="K10" s="99"/>
      <c r="L10" s="99"/>
      <c r="M10" s="99"/>
    </row>
    <row r="11" customFormat="false" ht="15" hidden="false" customHeight="false" outlineLevel="0" collapsed="false">
      <c r="A11" s="0" t="n">
        <v>1993</v>
      </c>
      <c r="B11" s="99" t="n">
        <v>2.00942265150335</v>
      </c>
      <c r="C11" s="99" t="n">
        <v>2.49226626776365</v>
      </c>
      <c r="D11" s="99" t="n">
        <v>2.63135365474339</v>
      </c>
      <c r="E11" s="99" t="n">
        <v>2.99350686456401</v>
      </c>
      <c r="F11" s="100" t="n">
        <f aca="false">(C11+D11+E11)/3</f>
        <v>2.70570892902368</v>
      </c>
      <c r="G11" s="100" t="n">
        <f aca="false">AVERAGE(C11,E11)</f>
        <v>2.74288656616383</v>
      </c>
      <c r="J11" s="99"/>
      <c r="K11" s="99"/>
      <c r="L11" s="99"/>
      <c r="M11" s="99"/>
    </row>
    <row r="12" customFormat="false" ht="15" hidden="false" customHeight="false" outlineLevel="0" collapsed="false">
      <c r="A12" s="0" t="n">
        <v>1994</v>
      </c>
      <c r="B12" s="99" t="n">
        <v>1.96743197071385</v>
      </c>
      <c r="C12" s="99" t="n">
        <v>2.40328885683375</v>
      </c>
      <c r="D12" s="99" t="n">
        <v>2.52814404183788</v>
      </c>
      <c r="E12" s="99" t="n">
        <v>2.90622573454914</v>
      </c>
      <c r="F12" s="100" t="n">
        <f aca="false">(C12+D12+E12)/3</f>
        <v>2.61255287774026</v>
      </c>
      <c r="G12" s="100" t="n">
        <f aca="false">AVERAGE(C12,E12)</f>
        <v>2.65475729569145</v>
      </c>
      <c r="J12" s="99"/>
      <c r="K12" s="99"/>
      <c r="L12" s="99"/>
      <c r="M12" s="99"/>
    </row>
    <row r="13" customFormat="false" ht="15" hidden="false" customHeight="false" outlineLevel="0" collapsed="false">
      <c r="A13" s="0" t="n">
        <v>1995</v>
      </c>
      <c r="B13" s="99" t="n">
        <v>1.92697317606986</v>
      </c>
      <c r="C13" s="99" t="n">
        <v>2.36155917788802</v>
      </c>
      <c r="D13" s="99" t="n">
        <v>2.43725164155813</v>
      </c>
      <c r="E13" s="99" t="n">
        <v>2.85654253941909</v>
      </c>
      <c r="F13" s="100" t="n">
        <f aca="false">(C13+D13+E13)/3</f>
        <v>2.55178445295508</v>
      </c>
      <c r="G13" s="100" t="n">
        <f aca="false">AVERAGE(C13,E13)</f>
        <v>2.60905085865356</v>
      </c>
      <c r="J13" s="99"/>
      <c r="K13" s="99"/>
      <c r="L13" s="99"/>
      <c r="M13" s="99"/>
    </row>
    <row r="14" customFormat="false" ht="15" hidden="false" customHeight="false" outlineLevel="0" collapsed="false">
      <c r="A14" s="0" t="n">
        <v>1996</v>
      </c>
      <c r="B14" s="99" t="n">
        <v>1.89237627502833</v>
      </c>
      <c r="C14" s="99" t="n">
        <v>2.3036017974421</v>
      </c>
      <c r="D14" s="99" t="n">
        <v>2.42343337312008</v>
      </c>
      <c r="E14" s="99" t="n">
        <v>2.79575516569201</v>
      </c>
      <c r="F14" s="100" t="n">
        <f aca="false">(C14+D14+E14)/3</f>
        <v>2.5075967787514</v>
      </c>
      <c r="G14" s="100" t="n">
        <f aca="false">AVERAGE(C14,E14)</f>
        <v>2.54967848156706</v>
      </c>
      <c r="J14" s="99"/>
      <c r="K14" s="99"/>
      <c r="L14" s="99"/>
      <c r="M14" s="99"/>
    </row>
    <row r="15" customFormat="false" ht="15" hidden="false" customHeight="false" outlineLevel="0" collapsed="false">
      <c r="A15" s="0" t="n">
        <v>1997</v>
      </c>
      <c r="B15" s="99" t="n">
        <v>1.86027330482502</v>
      </c>
      <c r="C15" s="99" t="n">
        <v>2.24463455708993</v>
      </c>
      <c r="D15" s="99" t="n">
        <v>2.38178483195495</v>
      </c>
      <c r="E15" s="99" t="n">
        <v>2.7305519276535</v>
      </c>
      <c r="F15" s="100" t="n">
        <f aca="false">(C15+D15+E15)/3</f>
        <v>2.45232377223279</v>
      </c>
      <c r="G15" s="100" t="n">
        <f aca="false">AVERAGE(C15,E15)</f>
        <v>2.48759324237171</v>
      </c>
      <c r="J15" s="99"/>
      <c r="K15" s="99"/>
      <c r="L15" s="99"/>
      <c r="M15" s="99"/>
    </row>
    <row r="16" customFormat="false" ht="15" hidden="false" customHeight="false" outlineLevel="0" collapsed="false">
      <c r="A16" s="0" t="n">
        <v>1998</v>
      </c>
      <c r="B16" s="99" t="n">
        <v>1.8396117820303</v>
      </c>
      <c r="C16" s="99" t="n">
        <v>2.17717085919634</v>
      </c>
      <c r="D16" s="99" t="n">
        <v>2.39343685017093</v>
      </c>
      <c r="E16" s="99" t="n">
        <v>2.67191090871455</v>
      </c>
      <c r="F16" s="100" t="n">
        <f aca="false">(C16+D16+E16)/3</f>
        <v>2.41417287269394</v>
      </c>
      <c r="G16" s="100" t="n">
        <f aca="false">AVERAGE(C16,E16)</f>
        <v>2.42454088395545</v>
      </c>
      <c r="J16" s="99"/>
      <c r="K16" s="99"/>
      <c r="L16" s="99"/>
      <c r="M16" s="99"/>
    </row>
    <row r="17" customFormat="false" ht="15" hidden="false" customHeight="false" outlineLevel="0" collapsed="false">
      <c r="A17" s="0" t="n">
        <v>1999</v>
      </c>
      <c r="B17" s="99" t="n">
        <v>1.81396693691857</v>
      </c>
      <c r="C17" s="99" t="n">
        <v>2.10496525584334</v>
      </c>
      <c r="D17" s="99" t="n">
        <v>2.37038407565233</v>
      </c>
      <c r="E17" s="99" t="n">
        <v>2.65501138478943</v>
      </c>
      <c r="F17" s="100" t="n">
        <f aca="false">(C17+D17+E17)/3</f>
        <v>2.37678690542836</v>
      </c>
      <c r="G17" s="100" t="n">
        <f aca="false">AVERAGE(C17,E17)</f>
        <v>2.37998832031638</v>
      </c>
      <c r="J17" s="99"/>
      <c r="K17" s="99"/>
      <c r="L17" s="99"/>
      <c r="M17" s="99"/>
    </row>
    <row r="18" customFormat="false" ht="15" hidden="false" customHeight="false" outlineLevel="0" collapsed="false">
      <c r="A18" s="0" t="n">
        <v>2000</v>
      </c>
      <c r="B18" s="99" t="n">
        <v>1.77376770538244</v>
      </c>
      <c r="C18" s="99" t="n">
        <v>2.00732530120482</v>
      </c>
      <c r="D18" s="99" t="n">
        <v>2.34763540498352</v>
      </c>
      <c r="E18" s="99" t="n">
        <v>2.62691459679471</v>
      </c>
      <c r="F18" s="100" t="n">
        <f aca="false">(C18+D18+E18)/3</f>
        <v>2.32729176766102</v>
      </c>
      <c r="G18" s="100" t="n">
        <f aca="false">AVERAGE(C18,E18)</f>
        <v>2.31711994899976</v>
      </c>
      <c r="J18" s="99"/>
      <c r="K18" s="99"/>
      <c r="L18" s="99"/>
      <c r="M18" s="99"/>
    </row>
    <row r="19" customFormat="false" ht="15" hidden="false" customHeight="false" outlineLevel="0" collapsed="false">
      <c r="A19" s="0" t="n">
        <v>2001</v>
      </c>
      <c r="B19" s="99" t="n">
        <v>1.73461144843631</v>
      </c>
      <c r="C19" s="99" t="n">
        <v>1.91723820483314</v>
      </c>
      <c r="D19" s="99" t="n">
        <v>2.36969243697479</v>
      </c>
      <c r="E19" s="99" t="n">
        <v>2.54332330427073</v>
      </c>
      <c r="F19" s="100" t="n">
        <f aca="false">(C19+D19+E19)/3</f>
        <v>2.27675131535955</v>
      </c>
      <c r="G19" s="100" t="n">
        <f aca="false">AVERAGE(C19,E19)</f>
        <v>2.23028075455193</v>
      </c>
      <c r="J19" s="99"/>
      <c r="K19" s="99"/>
      <c r="L19" s="99"/>
      <c r="M19" s="99"/>
    </row>
    <row r="20" customFormat="false" ht="15" hidden="false" customHeight="false" outlineLevel="0" collapsed="false">
      <c r="A20" s="0" t="n">
        <v>2002</v>
      </c>
      <c r="B20" s="99" t="n">
        <v>1.70809739948023</v>
      </c>
      <c r="C20" s="99" t="n">
        <v>1.85429048414023</v>
      </c>
      <c r="D20" s="99" t="n">
        <v>2.34980901568196</v>
      </c>
      <c r="E20" s="99" t="n">
        <v>2.5197406861549</v>
      </c>
      <c r="F20" s="100" t="n">
        <f aca="false">(C20+D20+E20)/3</f>
        <v>2.24128006199237</v>
      </c>
      <c r="G20" s="100" t="n">
        <f aca="false">AVERAGE(C20,E20)</f>
        <v>2.18701558514757</v>
      </c>
      <c r="J20" s="99"/>
      <c r="K20" s="99"/>
      <c r="L20" s="99"/>
      <c r="M20" s="99"/>
    </row>
    <row r="21" customFormat="false" ht="15" hidden="false" customHeight="false" outlineLevel="0" collapsed="false">
      <c r="A21" s="0" t="n">
        <v>2003</v>
      </c>
      <c r="B21" s="99" t="n">
        <v>1.67513323095205</v>
      </c>
      <c r="C21" s="99" t="n">
        <v>1.79052122514777</v>
      </c>
      <c r="D21" s="99" t="n">
        <v>2.30029171245681</v>
      </c>
      <c r="E21" s="99" t="n">
        <v>2.4774246149417</v>
      </c>
      <c r="F21" s="100" t="n">
        <f aca="false">(C21+D21+E21)/3</f>
        <v>2.18941251751543</v>
      </c>
      <c r="G21" s="100" t="n">
        <f aca="false">AVERAGE(C21,E21)</f>
        <v>2.13397292004474</v>
      </c>
      <c r="J21" s="99"/>
      <c r="K21" s="99"/>
      <c r="L21" s="99"/>
      <c r="M21" s="99"/>
    </row>
    <row r="22" customFormat="false" ht="15" hidden="false" customHeight="false" outlineLevel="0" collapsed="false">
      <c r="A22" s="0" t="n">
        <v>2004</v>
      </c>
      <c r="B22" s="99" t="n">
        <v>1.63127406095864</v>
      </c>
      <c r="C22" s="99" t="n">
        <v>1.73912317327766</v>
      </c>
      <c r="D22" s="99" t="n">
        <v>2.09563139804923</v>
      </c>
      <c r="E22" s="99" t="n">
        <v>2.38584198512084</v>
      </c>
      <c r="F22" s="100" t="n">
        <f aca="false">(C22+D22+E22)/3</f>
        <v>2.07353218548258</v>
      </c>
      <c r="G22" s="100" t="n">
        <f aca="false">AVERAGE(C22,E22)</f>
        <v>2.06248257919925</v>
      </c>
      <c r="J22" s="99"/>
      <c r="K22" s="99"/>
      <c r="L22" s="99"/>
      <c r="M22" s="99"/>
    </row>
    <row r="23" customFormat="false" ht="15" hidden="false" customHeight="false" outlineLevel="0" collapsed="false">
      <c r="A23" s="0" t="n">
        <v>2005</v>
      </c>
      <c r="B23" s="99" t="n">
        <v>1.58164148311645</v>
      </c>
      <c r="C23" s="99" t="n">
        <v>1.68333417529679</v>
      </c>
      <c r="D23" s="99" t="n">
        <v>1.9957266230894</v>
      </c>
      <c r="E23" s="99" t="n">
        <v>2.29281968115813</v>
      </c>
      <c r="F23" s="100" t="n">
        <f aca="false">(C23+D23+E23)/3</f>
        <v>1.99062682651477</v>
      </c>
      <c r="G23" s="100" t="n">
        <f aca="false">AVERAGE(C23,E23)</f>
        <v>1.98807692822746</v>
      </c>
      <c r="J23" s="99"/>
      <c r="K23" s="99"/>
      <c r="L23" s="99"/>
      <c r="M23" s="99"/>
    </row>
    <row r="24" customFormat="false" ht="15" hidden="false" customHeight="false" outlineLevel="0" collapsed="false">
      <c r="A24" s="0" t="n">
        <v>2006</v>
      </c>
      <c r="B24" s="99" t="n">
        <v>1.5342735134235</v>
      </c>
      <c r="C24" s="99" t="n">
        <v>1.62862170087977</v>
      </c>
      <c r="D24" s="99" t="n">
        <v>1.87743536918027</v>
      </c>
      <c r="E24" s="99" t="n">
        <v>2.1163260400869</v>
      </c>
      <c r="F24" s="100" t="n">
        <f aca="false">(C24+D24+E24)/3</f>
        <v>1.87412770338231</v>
      </c>
      <c r="G24" s="100" t="n">
        <f aca="false">AVERAGE(C24,E24)</f>
        <v>1.87247387048333</v>
      </c>
      <c r="J24" s="99"/>
      <c r="K24" s="99"/>
      <c r="L24" s="99"/>
      <c r="M24" s="99"/>
    </row>
    <row r="25" customFormat="false" ht="15" hidden="false" customHeight="false" outlineLevel="0" collapsed="false">
      <c r="A25" s="0" t="n">
        <v>2007</v>
      </c>
      <c r="B25" s="99" t="n">
        <v>1.49382237638325</v>
      </c>
      <c r="C25" s="99" t="n">
        <v>1.56733772342427</v>
      </c>
      <c r="D25" s="99" t="n">
        <v>1.84737043810564</v>
      </c>
      <c r="E25" s="99" t="n">
        <v>1.94265958311385</v>
      </c>
      <c r="F25" s="100" t="n">
        <f aca="false">(C25+D25+E25)/3</f>
        <v>1.78578924821459</v>
      </c>
      <c r="G25" s="100" t="n">
        <f aca="false">AVERAGE(C25,E25)</f>
        <v>1.75499865326906</v>
      </c>
      <c r="J25" s="99"/>
      <c r="K25" s="99"/>
      <c r="L25" s="99"/>
      <c r="M25" s="99"/>
    </row>
    <row r="26" customFormat="false" ht="15" hidden="false" customHeight="false" outlineLevel="0" collapsed="false">
      <c r="A26" s="0" t="n">
        <v>2008</v>
      </c>
      <c r="B26" s="99" t="n">
        <v>1.46546620652436</v>
      </c>
      <c r="C26" s="99" t="n">
        <v>1.51324250681199</v>
      </c>
      <c r="D26" s="99" t="n">
        <v>1.72260847579858</v>
      </c>
      <c r="E26" s="99" t="n">
        <v>1.89461347424042</v>
      </c>
      <c r="F26" s="100" t="n">
        <f aca="false">(C26+D26+E26)/3</f>
        <v>1.71015481895033</v>
      </c>
      <c r="G26" s="100" t="n">
        <f aca="false">AVERAGE(C26,E26)</f>
        <v>1.70392799052621</v>
      </c>
      <c r="J26" s="99"/>
      <c r="K26" s="99"/>
      <c r="L26" s="99"/>
      <c r="M26" s="99"/>
    </row>
    <row r="27" customFormat="false" ht="15" hidden="false" customHeight="false" outlineLevel="0" collapsed="false">
      <c r="A27" s="0" t="n">
        <v>2009</v>
      </c>
      <c r="B27" s="99" t="n">
        <v>1.45654650627715</v>
      </c>
      <c r="C27" s="99" t="n">
        <v>1.49692722371968</v>
      </c>
      <c r="D27" s="99" t="n">
        <v>1.7887780097793</v>
      </c>
      <c r="E27" s="99" t="n">
        <v>1.8701827875978</v>
      </c>
      <c r="F27" s="100" t="n">
        <f aca="false">(C27+D27+E27)/3</f>
        <v>1.71862934036559</v>
      </c>
      <c r="G27" s="100" t="n">
        <f aca="false">AVERAGE(C27,E27)</f>
        <v>1.68355500565874</v>
      </c>
      <c r="J27" s="99"/>
      <c r="K27" s="99"/>
      <c r="L27" s="99"/>
      <c r="M27" s="99"/>
    </row>
    <row r="28" customFormat="false" ht="15" hidden="false" customHeight="false" outlineLevel="0" collapsed="false">
      <c r="A28" s="0" t="n">
        <v>2010</v>
      </c>
      <c r="B28" s="99" t="n">
        <v>1.43910519533407</v>
      </c>
      <c r="C28" s="99" t="n">
        <v>1.48096</v>
      </c>
      <c r="D28" s="99" t="n">
        <v>1.73980503856041</v>
      </c>
      <c r="E28" s="99" t="n">
        <v>1.88177004154822</v>
      </c>
      <c r="F28" s="100" t="n">
        <f aca="false">(C28+D28+E28)/3</f>
        <v>1.70084502670288</v>
      </c>
      <c r="G28" s="100" t="n">
        <f aca="false">AVERAGE(C28,E28)</f>
        <v>1.68136502077411</v>
      </c>
      <c r="J28" s="99"/>
      <c r="K28" s="99"/>
      <c r="L28" s="99"/>
      <c r="M28" s="99"/>
    </row>
    <row r="29" customFormat="false" ht="15" hidden="false" customHeight="false" outlineLevel="0" collapsed="false">
      <c r="A29" s="0" t="n">
        <v>2011</v>
      </c>
      <c r="B29" s="99" t="n">
        <v>1.41000554776682</v>
      </c>
      <c r="C29" s="99" t="n">
        <v>1.46532981530343</v>
      </c>
      <c r="D29" s="99" t="n">
        <v>1.68249635798633</v>
      </c>
      <c r="E29" s="99" t="n">
        <v>1.80417941155916</v>
      </c>
      <c r="F29" s="100" t="n">
        <f aca="false">(C29+D29+E29)/3</f>
        <v>1.65066852828297</v>
      </c>
      <c r="G29" s="100" t="n">
        <f aca="false">AVERAGE(C29,E29)</f>
        <v>1.63475461343129</v>
      </c>
      <c r="J29" s="99"/>
      <c r="K29" s="99"/>
      <c r="L29" s="99"/>
      <c r="M29" s="99"/>
    </row>
    <row r="30" customFormat="false" ht="15" hidden="false" customHeight="false" outlineLevel="0" collapsed="false">
      <c r="A30" s="0" t="n">
        <v>2012</v>
      </c>
      <c r="B30" s="99" t="n">
        <v>1.38420256805121</v>
      </c>
      <c r="C30" s="99" t="n">
        <v>1.44249350649351</v>
      </c>
      <c r="D30" s="99" t="n">
        <v>1.64407666707154</v>
      </c>
      <c r="E30" s="99" t="n">
        <v>1.68671413544151</v>
      </c>
      <c r="F30" s="100" t="n">
        <f aca="false">(C30+D30+E30)/3</f>
        <v>1.59109476966885</v>
      </c>
      <c r="G30" s="100" t="n">
        <f aca="false">AVERAGE(C30,E30)</f>
        <v>1.56460382096751</v>
      </c>
      <c r="J30" s="99"/>
      <c r="K30" s="99"/>
      <c r="L30" s="99"/>
      <c r="M30" s="99"/>
    </row>
    <row r="31" customFormat="false" ht="15" hidden="false" customHeight="false" outlineLevel="0" collapsed="false">
      <c r="A31" s="0" t="n">
        <v>2013</v>
      </c>
      <c r="B31" s="99" t="n">
        <v>1.36106977885292</v>
      </c>
      <c r="C31" s="99" t="n">
        <v>1.41312977099237</v>
      </c>
      <c r="D31" s="99" t="n">
        <v>1.61697326484291</v>
      </c>
      <c r="E31" s="99" t="n">
        <v>1.62702484401588</v>
      </c>
      <c r="F31" s="100" t="n">
        <f aca="false">(C31+D31+E31)/3</f>
        <v>1.55237595995039</v>
      </c>
      <c r="G31" s="100" t="n">
        <f aca="false">AVERAGE(C31,E31)</f>
        <v>1.52007730750412</v>
      </c>
      <c r="J31" s="99"/>
      <c r="K31" s="99"/>
      <c r="L31" s="99"/>
      <c r="M31" s="99"/>
    </row>
    <row r="32" customFormat="false" ht="15" hidden="false" customHeight="false" outlineLevel="0" collapsed="false">
      <c r="A32" s="0" t="n">
        <v>2014</v>
      </c>
      <c r="B32" s="99" t="n">
        <v>1.33778803420576</v>
      </c>
      <c r="C32" s="99" t="n">
        <v>1.39304347826087</v>
      </c>
      <c r="D32" s="99" t="n">
        <v>1.57795327582187</v>
      </c>
      <c r="E32" s="99" t="n">
        <v>1.56640999939324</v>
      </c>
      <c r="F32" s="100" t="n">
        <f aca="false">(C32+D32+E32)/3</f>
        <v>1.51246891782533</v>
      </c>
      <c r="G32" s="100" t="n">
        <f aca="false">AVERAGE(C32,E32)</f>
        <v>1.47972673882706</v>
      </c>
      <c r="J32" s="99"/>
      <c r="K32" s="99"/>
      <c r="L32" s="99"/>
      <c r="M32" s="99"/>
    </row>
    <row r="33" customFormat="false" ht="15" hidden="false" customHeight="false" outlineLevel="0" collapsed="false">
      <c r="A33" s="0" t="n">
        <v>2015</v>
      </c>
      <c r="B33" s="99" t="n">
        <v>1.32544317650504</v>
      </c>
      <c r="C33" s="99" t="n">
        <v>1.36452088452088</v>
      </c>
      <c r="D33" s="99" t="n">
        <v>1.5846653502439</v>
      </c>
      <c r="E33" s="99" t="n">
        <v>1.52284342722312</v>
      </c>
      <c r="F33" s="100" t="n">
        <f aca="false">(C33+D33+E33)/3</f>
        <v>1.49067655399597</v>
      </c>
      <c r="G33" s="100" t="n">
        <f aca="false">AVERAGE(C33,E33)</f>
        <v>1.443682155872</v>
      </c>
      <c r="J33" s="99"/>
      <c r="K33" s="99"/>
      <c r="L33" s="99"/>
      <c r="M33" s="99"/>
    </row>
    <row r="34" customFormat="false" ht="15" hidden="false" customHeight="false" outlineLevel="0" collapsed="false">
      <c r="A34" s="0" t="n">
        <v>2016</v>
      </c>
      <c r="B34" s="99" t="n">
        <v>1.3129865046787</v>
      </c>
      <c r="C34" s="99" t="n">
        <v>1.33607056936648</v>
      </c>
      <c r="D34" s="99" t="n">
        <v>1.582072295165</v>
      </c>
      <c r="E34" s="99" t="n">
        <v>1.50023263598326</v>
      </c>
      <c r="F34" s="100" t="n">
        <f aca="false">(C34+D34+E34)/3</f>
        <v>1.47279183350491</v>
      </c>
      <c r="G34" s="100" t="n">
        <f aca="false">AVERAGE(C34,E34)</f>
        <v>1.41815160267487</v>
      </c>
      <c r="J34" s="99"/>
      <c r="K34" s="99"/>
      <c r="L34" s="99"/>
      <c r="M34" s="99"/>
    </row>
    <row r="35" customFormat="false" ht="15" hidden="false" customHeight="false" outlineLevel="0" collapsed="false">
      <c r="A35" s="0" t="n">
        <v>2017</v>
      </c>
      <c r="B35" s="99" t="n">
        <v>1.28991289564478</v>
      </c>
      <c r="C35" s="99" t="n">
        <v>1.30366197183099</v>
      </c>
      <c r="D35" s="99" t="n">
        <v>1.5267530022183</v>
      </c>
      <c r="E35" s="99" t="n">
        <v>1.46536132822478</v>
      </c>
      <c r="F35" s="100" t="n">
        <f aca="false">(C35+D35+E35)/3</f>
        <v>1.43192543409135</v>
      </c>
      <c r="G35" s="100" t="n">
        <f aca="false">AVERAGE(C35,E35)</f>
        <v>1.38451165002788</v>
      </c>
      <c r="J35" s="99"/>
      <c r="K35" s="99"/>
      <c r="L35" s="99"/>
      <c r="M35" s="99"/>
    </row>
    <row r="36" customFormat="false" ht="15" hidden="false" customHeight="false" outlineLevel="0" collapsed="false">
      <c r="A36" s="0" t="n">
        <v>2018</v>
      </c>
      <c r="B36" s="99" t="n">
        <v>1.26099987535164</v>
      </c>
      <c r="C36" s="99" t="n">
        <v>1.26891089108911</v>
      </c>
      <c r="D36" s="99" t="n">
        <v>1.43538528101803</v>
      </c>
      <c r="E36" s="99" t="n">
        <v>1.41356859223567</v>
      </c>
      <c r="F36" s="100" t="n">
        <f aca="false">(C36+D36+E36)/3</f>
        <v>1.37262158811427</v>
      </c>
      <c r="G36" s="100" t="n">
        <f aca="false">AVERAGE(C36,E36)</f>
        <v>1.34123974166239</v>
      </c>
      <c r="J36" s="99"/>
      <c r="K36" s="99"/>
      <c r="L36" s="99"/>
      <c r="M36" s="99"/>
    </row>
    <row r="37" customFormat="false" ht="15" hidden="false" customHeight="false" outlineLevel="0" collapsed="false">
      <c r="A37" s="0" t="n">
        <v>2019</v>
      </c>
      <c r="B37" s="99" t="n">
        <v>1.24019412761559</v>
      </c>
      <c r="C37" s="99" t="n">
        <v>1.23048744460857</v>
      </c>
      <c r="D37" s="99" t="n">
        <v>1.43553751193128</v>
      </c>
      <c r="E37" s="99" t="n">
        <v>1.37799264458619</v>
      </c>
      <c r="F37" s="100" t="n">
        <f aca="false">(C37+D37+E37)/3</f>
        <v>1.34800586704201</v>
      </c>
      <c r="G37" s="100" t="n">
        <f aca="false">AVERAGE(C37,E37)</f>
        <v>1.30424004459738</v>
      </c>
      <c r="J37" s="99"/>
      <c r="K37" s="99"/>
      <c r="L37" s="99"/>
      <c r="M37" s="99"/>
    </row>
    <row r="38" customFormat="false" ht="15" hidden="false" customHeight="false" outlineLevel="0" collapsed="false">
      <c r="A38" s="0" t="n">
        <v>2020</v>
      </c>
      <c r="B38" s="99" t="n">
        <v>1.22415997570374</v>
      </c>
      <c r="C38" s="99" t="n">
        <v>1.19689655172414</v>
      </c>
      <c r="D38" s="99" t="n">
        <v>1.41478118598007</v>
      </c>
      <c r="E38" s="99" t="n">
        <v>1.35909466701764</v>
      </c>
      <c r="F38" s="100" t="n">
        <f aca="false">(C38+D38+E38)/3</f>
        <v>1.32359080157395</v>
      </c>
      <c r="G38" s="100" t="n">
        <f aca="false">AVERAGE(C38,E38)</f>
        <v>1.27799560937089</v>
      </c>
      <c r="J38" s="99"/>
      <c r="K38" s="99"/>
      <c r="L38" s="99"/>
      <c r="M38" s="99"/>
    </row>
    <row r="39" customFormat="false" ht="15" hidden="false" customHeight="false" outlineLevel="0" collapsed="false">
      <c r="A39" s="0" t="n">
        <v>2021</v>
      </c>
      <c r="B39" s="99" t="n">
        <v>1.17061802736755</v>
      </c>
      <c r="C39" s="99" t="n">
        <v>1.1618410041841</v>
      </c>
      <c r="D39" s="99" t="n">
        <v>1.11528628905674</v>
      </c>
      <c r="E39" s="99" t="n">
        <v>1.2994960627781</v>
      </c>
      <c r="F39" s="100" t="n">
        <f aca="false">(C39+D39+E39)/3</f>
        <v>1.19220778533964</v>
      </c>
      <c r="G39" s="100" t="n">
        <f aca="false">AVERAGE(C39,E39)</f>
        <v>1.2306685334811</v>
      </c>
      <c r="J39" s="99"/>
      <c r="K39" s="99"/>
      <c r="L39" s="99"/>
      <c r="M39" s="99"/>
    </row>
    <row r="40" customFormat="false" ht="15" hidden="false" customHeight="false" outlineLevel="0" collapsed="false">
      <c r="A40" s="0" t="n">
        <v>2022</v>
      </c>
      <c r="B40" s="99" t="n">
        <v>1.09341386552396</v>
      </c>
      <c r="C40" s="99" t="n">
        <v>1.11667560321716</v>
      </c>
      <c r="D40" s="99" t="n">
        <v>0.990802740289562</v>
      </c>
      <c r="E40" s="99" t="n">
        <v>1.14982961225101</v>
      </c>
      <c r="F40" s="100" t="n">
        <f aca="false">(C40+D40+E40)/3</f>
        <v>1.08576931858591</v>
      </c>
      <c r="G40" s="100" t="n">
        <f aca="false">AVERAGE(C40,E40)</f>
        <v>1.13325260773408</v>
      </c>
      <c r="J40" s="99"/>
      <c r="K40" s="99"/>
      <c r="L40" s="99"/>
      <c r="M40" s="99"/>
    </row>
    <row r="41" customFormat="false" ht="15" hidden="false" customHeight="false" outlineLevel="0" collapsed="false">
      <c r="A41" s="0" t="n">
        <v>2023</v>
      </c>
      <c r="B41" s="99" t="n">
        <v>1.05496127264548</v>
      </c>
      <c r="C41" s="99" t="n">
        <v>1.07074550128535</v>
      </c>
      <c r="D41" s="99" t="n">
        <v>1.01991681334844</v>
      </c>
      <c r="E41" s="99" t="n">
        <v>1.06521174670608</v>
      </c>
      <c r="F41" s="100" t="n">
        <f aca="false">(C41+D41+E41)/3</f>
        <v>1.05195802044662</v>
      </c>
      <c r="G41" s="100" t="n">
        <f aca="false">AVERAGE(C41,E41)</f>
        <v>1.06797862399571</v>
      </c>
      <c r="J41" s="99"/>
      <c r="K41" s="99"/>
      <c r="L41" s="99"/>
      <c r="M41" s="99"/>
    </row>
    <row r="42" customFormat="false" ht="15" hidden="false" customHeight="false" outlineLevel="0" collapsed="false">
      <c r="A42" s="0" t="n">
        <v>2024</v>
      </c>
      <c r="B42" s="99" t="n">
        <v>1.03</v>
      </c>
      <c r="C42" s="99" t="n">
        <v>1.04</v>
      </c>
      <c r="D42" s="99" t="n">
        <v>1.03</v>
      </c>
      <c r="E42" s="99" t="n">
        <v>1.06</v>
      </c>
      <c r="F42" s="100" t="n">
        <f aca="false">(C42+D42+E42)/3</f>
        <v>1.04333333333333</v>
      </c>
      <c r="G42" s="100" t="n">
        <f aca="false">AVERAGE(C42,E42)</f>
        <v>1.05</v>
      </c>
      <c r="J42" s="99"/>
      <c r="K42" s="99"/>
      <c r="L42" s="99"/>
      <c r="M42" s="99"/>
    </row>
    <row r="43" customFormat="false" ht="15" hidden="false" customHeight="false" outlineLevel="0" collapsed="false">
      <c r="A43" s="0" t="n">
        <v>2025</v>
      </c>
      <c r="B43" s="99" t="n">
        <v>1</v>
      </c>
      <c r="C43" s="99" t="n">
        <v>1</v>
      </c>
      <c r="D43" s="99" t="n">
        <v>1</v>
      </c>
      <c r="E43" s="99" t="n">
        <v>1</v>
      </c>
      <c r="F43" s="100" t="n">
        <f aca="false">(C43+D43+E43)/3</f>
        <v>1</v>
      </c>
      <c r="G43" s="100" t="n">
        <f aca="false">AVERAGE(C43,E43)</f>
        <v>1</v>
      </c>
      <c r="J43" s="99"/>
      <c r="K43" s="99"/>
      <c r="L43" s="99"/>
      <c r="M43" s="9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7" activeCellId="0" sqref="A17"/>
    </sheetView>
  </sheetViews>
  <sheetFormatPr defaultColWidth="11.5078125" defaultRowHeight="15" customHeight="false" zeroHeight="false" outlineLevelRow="0" outlineLevelCol="0"/>
  <cols>
    <col collapsed="false" customWidth="true" hidden="false" outlineLevel="0" max="1" min="1" style="0" width="47.83"/>
    <col collapsed="false" customWidth="true" hidden="false" outlineLevel="0" max="2" min="2" style="0" width="11.16"/>
    <col collapsed="false" customWidth="true" hidden="false" outlineLevel="0" max="3" min="3" style="0" width="48.16"/>
    <col collapsed="false" customWidth="true" hidden="false" outlineLevel="0" max="4" min="4" style="0" width="33.33"/>
    <col collapsed="false" customWidth="true" hidden="false" outlineLevel="0" max="5" min="5" style="0" width="47.83"/>
  </cols>
  <sheetData>
    <row r="1" s="101" customFormat="true" ht="15" hidden="false" customHeight="false" outlineLevel="0" collapsed="false">
      <c r="A1" s="101" t="s">
        <v>585</v>
      </c>
      <c r="B1" s="101" t="s">
        <v>505</v>
      </c>
      <c r="C1" s="101" t="s">
        <v>586</v>
      </c>
      <c r="D1" s="101" t="s">
        <v>587</v>
      </c>
      <c r="E1" s="101" t="s">
        <v>21</v>
      </c>
    </row>
    <row r="2" customFormat="false" ht="15" hidden="false" customHeight="false" outlineLevel="0" collapsed="false">
      <c r="A2" s="0" t="s">
        <v>588</v>
      </c>
      <c r="B2" s="100" t="n">
        <v>0.0653899320525433</v>
      </c>
    </row>
    <row r="3" customFormat="false" ht="15" hidden="false" customHeight="false" outlineLevel="0" collapsed="false">
      <c r="A3" s="0" t="s">
        <v>589</v>
      </c>
      <c r="B3" s="0" t="n">
        <v>5</v>
      </c>
    </row>
    <row r="4" customFormat="false" ht="15" hidden="false" customHeight="false" outlineLevel="0" collapsed="false">
      <c r="A4" s="0" t="s">
        <v>590</v>
      </c>
      <c r="B4" s="0" t="n">
        <v>5</v>
      </c>
    </row>
    <row r="5" customFormat="false" ht="15" hidden="false" customHeight="false" outlineLevel="0" collapsed="false">
      <c r="A5" s="0" t="s">
        <v>591</v>
      </c>
      <c r="B5" s="0" t="n">
        <v>5</v>
      </c>
    </row>
    <row r="6" customFormat="false" ht="15" hidden="false" customHeight="false" outlineLevel="0" collapsed="false">
      <c r="A6" s="0" t="s">
        <v>592</v>
      </c>
      <c r="B6" s="0" t="n">
        <v>1800</v>
      </c>
    </row>
    <row r="7" customFormat="false" ht="15" hidden="false" customHeight="false" outlineLevel="0" collapsed="false">
      <c r="A7" s="0" t="s">
        <v>593</v>
      </c>
      <c r="B7" s="0" t="n">
        <v>10</v>
      </c>
    </row>
    <row r="8" customFormat="false" ht="15" hidden="false" customHeight="false" outlineLevel="0" collapsed="false">
      <c r="A8" s="0" t="s">
        <v>594</v>
      </c>
      <c r="B8" s="0" t="n">
        <v>0.03</v>
      </c>
    </row>
    <row r="9" customFormat="false" ht="19.5" hidden="false" customHeight="true" outlineLevel="0" collapsed="false">
      <c r="A9" s="0" t="s">
        <v>77</v>
      </c>
      <c r="B9" s="0" t="n">
        <v>0.08</v>
      </c>
      <c r="C9" s="102" t="s">
        <v>595</v>
      </c>
      <c r="D9" s="103" t="s">
        <v>596</v>
      </c>
      <c r="E9" s="104" t="s">
        <v>597</v>
      </c>
    </row>
    <row r="10" customFormat="false" ht="26.25" hidden="false" customHeight="true" outlineLevel="0" collapsed="false">
      <c r="A10" s="1" t="s">
        <v>43</v>
      </c>
      <c r="B10" s="0" t="n">
        <v>0</v>
      </c>
      <c r="D10" s="103"/>
      <c r="E10" s="103"/>
    </row>
    <row r="11" customFormat="false" ht="113.4" hidden="false" customHeight="false" outlineLevel="0" collapsed="false">
      <c r="A11" s="1" t="s">
        <v>59</v>
      </c>
      <c r="B11" s="0" t="n">
        <v>0.2</v>
      </c>
      <c r="C11" s="25" t="s">
        <v>598</v>
      </c>
      <c r="D11" s="103"/>
      <c r="E11" s="103"/>
    </row>
    <row r="12" customFormat="false" ht="15" hidden="false" customHeight="false" outlineLevel="0" collapsed="false">
      <c r="A12" s="1" t="s">
        <v>201</v>
      </c>
      <c r="B12" s="0" t="n">
        <v>0.184431698201097</v>
      </c>
      <c r="C12" s="105" t="s">
        <v>595</v>
      </c>
      <c r="D12" s="103"/>
      <c r="E12" s="103"/>
    </row>
    <row r="13" customFormat="false" ht="15" hidden="false" customHeight="false" outlineLevel="0" collapsed="false">
      <c r="A13" s="1" t="s">
        <v>223</v>
      </c>
      <c r="B13" s="0" t="n">
        <v>0.24138</v>
      </c>
      <c r="C13" s="105" t="s">
        <v>595</v>
      </c>
      <c r="D13" s="103"/>
      <c r="E13" s="103"/>
    </row>
    <row r="14" customFormat="false" ht="15" hidden="false" customHeight="false" outlineLevel="0" collapsed="false">
      <c r="A14" s="1" t="s">
        <v>167</v>
      </c>
      <c r="B14" s="99" t="n">
        <v>0.229628480221155</v>
      </c>
      <c r="C14" s="105" t="s">
        <v>595</v>
      </c>
      <c r="D14" s="103"/>
      <c r="E14" s="103"/>
    </row>
    <row r="15" customFormat="false" ht="15" hidden="false" customHeight="false" outlineLevel="0" collapsed="false">
      <c r="A15" s="1" t="s">
        <v>238</v>
      </c>
      <c r="B15" s="0" t="n">
        <v>0.415053776785993</v>
      </c>
      <c r="C15" s="106" t="s">
        <v>595</v>
      </c>
      <c r="D15" s="103"/>
      <c r="E15" s="103"/>
    </row>
    <row r="16" customFormat="false" ht="15" hidden="false" customHeight="false" outlineLevel="0" collapsed="false">
      <c r="A16" s="1" t="s">
        <v>236</v>
      </c>
      <c r="B16" s="0" t="n">
        <v>0.399149058114017</v>
      </c>
      <c r="C16" s="106" t="s">
        <v>595</v>
      </c>
      <c r="D16" s="103"/>
      <c r="E16" s="103"/>
    </row>
    <row r="17" customFormat="false" ht="15" hidden="false" customHeight="false" outlineLevel="0" collapsed="false">
      <c r="A17" s="1" t="s">
        <v>354</v>
      </c>
      <c r="B17" s="0" t="n">
        <v>0.05</v>
      </c>
      <c r="D17" s="0" t="s">
        <v>599</v>
      </c>
      <c r="E17" s="0" t="s">
        <v>600</v>
      </c>
    </row>
    <row r="18" customFormat="false" ht="26.25" hidden="false" customHeight="true" outlineLevel="0" collapsed="false">
      <c r="A18" s="0" t="s">
        <v>601</v>
      </c>
      <c r="B18" s="99" t="n">
        <v>0.5</v>
      </c>
      <c r="C18" s="107"/>
      <c r="D18" s="107"/>
      <c r="E18" s="107" t="s">
        <v>602</v>
      </c>
    </row>
    <row r="19" customFormat="false" ht="26.25" hidden="false" customHeight="true" outlineLevel="0" collapsed="false">
      <c r="A19" s="0" t="s">
        <v>603</v>
      </c>
      <c r="B19" s="99" t="n">
        <v>0.02</v>
      </c>
      <c r="C19" s="107"/>
      <c r="D19" s="107"/>
      <c r="E19" s="107" t="s">
        <v>604</v>
      </c>
    </row>
    <row r="20" customFormat="false" ht="26.25" hidden="false" customHeight="true" outlineLevel="0" collapsed="false">
      <c r="A20" s="0" t="s">
        <v>605</v>
      </c>
      <c r="B20" s="99" t="n">
        <v>0.075</v>
      </c>
      <c r="C20" s="107"/>
      <c r="D20" s="107"/>
      <c r="E20" s="107" t="s">
        <v>606</v>
      </c>
    </row>
    <row r="21" customFormat="false" ht="26.25" hidden="false" customHeight="true" outlineLevel="0" collapsed="false">
      <c r="A21" s="0" t="s">
        <v>607</v>
      </c>
      <c r="B21" s="99" t="n">
        <v>0.005</v>
      </c>
      <c r="C21" s="107"/>
      <c r="D21" s="107"/>
      <c r="E21" s="107" t="s">
        <v>608</v>
      </c>
    </row>
    <row r="22" customFormat="false" ht="26.25" hidden="false" customHeight="true" outlineLevel="0" collapsed="false">
      <c r="A22" s="0" t="s">
        <v>609</v>
      </c>
      <c r="B22" s="99" t="n">
        <v>0.05</v>
      </c>
      <c r="C22" s="107"/>
      <c r="D22" s="107"/>
      <c r="E22" s="107" t="s">
        <v>610</v>
      </c>
    </row>
    <row r="23" customFormat="false" ht="46.5" hidden="false" customHeight="true" outlineLevel="0" collapsed="false">
      <c r="A23" s="0" t="s">
        <v>611</v>
      </c>
      <c r="B23" s="99" t="n">
        <v>0.01</v>
      </c>
      <c r="C23" s="107"/>
      <c r="D23" s="107"/>
      <c r="E23" s="107" t="s">
        <v>612</v>
      </c>
    </row>
    <row r="24" customFormat="false" ht="26.25" hidden="false" customHeight="true" outlineLevel="0" collapsed="false">
      <c r="A24" s="0" t="s">
        <v>613</v>
      </c>
      <c r="B24" s="99" t="n">
        <v>0.05</v>
      </c>
      <c r="C24" s="107"/>
      <c r="D24" s="107"/>
      <c r="E24" s="107" t="s">
        <v>614</v>
      </c>
    </row>
    <row r="25" customFormat="false" ht="26.25" hidden="false" customHeight="true" outlineLevel="0" collapsed="false">
      <c r="A25" s="0" t="s">
        <v>615</v>
      </c>
      <c r="B25" s="99" t="n">
        <v>0.005</v>
      </c>
      <c r="C25" s="107"/>
      <c r="D25" s="107"/>
      <c r="E25" s="107" t="s">
        <v>616</v>
      </c>
    </row>
    <row r="26" customFormat="false" ht="15" hidden="false" customHeight="false" outlineLevel="0" collapsed="false">
      <c r="A26" s="0" t="s">
        <v>617</v>
      </c>
      <c r="B26" s="0" t="n">
        <v>0.1</v>
      </c>
      <c r="E26" s="0" t="s">
        <v>618</v>
      </c>
    </row>
    <row r="27" customFormat="false" ht="15" hidden="false" customHeight="false" outlineLevel="0" collapsed="false">
      <c r="A27" s="0" t="s">
        <v>619</v>
      </c>
      <c r="B27" s="0" t="n">
        <v>0.5</v>
      </c>
      <c r="E27" s="0" t="s">
        <v>620</v>
      </c>
    </row>
    <row r="28" customFormat="false" ht="15" hidden="false" customHeight="false" outlineLevel="0" collapsed="false">
      <c r="A28" s="0" t="s">
        <v>621</v>
      </c>
      <c r="B28" s="0" t="n">
        <v>0.02</v>
      </c>
      <c r="E28" s="0" t="s">
        <v>604</v>
      </c>
    </row>
    <row r="29" customFormat="false" ht="15" hidden="false" customHeight="false" outlineLevel="0" collapsed="false">
      <c r="A29" s="0" t="s">
        <v>622</v>
      </c>
      <c r="B29" s="0" t="n">
        <v>0.075</v>
      </c>
      <c r="E29" s="0" t="s">
        <v>606</v>
      </c>
    </row>
    <row r="30" customFormat="false" ht="15" hidden="false" customHeight="false" outlineLevel="0" collapsed="false">
      <c r="A30" s="0" t="s">
        <v>623</v>
      </c>
      <c r="B30" s="0" t="n">
        <v>0.005</v>
      </c>
      <c r="E30" s="0" t="s">
        <v>608</v>
      </c>
    </row>
    <row r="31" customFormat="false" ht="15" hidden="false" customHeight="false" outlineLevel="0" collapsed="false">
      <c r="A31" s="0" t="s">
        <v>624</v>
      </c>
      <c r="B31" s="0" t="n">
        <v>0.05</v>
      </c>
      <c r="E31" s="0" t="s">
        <v>610</v>
      </c>
    </row>
    <row r="32" customFormat="false" ht="15" hidden="false" customHeight="false" outlineLevel="0" collapsed="false">
      <c r="A32" s="0" t="s">
        <v>625</v>
      </c>
      <c r="B32" s="0" t="n">
        <v>0.01</v>
      </c>
      <c r="E32" s="0" t="s">
        <v>612</v>
      </c>
    </row>
    <row r="33" customFormat="false" ht="15" hidden="false" customHeight="false" outlineLevel="0" collapsed="false">
      <c r="A33" s="0" t="s">
        <v>626</v>
      </c>
      <c r="B33" s="0" t="n">
        <v>0.05</v>
      </c>
      <c r="E33" s="0" t="s">
        <v>614</v>
      </c>
    </row>
    <row r="34" customFormat="false" ht="15" hidden="false" customHeight="false" outlineLevel="0" collapsed="false">
      <c r="A34" s="0" t="s">
        <v>627</v>
      </c>
      <c r="B34" s="0" t="n">
        <v>0.005</v>
      </c>
      <c r="E34" s="0" t="s">
        <v>616</v>
      </c>
    </row>
  </sheetData>
  <mergeCells count="2">
    <mergeCell ref="D9:D16"/>
    <mergeCell ref="E9:E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69"/>
  <sheetViews>
    <sheetView showFormulas="false" showGridLines="true" showRowColHeaders="true" showZeros="true" rightToLeft="false" tabSelected="false" showOutlineSymbols="true" defaultGridColor="true" view="normal" topLeftCell="A1" colorId="64" zoomScale="50" zoomScaleNormal="50" zoomScalePageLayoutView="100" workbookViewId="0">
      <selection pane="topLeft" activeCell="A1" activeCellId="0" sqref="A1"/>
    </sheetView>
  </sheetViews>
  <sheetFormatPr defaultColWidth="10.66796875" defaultRowHeight="13.5" customHeight="false" zeroHeight="false" outlineLevelRow="0" outlineLevelCol="0"/>
  <cols>
    <col collapsed="false" customWidth="true" hidden="false" outlineLevel="0" max="1" min="1" style="1" width="8.67"/>
    <col collapsed="false" customWidth="true" hidden="false" outlineLevel="0" max="2" min="2" style="1" width="4.67"/>
    <col collapsed="false" customWidth="true" hidden="false" outlineLevel="0" max="3" min="3" style="1" width="32.67"/>
    <col collapsed="false" customWidth="true" hidden="false" outlineLevel="0" max="4" min="4" style="2" width="44.66"/>
    <col collapsed="false" customWidth="true" hidden="false" outlineLevel="0" max="5" min="5" style="2" width="13.34"/>
    <col collapsed="false" customWidth="true" hidden="false" outlineLevel="0" max="6" min="6" style="2" width="13.67"/>
    <col collapsed="false" customWidth="true" hidden="false" outlineLevel="0" max="7" min="7" style="108" width="13.67"/>
    <col collapsed="false" customWidth="true" hidden="false" outlineLevel="0" max="9" min="8" style="2" width="13.67"/>
    <col collapsed="false" customWidth="true" hidden="false" outlineLevel="0" max="11" min="10" style="3" width="13.67"/>
    <col collapsed="false" customWidth="true" hidden="false" outlineLevel="0" max="12" min="12" style="1" width="10"/>
    <col collapsed="false" customWidth="true" hidden="false" outlineLevel="0" max="13" min="13" style="1" width="16.33"/>
    <col collapsed="false" customWidth="true" hidden="false" outlineLevel="0" max="14" min="14" style="1" width="8.67"/>
    <col collapsed="false" customWidth="true" hidden="false" outlineLevel="0" max="15" min="15" style="1" width="7.33"/>
    <col collapsed="false" customWidth="true" hidden="false" outlineLevel="0" max="16" min="16" style="1" width="7.67"/>
    <col collapsed="false" customWidth="true" hidden="false" outlineLevel="0" max="17" min="17" style="1" width="8.16"/>
    <col collapsed="false" customWidth="false" hidden="false" outlineLevel="0" max="18" min="18" style="1" width="10.66"/>
    <col collapsed="false" customWidth="true" hidden="false" outlineLevel="0" max="19" min="19" style="1" width="29"/>
    <col collapsed="false" customWidth="true" hidden="false" outlineLevel="0" max="20" min="20" style="1" width="37.16"/>
    <col collapsed="false" customWidth="true" hidden="false" outlineLevel="0" max="21" min="21" style="1" width="81.16"/>
    <col collapsed="false" customWidth="true" hidden="false" outlineLevel="0" max="22" min="22" style="1" width="18.67"/>
    <col collapsed="false" customWidth="true" hidden="false" outlineLevel="0" max="23" min="23" style="1" width="21.5"/>
    <col collapsed="false" customWidth="true" hidden="false" outlineLevel="0" max="25" min="24" style="3" width="16.67"/>
    <col collapsed="false" customWidth="true" hidden="false" outlineLevel="0" max="26" min="26" style="1" width="12.5"/>
    <col collapsed="false" customWidth="true" hidden="false" outlineLevel="0" max="28" min="27" style="3" width="16.67"/>
    <col collapsed="false" customWidth="true" hidden="false" outlineLevel="0" max="29" min="29" style="1" width="12.5"/>
    <col collapsed="false" customWidth="true" hidden="false" outlineLevel="0" max="32" min="30" style="3" width="6.67"/>
    <col collapsed="false" customWidth="true" hidden="false" outlineLevel="0" max="33" min="33" style="1" width="16.16"/>
    <col collapsed="false" customWidth="false" hidden="false" outlineLevel="0" max="16384" min="34" style="1" width="10.66"/>
  </cols>
  <sheetData>
    <row r="1" s="8" customFormat="true" ht="35.05" hidden="false" customHeight="false" outlineLevel="0" collapsed="false">
      <c r="A1" s="4" t="s">
        <v>0</v>
      </c>
      <c r="B1" s="5" t="s">
        <v>1</v>
      </c>
      <c r="C1" s="4" t="s">
        <v>2</v>
      </c>
      <c r="D1" s="5" t="s">
        <v>3</v>
      </c>
      <c r="E1" s="5" t="s">
        <v>4</v>
      </c>
      <c r="F1" s="5" t="s">
        <v>628</v>
      </c>
      <c r="G1" s="109" t="s">
        <v>629</v>
      </c>
      <c r="H1" s="5" t="s">
        <v>5</v>
      </c>
      <c r="I1" s="5" t="s">
        <v>6</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110" t="s">
        <v>26</v>
      </c>
      <c r="AB1" s="110" t="s">
        <v>27</v>
      </c>
      <c r="AC1" s="7" t="s">
        <v>28</v>
      </c>
      <c r="AD1" s="7" t="s">
        <v>29</v>
      </c>
      <c r="AE1" s="7" t="s">
        <v>30</v>
      </c>
      <c r="AF1" s="7" t="s">
        <v>31</v>
      </c>
      <c r="AG1" s="7" t="s">
        <v>32</v>
      </c>
    </row>
    <row r="2" s="14" customFormat="true" ht="13.5" hidden="false" customHeight="fals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11"/>
      <c r="H2" s="10"/>
      <c r="I2" s="10"/>
      <c r="J2" s="112"/>
      <c r="K2" s="11"/>
      <c r="L2" s="9"/>
      <c r="M2" s="9"/>
      <c r="N2" s="9"/>
      <c r="O2" s="9"/>
      <c r="P2" s="11"/>
      <c r="Q2" s="11"/>
      <c r="R2" s="9"/>
      <c r="S2" s="5"/>
      <c r="T2" s="9"/>
      <c r="U2" s="9"/>
      <c r="V2" s="9"/>
      <c r="W2" s="12"/>
      <c r="X2" s="13"/>
      <c r="Y2" s="13"/>
      <c r="Z2" s="12"/>
      <c r="AA2" s="13"/>
      <c r="AB2" s="13"/>
      <c r="AC2" s="12"/>
      <c r="AD2" s="13"/>
      <c r="AE2" s="13"/>
      <c r="AF2" s="13"/>
      <c r="AG2" s="12"/>
    </row>
    <row r="3" customFormat="false" ht="35.0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t="s">
        <v>630</v>
      </c>
      <c r="G3" s="111" t="n">
        <v>1</v>
      </c>
      <c r="H3" s="10"/>
      <c r="I3" s="10"/>
      <c r="J3" s="113"/>
      <c r="K3" s="113" t="n">
        <v>3800</v>
      </c>
      <c r="L3" s="18" t="s">
        <v>36</v>
      </c>
      <c r="M3" s="18" t="s">
        <v>631</v>
      </c>
      <c r="N3" s="114"/>
      <c r="O3" s="18" t="s">
        <v>38</v>
      </c>
      <c r="P3" s="20"/>
      <c r="Q3" s="20" t="n">
        <v>2022</v>
      </c>
      <c r="R3" s="18" t="s">
        <v>39</v>
      </c>
      <c r="S3" s="21" t="s">
        <v>40</v>
      </c>
      <c r="T3" s="21" t="s">
        <v>632</v>
      </c>
      <c r="U3" s="115"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13.5" hidden="false" customHeight="fals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t="s">
        <v>630</v>
      </c>
      <c r="G4" s="111" t="n">
        <v>1</v>
      </c>
      <c r="H4" s="10"/>
      <c r="I4" s="10"/>
      <c r="J4" s="113"/>
      <c r="K4" s="113" t="n">
        <f aca="false">10.03*1000</f>
        <v>10030</v>
      </c>
      <c r="L4" s="18" t="s">
        <v>50</v>
      </c>
      <c r="M4" s="18" t="s">
        <v>633</v>
      </c>
      <c r="N4" s="114"/>
      <c r="O4" s="18" t="s">
        <v>52</v>
      </c>
      <c r="P4" s="20"/>
      <c r="Q4" s="20" t="n">
        <v>2022</v>
      </c>
      <c r="R4" s="18" t="s">
        <v>53</v>
      </c>
      <c r="S4" s="21" t="s">
        <v>54</v>
      </c>
      <c r="T4" s="21"/>
      <c r="U4" s="115"/>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13.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t="s">
        <v>630</v>
      </c>
      <c r="G5" s="111" t="n">
        <v>1</v>
      </c>
      <c r="H5" s="10"/>
      <c r="I5" s="10"/>
      <c r="J5" s="113" t="n">
        <f aca="false">1000000*45</f>
        <v>45000000</v>
      </c>
      <c r="K5" s="113"/>
      <c r="L5" s="114"/>
      <c r="M5" s="114"/>
      <c r="N5" s="114"/>
      <c r="O5" s="18"/>
      <c r="P5" s="20"/>
      <c r="Q5" s="20" t="n">
        <v>2009</v>
      </c>
      <c r="R5" s="18" t="s">
        <v>53</v>
      </c>
      <c r="S5" s="21" t="s">
        <v>62</v>
      </c>
      <c r="T5" s="21" t="s">
        <v>634</v>
      </c>
      <c r="U5" s="115" t="s">
        <v>58</v>
      </c>
      <c r="V5" s="23"/>
      <c r="W5" s="12" t="s">
        <v>43</v>
      </c>
      <c r="X5" s="24" t="n">
        <f aca="false">45*1000000</f>
        <v>45000000</v>
      </c>
      <c r="Y5" s="24" t="n">
        <f aca="false">70*1000000</f>
        <v>70000000</v>
      </c>
      <c r="Z5" s="12" t="s">
        <v>60</v>
      </c>
      <c r="AA5" s="13" t="n">
        <f aca="false">0.9*K5</f>
        <v>0</v>
      </c>
      <c r="AB5" s="13" t="n">
        <f aca="false">1.3*K5</f>
        <v>0</v>
      </c>
      <c r="AC5" s="12" t="s">
        <v>44</v>
      </c>
      <c r="AD5" s="13" t="s">
        <v>45</v>
      </c>
      <c r="AE5" s="13" t="s">
        <v>46</v>
      </c>
      <c r="AF5" s="13" t="s">
        <v>47</v>
      </c>
      <c r="AG5" s="12" t="s">
        <v>48</v>
      </c>
    </row>
    <row r="6" customFormat="false" ht="13.5" hidden="false" customHeight="fals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t="s">
        <v>630</v>
      </c>
      <c r="G6" s="111" t="n">
        <v>1</v>
      </c>
      <c r="H6" s="10"/>
      <c r="I6" s="10"/>
      <c r="J6" s="113" t="n">
        <v>3000000</v>
      </c>
      <c r="K6" s="113"/>
      <c r="L6" s="114"/>
      <c r="M6" s="114"/>
      <c r="N6" s="114"/>
      <c r="O6" s="18"/>
      <c r="P6" s="20"/>
      <c r="Q6" s="20" t="n">
        <v>2009</v>
      </c>
      <c r="R6" s="18" t="s">
        <v>53</v>
      </c>
      <c r="S6" s="21" t="s">
        <v>62</v>
      </c>
      <c r="T6" s="21"/>
      <c r="U6" s="115"/>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91" hidden="false" customHeight="fals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t="s">
        <v>630</v>
      </c>
      <c r="G7" s="111" t="n">
        <v>1</v>
      </c>
      <c r="H7" s="10"/>
      <c r="I7" s="10"/>
      <c r="J7" s="113" t="n">
        <f aca="false">10*MARVEL_Cost!C4</f>
        <v>52104510</v>
      </c>
      <c r="K7" s="113"/>
      <c r="L7" s="114"/>
      <c r="M7" s="114"/>
      <c r="N7" s="114"/>
      <c r="O7" s="18"/>
      <c r="P7" s="20"/>
      <c r="Q7" s="20" t="n">
        <v>2024</v>
      </c>
      <c r="R7" s="18" t="s">
        <v>53</v>
      </c>
      <c r="S7" s="21" t="s">
        <v>65</v>
      </c>
      <c r="T7" s="21" t="s">
        <v>635</v>
      </c>
      <c r="U7" s="23" t="s">
        <v>67</v>
      </c>
      <c r="V7" s="18" t="s">
        <v>68</v>
      </c>
      <c r="W7" s="12" t="s">
        <v>43</v>
      </c>
      <c r="X7" s="24" t="n">
        <f aca="false">0.9*$J7</f>
        <v>46894059</v>
      </c>
      <c r="Y7" s="24" t="n">
        <f aca="false">1.5*J7</f>
        <v>78156765</v>
      </c>
      <c r="Z7" s="12" t="s">
        <v>44</v>
      </c>
      <c r="AA7" s="13" t="n">
        <f aca="false">0.9*K7</f>
        <v>0</v>
      </c>
      <c r="AB7" s="13" t="n">
        <f aca="false">1.3*K7</f>
        <v>0</v>
      </c>
      <c r="AC7" s="12" t="s">
        <v>44</v>
      </c>
      <c r="AD7" s="13" t="s">
        <v>45</v>
      </c>
      <c r="AE7" s="13" t="s">
        <v>46</v>
      </c>
      <c r="AF7" s="13" t="s">
        <v>47</v>
      </c>
      <c r="AG7" s="12" t="s">
        <v>48</v>
      </c>
    </row>
    <row r="8" customFormat="false" ht="13.5" hidden="false" customHeight="fals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11"/>
      <c r="H8" s="10"/>
      <c r="I8" s="10"/>
      <c r="J8" s="113"/>
      <c r="K8" s="27"/>
      <c r="L8" s="4"/>
      <c r="M8" s="6"/>
      <c r="N8" s="4"/>
      <c r="O8" s="4"/>
      <c r="P8" s="28"/>
      <c r="Q8" s="28"/>
      <c r="R8" s="4"/>
      <c r="S8" s="4"/>
      <c r="T8" s="4"/>
      <c r="U8" s="4"/>
      <c r="V8" s="4"/>
      <c r="W8" s="12" t="s">
        <v>636</v>
      </c>
      <c r="X8" s="24"/>
      <c r="Y8" s="24"/>
      <c r="Z8" s="12"/>
      <c r="AA8" s="13"/>
      <c r="AB8" s="13"/>
      <c r="AC8" s="12"/>
      <c r="AD8" s="13"/>
      <c r="AE8" s="13"/>
      <c r="AF8" s="13"/>
      <c r="AG8" s="12"/>
    </row>
    <row r="9" customFormat="false" ht="13.5" hidden="false" customHeight="fals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11"/>
      <c r="H9" s="10"/>
      <c r="I9" s="10"/>
      <c r="J9" s="113"/>
      <c r="K9" s="113"/>
      <c r="L9" s="114"/>
      <c r="M9" s="114"/>
      <c r="N9" s="114"/>
      <c r="O9" s="114"/>
      <c r="P9" s="116"/>
      <c r="Q9" s="116"/>
      <c r="R9" s="114"/>
      <c r="S9" s="117"/>
      <c r="T9" s="114"/>
      <c r="U9" s="114"/>
      <c r="V9" s="23"/>
      <c r="W9" s="12"/>
      <c r="X9" s="24"/>
      <c r="Y9" s="24"/>
      <c r="Z9" s="12"/>
      <c r="AA9" s="13"/>
      <c r="AB9" s="13"/>
      <c r="AC9" s="12"/>
      <c r="AD9" s="13"/>
      <c r="AE9" s="13"/>
      <c r="AF9" s="13"/>
      <c r="AG9" s="12"/>
    </row>
    <row r="10" customFormat="false" ht="13.5" hidden="false" customHeight="false" outlineLevel="0" collapsed="false">
      <c r="A10" s="30"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11"/>
      <c r="H10" s="10"/>
      <c r="I10" s="10"/>
      <c r="J10" s="113"/>
      <c r="K10" s="113"/>
      <c r="L10" s="114"/>
      <c r="M10" s="114"/>
      <c r="N10" s="114"/>
      <c r="O10" s="114"/>
      <c r="P10" s="116"/>
      <c r="Q10" s="116"/>
      <c r="R10" s="114"/>
      <c r="S10" s="117"/>
      <c r="T10" s="114"/>
      <c r="U10" s="114"/>
      <c r="V10" s="23"/>
      <c r="W10" s="12"/>
      <c r="X10" s="24"/>
      <c r="Y10" s="24"/>
      <c r="Z10" s="12"/>
      <c r="AA10" s="13"/>
      <c r="AB10" s="13"/>
      <c r="AC10" s="12"/>
      <c r="AD10" s="13"/>
      <c r="AE10" s="13"/>
      <c r="AF10" s="13"/>
      <c r="AG10" s="12"/>
    </row>
    <row r="11" customFormat="false" ht="13.5" hidden="false" customHeight="true" outlineLevel="0" collapsed="false">
      <c r="A11" s="31"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t="s">
        <v>630</v>
      </c>
      <c r="G11" s="111" t="n">
        <v>1</v>
      </c>
      <c r="H11" s="10"/>
      <c r="I11" s="10"/>
      <c r="J11" s="113"/>
      <c r="K11" s="113" t="n">
        <f aca="false">4408.18*1.33</f>
        <v>5862.8794</v>
      </c>
      <c r="L11" s="18" t="s">
        <v>36</v>
      </c>
      <c r="M11" s="18" t="s">
        <v>631</v>
      </c>
      <c r="N11" s="114"/>
      <c r="O11" s="18" t="s">
        <v>38</v>
      </c>
      <c r="P11" s="116"/>
      <c r="Q11" s="20" t="n">
        <v>2024</v>
      </c>
      <c r="R11" s="18" t="s">
        <v>73</v>
      </c>
      <c r="S11" s="21" t="s">
        <v>74</v>
      </c>
      <c r="T11" s="21" t="s">
        <v>75</v>
      </c>
      <c r="U11" s="118" t="s">
        <v>76</v>
      </c>
      <c r="V11" s="23"/>
      <c r="W11" s="12" t="s">
        <v>43</v>
      </c>
      <c r="X11" s="24" t="n">
        <f aca="false">0.9*$J11</f>
        <v>0</v>
      </c>
      <c r="Y11" s="24" t="n">
        <f aca="false">1.5*J11</f>
        <v>0</v>
      </c>
      <c r="Z11" s="12" t="s">
        <v>44</v>
      </c>
      <c r="AA11" s="13" t="n">
        <f aca="false">0.9*K11</f>
        <v>5276.59146</v>
      </c>
      <c r="AB11" s="13" t="n">
        <f aca="false">1.3*K11</f>
        <v>7621.74322</v>
      </c>
      <c r="AC11" s="12" t="s">
        <v>44</v>
      </c>
      <c r="AD11" s="13" t="s">
        <v>45</v>
      </c>
      <c r="AE11" s="13" t="s">
        <v>46</v>
      </c>
      <c r="AF11" s="13" t="s">
        <v>47</v>
      </c>
      <c r="AG11" s="12" t="s">
        <v>48</v>
      </c>
    </row>
    <row r="12" customFormat="false" ht="13.5" hidden="false" customHeight="false" outlineLevel="0" collapsed="false">
      <c r="A12" s="30"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t="s">
        <v>630</v>
      </c>
      <c r="G12" s="111" t="n">
        <v>1</v>
      </c>
      <c r="H12" s="10"/>
      <c r="I12" s="10"/>
      <c r="J12" s="113"/>
      <c r="K12" s="113" t="n">
        <f aca="false">2565.2*1.33</f>
        <v>3411.716</v>
      </c>
      <c r="L12" s="18" t="s">
        <v>36</v>
      </c>
      <c r="M12" s="18" t="s">
        <v>631</v>
      </c>
      <c r="N12" s="114"/>
      <c r="O12" s="18" t="s">
        <v>38</v>
      </c>
      <c r="P12" s="116"/>
      <c r="Q12" s="20" t="n">
        <v>2024</v>
      </c>
      <c r="R12" s="18" t="s">
        <v>73</v>
      </c>
      <c r="S12" s="21"/>
      <c r="T12" s="21"/>
      <c r="U12" s="118"/>
      <c r="V12" s="23"/>
      <c r="W12" s="12" t="s">
        <v>43</v>
      </c>
      <c r="X12" s="24" t="n">
        <f aca="false">0.9*$J12</f>
        <v>0</v>
      </c>
      <c r="Y12" s="24" t="n">
        <f aca="false">1.5*J12</f>
        <v>0</v>
      </c>
      <c r="Z12" s="12" t="s">
        <v>44</v>
      </c>
      <c r="AA12" s="13" t="n">
        <f aca="false">0.9*K12</f>
        <v>3070.5444</v>
      </c>
      <c r="AB12" s="13" t="n">
        <f aca="false">1.3*K12</f>
        <v>4435.2308</v>
      </c>
      <c r="AC12" s="12" t="s">
        <v>44</v>
      </c>
      <c r="AD12" s="13" t="s">
        <v>45</v>
      </c>
      <c r="AE12" s="13" t="s">
        <v>46</v>
      </c>
      <c r="AF12" s="13" t="s">
        <v>47</v>
      </c>
      <c r="AG12" s="12" t="s">
        <v>48</v>
      </c>
    </row>
    <row r="13" customFormat="false" ht="35.05" hidden="false" customHeight="false" outlineLevel="0" collapsed="false">
      <c r="A13" s="30" t="n">
        <v>211.4</v>
      </c>
      <c r="B13" s="9" t="n">
        <f aca="false">IF(ISNUMBER(A13),
    IF(AND(A13=INT(A13), MOD(A13, 10) = 0), 0,
        IF(AND(A13=INT(A13), LEN(A13)=2), 1,
            IF(AND(A13=INT(A13), LEN(A13)=3), 2,
                LEN(A13) - FIND(".", A13) + 2)
        )
    ),
"")</f>
        <v>3</v>
      </c>
      <c r="C13" s="15" t="s">
        <v>83</v>
      </c>
      <c r="D13" s="10" t="str">
        <f aca="false">REPT("   ", B13*2) &amp; C13</f>
        <v>                  Roads</v>
      </c>
      <c r="E13" s="10" t="s">
        <v>35</v>
      </c>
      <c r="F13" s="10" t="s">
        <v>630</v>
      </c>
      <c r="G13" s="111" t="n">
        <v>1</v>
      </c>
      <c r="H13" s="10"/>
      <c r="I13" s="10"/>
      <c r="J13" s="113"/>
      <c r="K13" s="113" t="n">
        <f aca="false">0.7*7873200*1.609/1000</f>
        <v>8867.58516</v>
      </c>
      <c r="L13" s="18" t="s">
        <v>84</v>
      </c>
      <c r="M13" s="119" t="s">
        <v>637</v>
      </c>
      <c r="N13" s="120" t="n">
        <v>1</v>
      </c>
      <c r="O13" s="121"/>
      <c r="P13" s="122" t="n">
        <v>1</v>
      </c>
      <c r="Q13" s="123" t="n">
        <v>2025</v>
      </c>
      <c r="R13" s="121" t="s">
        <v>39</v>
      </c>
      <c r="S13" s="33" t="s">
        <v>87</v>
      </c>
      <c r="T13" s="124"/>
      <c r="U13" s="115"/>
      <c r="V13" s="23"/>
      <c r="W13" s="12" t="s">
        <v>43</v>
      </c>
      <c r="X13" s="24" t="n">
        <f aca="false">0.9*$J13</f>
        <v>0</v>
      </c>
      <c r="Y13" s="24" t="n">
        <f aca="false">1.5*J13</f>
        <v>0</v>
      </c>
      <c r="Z13" s="12" t="s">
        <v>44</v>
      </c>
      <c r="AA13" s="13" t="n">
        <f aca="false">0.9*K13</f>
        <v>7980.826644</v>
      </c>
      <c r="AB13" s="13" t="n">
        <f aca="false">1.3*K13</f>
        <v>11527.860708</v>
      </c>
      <c r="AC13" s="12" t="s">
        <v>44</v>
      </c>
      <c r="AD13" s="13" t="s">
        <v>45</v>
      </c>
      <c r="AE13" s="13" t="s">
        <v>46</v>
      </c>
      <c r="AF13" s="13" t="s">
        <v>47</v>
      </c>
      <c r="AG13" s="12" t="s">
        <v>48</v>
      </c>
    </row>
    <row r="14" customFormat="false" ht="13.5" hidden="false" customHeight="false" outlineLevel="0" collapsed="false">
      <c r="A14" s="30" t="n">
        <v>211.9</v>
      </c>
      <c r="B14" s="9" t="n">
        <f aca="false">IF(ISNUMBER(A14),
    IF(AND(A14=INT(A14), MOD(A14, 10) = 0), 0,
        IF(AND(A14=INT(A14), LEN(A14)=2), 1,
            IF(AND(A14=INT(A14), LEN(A14)=3), 2,
                LEN(A14) - FIND(".", A14) + 2)
        )
    ),
"")</f>
        <v>3</v>
      </c>
      <c r="C14" s="15" t="s">
        <v>88</v>
      </c>
      <c r="D14" s="10" t="str">
        <f aca="false">REPT("   ", B14*2) &amp; C14</f>
        <v>                  Security Fencing</v>
      </c>
      <c r="E14" s="10"/>
      <c r="F14" s="10"/>
      <c r="G14" s="111"/>
      <c r="H14" s="10"/>
      <c r="I14" s="10"/>
      <c r="J14" s="113"/>
      <c r="K14" s="125"/>
      <c r="L14" s="126"/>
      <c r="M14" s="127"/>
      <c r="N14" s="128"/>
      <c r="O14" s="18"/>
      <c r="P14" s="129"/>
      <c r="Q14" s="130"/>
      <c r="R14" s="131"/>
      <c r="S14" s="132"/>
      <c r="T14" s="21"/>
      <c r="U14" s="115"/>
      <c r="V14" s="23"/>
      <c r="W14" s="12"/>
      <c r="X14" s="24"/>
      <c r="Y14" s="24"/>
      <c r="Z14" s="12"/>
      <c r="AA14" s="13"/>
      <c r="AB14" s="13"/>
      <c r="AC14" s="12"/>
      <c r="AD14" s="13"/>
      <c r="AE14" s="13"/>
      <c r="AF14" s="13"/>
      <c r="AG14" s="12"/>
    </row>
    <row r="15" customFormat="false" ht="35.05" hidden="false" customHeight="false" outlineLevel="0" collapsed="false">
      <c r="A15" s="30" t="n">
        <v>211.91</v>
      </c>
      <c r="B15" s="9" t="n">
        <f aca="false">IF(ISNUMBER(A15),
    IF(AND(A15=INT(A15), MOD(A15, 10) = 0), 0,
        IF(AND(A15=INT(A15), LEN(A15)=2), 1,
            IF(AND(A15=INT(A15), LEN(A15)=3), 2,
                LEN(A15) - FIND(".", A15) + 2)
        )
    ),
"")</f>
        <v>4</v>
      </c>
      <c r="C15" s="15" t="s">
        <v>89</v>
      </c>
      <c r="D15" s="10" t="str">
        <f aca="false">REPT("   ", B15*2) &amp; C15</f>
        <v>                        Security Fencing Limited</v>
      </c>
      <c r="E15" s="10" t="s">
        <v>35</v>
      </c>
      <c r="F15" s="10" t="s">
        <v>630</v>
      </c>
      <c r="G15" s="111" t="n">
        <v>1</v>
      </c>
      <c r="H15" s="10"/>
      <c r="I15" s="10"/>
      <c r="J15" s="113"/>
      <c r="K15" s="113" t="n">
        <f aca="false">0.7*273</f>
        <v>191.1</v>
      </c>
      <c r="L15" s="18" t="s">
        <v>638</v>
      </c>
      <c r="M15" s="18" t="s">
        <v>639</v>
      </c>
      <c r="N15" s="114"/>
      <c r="O15" s="18"/>
      <c r="P15" s="116"/>
      <c r="Q15" s="20" t="n">
        <v>2025</v>
      </c>
      <c r="R15" s="18" t="s">
        <v>73</v>
      </c>
      <c r="S15" s="33" t="s">
        <v>87</v>
      </c>
      <c r="T15" s="21"/>
      <c r="U15" s="133"/>
      <c r="V15" s="23"/>
      <c r="W15" s="12" t="s">
        <v>43</v>
      </c>
      <c r="X15" s="24" t="n">
        <f aca="false">0.9*$J15</f>
        <v>0</v>
      </c>
      <c r="Y15" s="24" t="n">
        <f aca="false">1.5*J15</f>
        <v>0</v>
      </c>
      <c r="Z15" s="12" t="s">
        <v>44</v>
      </c>
      <c r="AA15" s="13" t="n">
        <f aca="false">0.9*K15</f>
        <v>171.99</v>
      </c>
      <c r="AB15" s="13" t="n">
        <f aca="false">1.3*K15</f>
        <v>248.43</v>
      </c>
      <c r="AC15" s="12" t="s">
        <v>44</v>
      </c>
      <c r="AD15" s="13" t="s">
        <v>45</v>
      </c>
      <c r="AE15" s="13" t="s">
        <v>46</v>
      </c>
      <c r="AF15" s="13" t="s">
        <v>47</v>
      </c>
      <c r="AG15" s="12" t="s">
        <v>48</v>
      </c>
    </row>
    <row r="16" customFormat="false" ht="35.05" hidden="false" customHeight="false" outlineLevel="0" collapsed="false">
      <c r="A16" s="30" t="n">
        <v>211.93</v>
      </c>
      <c r="B16" s="9" t="n">
        <f aca="false">IF(ISNUMBER(A16),
    IF(AND(A16=INT(A16), MOD(A16, 10) = 0), 0,
        IF(AND(A16=INT(A16), LEN(A16)=2), 1,
            IF(AND(A16=INT(A16), LEN(A16)=3), 2,
                LEN(A16) - FIND(".", A16) + 2)
        )
    ),
"")</f>
        <v>4</v>
      </c>
      <c r="C16" s="15" t="s">
        <v>91</v>
      </c>
      <c r="D16" s="10" t="str">
        <f aca="false">REPT("   ", B16*2) &amp; C16</f>
        <v>                        Security Fencing Protected</v>
      </c>
      <c r="E16" s="10" t="s">
        <v>35</v>
      </c>
      <c r="F16" s="10" t="s">
        <v>630</v>
      </c>
      <c r="G16" s="111" t="n">
        <v>1</v>
      </c>
      <c r="H16" s="10"/>
      <c r="I16" s="10"/>
      <c r="J16" s="113"/>
      <c r="K16" s="113" t="n">
        <f aca="false">0.7*15746</f>
        <v>11022.2</v>
      </c>
      <c r="L16" s="18" t="s">
        <v>638</v>
      </c>
      <c r="M16" s="18" t="s">
        <v>640</v>
      </c>
      <c r="N16" s="114"/>
      <c r="O16" s="18"/>
      <c r="P16" s="116"/>
      <c r="Q16" s="20" t="n">
        <v>2025</v>
      </c>
      <c r="R16" s="18" t="s">
        <v>73</v>
      </c>
      <c r="S16" s="33" t="s">
        <v>87</v>
      </c>
      <c r="T16" s="21"/>
      <c r="U16" s="133"/>
      <c r="V16" s="23"/>
      <c r="W16" s="12" t="s">
        <v>43</v>
      </c>
      <c r="X16" s="24" t="n">
        <f aca="false">0.9*$J16</f>
        <v>0</v>
      </c>
      <c r="Y16" s="24" t="n">
        <f aca="false">1.5*J16</f>
        <v>0</v>
      </c>
      <c r="Z16" s="12" t="s">
        <v>44</v>
      </c>
      <c r="AA16" s="13" t="n">
        <f aca="false">0.9*K16</f>
        <v>9919.98</v>
      </c>
      <c r="AB16" s="13" t="n">
        <f aca="false">1.3*K16</f>
        <v>14328.86</v>
      </c>
      <c r="AC16" s="12" t="s">
        <v>44</v>
      </c>
      <c r="AD16" s="13" t="n">
        <v>0.1</v>
      </c>
      <c r="AE16" s="13" t="s">
        <v>46</v>
      </c>
      <c r="AF16" s="13" t="s">
        <v>47</v>
      </c>
      <c r="AG16" s="12" t="s">
        <v>48</v>
      </c>
    </row>
    <row r="17" customFormat="false" ht="13.5" hidden="false" customHeight="false" outlineLevel="0" collapsed="false">
      <c r="A17" s="30" t="n">
        <v>214</v>
      </c>
      <c r="B17" s="9" t="n">
        <f aca="false">IF(ISNUMBER(A17),
    IF(AND(A17=INT(A17), MOD(A17, 10) = 0), 0,
        IF(AND(A17=INT(A17), LEN(A17)=2), 1,
            IF(AND(A17=INT(A17), LEN(A17)=3), 2,
                LEN(A17) - FIND(".", A17) + 2)
        )
    ),
"")</f>
        <v>2</v>
      </c>
      <c r="C17" s="15" t="s">
        <v>641</v>
      </c>
      <c r="D17" s="10" t="str">
        <f aca="false">REPT("   ", B17*2) &amp; C17</f>
        <v>            Servicing Facilities Structures</v>
      </c>
      <c r="E17" s="10"/>
      <c r="F17" s="10"/>
      <c r="G17" s="111"/>
      <c r="H17" s="10"/>
      <c r="I17" s="10"/>
      <c r="J17" s="113"/>
      <c r="K17" s="113"/>
      <c r="L17" s="114"/>
      <c r="M17" s="117"/>
      <c r="N17" s="114"/>
      <c r="O17" s="114"/>
      <c r="P17" s="116"/>
      <c r="Q17" s="116"/>
      <c r="R17" s="114"/>
      <c r="S17" s="117"/>
      <c r="T17" s="21"/>
      <c r="U17" s="115"/>
      <c r="V17" s="23"/>
      <c r="W17" s="12"/>
      <c r="X17" s="24"/>
      <c r="Y17" s="24"/>
      <c r="Z17" s="12"/>
      <c r="AA17" s="13"/>
      <c r="AB17" s="13"/>
      <c r="AC17" s="12"/>
      <c r="AD17" s="13"/>
      <c r="AE17" s="13"/>
      <c r="AF17" s="13"/>
      <c r="AG17" s="12"/>
    </row>
    <row r="18" customFormat="false" ht="13.5" hidden="false" customHeight="false" outlineLevel="0" collapsed="false">
      <c r="A18" s="30" t="n">
        <v>214.3</v>
      </c>
      <c r="B18" s="9" t="n">
        <f aca="false">IF(ISNUMBER(A18),
    IF(AND(A18=INT(A18), MOD(A18, 10) = 0), 0,
        IF(AND(A18=INT(A18), LEN(A18)=2), 1,
            IF(AND(A18=INT(A18), LEN(A18)=3), 2,
                LEN(A18) - FIND(".", A18) + 2)
        )
    ),
"")</f>
        <v>3</v>
      </c>
      <c r="C18" s="15" t="s">
        <v>642</v>
      </c>
      <c r="D18" s="10" t="str">
        <f aca="false">REPT("   ", B18*2) &amp; C18</f>
        <v>                  Control Buidlings</v>
      </c>
      <c r="E18" s="10"/>
      <c r="F18" s="10"/>
      <c r="G18" s="111"/>
      <c r="H18" s="10"/>
      <c r="I18" s="10"/>
      <c r="J18" s="134"/>
      <c r="K18" s="113"/>
      <c r="L18" s="18"/>
      <c r="M18" s="15"/>
      <c r="N18" s="114"/>
      <c r="O18" s="18"/>
      <c r="P18" s="116"/>
      <c r="Q18" s="20"/>
      <c r="R18" s="18"/>
      <c r="S18" s="21"/>
      <c r="T18" s="21"/>
      <c r="U18" s="115"/>
      <c r="V18" s="23"/>
      <c r="W18" s="12"/>
      <c r="X18" s="24"/>
      <c r="Y18" s="24"/>
      <c r="Z18" s="12"/>
      <c r="AA18" s="13"/>
      <c r="AB18" s="13"/>
      <c r="AC18" s="12"/>
      <c r="AD18" s="13"/>
      <c r="AE18" s="13"/>
      <c r="AF18" s="13"/>
      <c r="AG18" s="12"/>
    </row>
    <row r="19" customFormat="false" ht="57.45" hidden="false" customHeight="false" outlineLevel="0" collapsed="false">
      <c r="A19" s="30" t="n">
        <v>214.31</v>
      </c>
      <c r="B19" s="9" t="n">
        <v>4</v>
      </c>
      <c r="C19" s="15" t="s">
        <v>643</v>
      </c>
      <c r="D19" s="10" t="str">
        <f aca="false">REPT("   ", B19*2) &amp; C19</f>
        <v>                        Local Control Buidling Structure</v>
      </c>
      <c r="E19" s="10" t="s">
        <v>35</v>
      </c>
      <c r="F19" s="10" t="s">
        <v>630</v>
      </c>
      <c r="G19" s="111" t="n">
        <v>1</v>
      </c>
      <c r="H19" s="10"/>
      <c r="I19" s="10"/>
      <c r="J19" s="134"/>
      <c r="K19" s="113" t="n">
        <f aca="false">0.7*2653*(3.2808^2)</f>
        <v>19989.171889344</v>
      </c>
      <c r="L19" s="18" t="s">
        <v>102</v>
      </c>
      <c r="M19" s="15" t="s">
        <v>644</v>
      </c>
      <c r="N19" s="135" t="n">
        <v>1</v>
      </c>
      <c r="O19" s="135" t="s">
        <v>104</v>
      </c>
      <c r="P19" s="136" t="n">
        <v>1</v>
      </c>
      <c r="Q19" s="20" t="n">
        <v>2025</v>
      </c>
      <c r="R19" s="114" t="s">
        <v>96</v>
      </c>
      <c r="S19" s="137" t="s">
        <v>645</v>
      </c>
      <c r="T19" s="21"/>
      <c r="U19" s="115"/>
      <c r="V19" s="23"/>
      <c r="W19" s="138" t="s">
        <v>43</v>
      </c>
      <c r="X19" s="139" t="n">
        <f aca="false">0.9*$I19</f>
        <v>0</v>
      </c>
      <c r="Y19" s="139" t="n">
        <f aca="false">1.5*J19</f>
        <v>0</v>
      </c>
      <c r="Z19" s="138" t="s">
        <v>44</v>
      </c>
      <c r="AA19" s="140" t="n">
        <f aca="false">0.9*K19</f>
        <v>17990.2547004096</v>
      </c>
      <c r="AB19" s="140" t="n">
        <f aca="false">1.3*K19</f>
        <v>25985.9234561472</v>
      </c>
      <c r="AC19" s="138" t="s">
        <v>44</v>
      </c>
      <c r="AD19" s="140" t="s">
        <v>45</v>
      </c>
      <c r="AE19" s="140" t="s">
        <v>46</v>
      </c>
      <c r="AF19" s="140" t="s">
        <v>47</v>
      </c>
      <c r="AG19" s="138" t="s">
        <v>48</v>
      </c>
    </row>
    <row r="20" customFormat="false" ht="13.5" hidden="false" customHeight="false" outlineLevel="0" collapsed="false">
      <c r="A20" s="6" t="n">
        <v>22</v>
      </c>
      <c r="B20" s="9" t="n">
        <f aca="false">IF(ISNUMBER(A20),
    IF(AND(A20=INT(A20), MOD(A20, 10) = 0), 0,
        IF(AND(A20=INT(A20), LEN(A20)=2), 1,
            IF(AND(A20=INT(A20), LEN(A20)=3), 2,
                LEN(A20) - FIND(".", A20) + 2)
        )
    ),
"")</f>
        <v>1</v>
      </c>
      <c r="C20" s="37" t="s">
        <v>646</v>
      </c>
      <c r="D20" s="10" t="str">
        <f aca="false">REPT("   ", B20*2) &amp; C20</f>
        <v>      Main Facilities Estimated As Wholes</v>
      </c>
      <c r="E20" s="10"/>
      <c r="F20" s="10"/>
      <c r="G20" s="111"/>
      <c r="H20" s="10"/>
      <c r="I20" s="10"/>
      <c r="J20" s="113"/>
      <c r="K20" s="113"/>
      <c r="L20" s="114"/>
      <c r="M20" s="10"/>
      <c r="N20" s="23"/>
      <c r="O20" s="23"/>
      <c r="P20" s="20"/>
      <c r="Q20" s="20"/>
      <c r="R20" s="23"/>
      <c r="S20" s="26"/>
      <c r="T20" s="23"/>
      <c r="U20" s="23"/>
      <c r="V20" s="23"/>
      <c r="W20" s="12"/>
      <c r="X20" s="24"/>
      <c r="Y20" s="24"/>
      <c r="Z20" s="12"/>
      <c r="AA20" s="13"/>
      <c r="AB20" s="13"/>
      <c r="AC20" s="12"/>
      <c r="AD20" s="13"/>
      <c r="AE20" s="13"/>
      <c r="AF20" s="13"/>
      <c r="AG20" s="12"/>
    </row>
    <row r="21" customFormat="false" ht="13.5" hidden="false" customHeight="false" outlineLevel="0" collapsed="false">
      <c r="A21" s="141" t="n">
        <v>221</v>
      </c>
      <c r="B21" s="142" t="n">
        <f aca="false">IF(ISNUMBER(A21),
    IF(AND(A21=INT(A21), MOD(A21, 10) = 0), 0,
        IF(AND(A21=INT(A21), LEN(A21)=2), 1,
            IF(AND(A21=INT(A21), LEN(A21)=3), 2,
                LEN(A21) - FIND(".", A21) + 2)
        )
    ),
"")</f>
        <v>2</v>
      </c>
      <c r="C21" s="143" t="s">
        <v>647</v>
      </c>
      <c r="D21" s="144" t="str">
        <f aca="false">REPT("   ", B21*2) &amp; C21</f>
        <v>            Manufacturing Building</v>
      </c>
      <c r="E21" s="144" t="s">
        <v>35</v>
      </c>
      <c r="F21" s="145"/>
      <c r="G21" s="146"/>
      <c r="H21" s="144"/>
      <c r="I21" s="144"/>
      <c r="J21" s="113"/>
      <c r="K21" s="147" t="n">
        <f aca="false">62733028.09/N21</f>
        <v>62733.02809</v>
      </c>
      <c r="L21" s="135"/>
      <c r="M21" s="148" t="s">
        <v>648</v>
      </c>
      <c r="N21" s="135" t="n">
        <v>1000</v>
      </c>
      <c r="O21" s="135" t="s">
        <v>649</v>
      </c>
      <c r="P21" s="149" t="n">
        <v>0.138270648181342</v>
      </c>
      <c r="Q21" s="20" t="n">
        <v>2025</v>
      </c>
      <c r="R21" s="114" t="s">
        <v>96</v>
      </c>
      <c r="S21" s="137"/>
      <c r="T21" s="21"/>
      <c r="U21" s="115"/>
      <c r="V21" s="23"/>
      <c r="W21" s="138" t="s">
        <v>43</v>
      </c>
      <c r="X21" s="139" t="n">
        <f aca="false">0.9*$I21</f>
        <v>0</v>
      </c>
      <c r="Y21" s="139" t="n">
        <f aca="false">1.5*J21</f>
        <v>0</v>
      </c>
      <c r="Z21" s="138" t="s">
        <v>44</v>
      </c>
      <c r="AA21" s="140" t="n">
        <f aca="false">0.9*K21</f>
        <v>56459.725281</v>
      </c>
      <c r="AB21" s="140" t="n">
        <f aca="false">1.3*K21</f>
        <v>81552.936517</v>
      </c>
      <c r="AC21" s="138" t="s">
        <v>44</v>
      </c>
      <c r="AD21" s="140" t="n">
        <v>0.1</v>
      </c>
      <c r="AE21" s="140" t="s">
        <v>46</v>
      </c>
      <c r="AF21" s="140" t="s">
        <v>47</v>
      </c>
      <c r="AG21" s="138" t="s">
        <v>48</v>
      </c>
    </row>
    <row r="22" customFormat="false" ht="13.5" hidden="false" customHeight="false" outlineLevel="0" collapsed="false">
      <c r="A22" s="141" t="n">
        <v>222</v>
      </c>
      <c r="B22" s="142" t="n">
        <f aca="false">IF(ISNUMBER(A22),
    IF(AND(A22=INT(A22), MOD(A22, 10) = 0), 0,
        IF(AND(A22=INT(A22), LEN(A22)=2), 1,
            IF(AND(A22=INT(A22), LEN(A22)=3), 2,
                LEN(A22) - FIND(".", A22) + 2)
        )
    ),
"")</f>
        <v>2</v>
      </c>
      <c r="C22" s="143" t="s">
        <v>650</v>
      </c>
      <c r="D22" s="144" t="str">
        <f aca="false">REPT("   ", B22*2) &amp; C22</f>
        <v>            Fueling Building</v>
      </c>
      <c r="E22" s="144" t="s">
        <v>35</v>
      </c>
      <c r="F22" s="145"/>
      <c r="G22" s="146"/>
      <c r="H22" s="144"/>
      <c r="I22" s="144"/>
      <c r="J22" s="113"/>
      <c r="K22" s="147" t="n">
        <f aca="false">35766971.91/N22</f>
        <v>35766.97191</v>
      </c>
      <c r="L22" s="135"/>
      <c r="M22" s="148" t="s">
        <v>648</v>
      </c>
      <c r="N22" s="135" t="n">
        <v>1000</v>
      </c>
      <c r="O22" s="135" t="s">
        <v>649</v>
      </c>
      <c r="P22" s="149" t="n">
        <v>0.138270648181342</v>
      </c>
      <c r="Q22" s="20" t="n">
        <v>2025</v>
      </c>
      <c r="R22" s="114" t="s">
        <v>96</v>
      </c>
      <c r="S22" s="137"/>
      <c r="T22" s="21"/>
      <c r="U22" s="115"/>
      <c r="V22" s="23"/>
      <c r="W22" s="138" t="s">
        <v>43</v>
      </c>
      <c r="X22" s="139" t="n">
        <f aca="false">0.9*$I22</f>
        <v>0</v>
      </c>
      <c r="Y22" s="139" t="n">
        <f aca="false">1.5*J22</f>
        <v>0</v>
      </c>
      <c r="Z22" s="138" t="s">
        <v>44</v>
      </c>
      <c r="AA22" s="140" t="n">
        <f aca="false">0.9*K22</f>
        <v>32190.274719</v>
      </c>
      <c r="AB22" s="140" t="n">
        <f aca="false">1.3*K22</f>
        <v>46497.063483</v>
      </c>
      <c r="AC22" s="138" t="s">
        <v>44</v>
      </c>
      <c r="AD22" s="140" t="n">
        <v>0.1</v>
      </c>
      <c r="AE22" s="140" t="s">
        <v>46</v>
      </c>
      <c r="AF22" s="140" t="s">
        <v>47</v>
      </c>
      <c r="AG22" s="138" t="s">
        <v>48</v>
      </c>
    </row>
    <row r="23" customFormat="false" ht="13.5" hidden="false" customHeight="false" outlineLevel="0" collapsed="false">
      <c r="A23" s="150" t="n">
        <v>223</v>
      </c>
      <c r="B23" s="151" t="n">
        <v>2</v>
      </c>
      <c r="C23" s="152" t="s">
        <v>651</v>
      </c>
      <c r="D23" s="153" t="str">
        <f aca="false">REPT("   ", B23*2) &amp; C23</f>
        <v>            Testing Building</v>
      </c>
      <c r="E23" s="144"/>
      <c r="F23" s="145"/>
      <c r="G23" s="146"/>
      <c r="H23" s="144"/>
      <c r="I23" s="144"/>
      <c r="J23" s="113"/>
      <c r="K23" s="147"/>
      <c r="L23" s="135"/>
      <c r="M23" s="154"/>
      <c r="N23" s="135"/>
      <c r="O23" s="135"/>
      <c r="P23" s="149"/>
      <c r="Q23" s="20"/>
      <c r="R23" s="114"/>
      <c r="S23" s="137"/>
      <c r="T23" s="21"/>
      <c r="U23" s="115"/>
      <c r="V23" s="23"/>
      <c r="W23" s="138" t="s">
        <v>43</v>
      </c>
      <c r="X23" s="139" t="n">
        <f aca="false">0.9*$I23</f>
        <v>0</v>
      </c>
      <c r="Y23" s="139" t="n">
        <f aca="false">1.5*J23</f>
        <v>0</v>
      </c>
      <c r="Z23" s="138" t="s">
        <v>44</v>
      </c>
      <c r="AA23" s="140" t="n">
        <f aca="false">0.9*K23</f>
        <v>0</v>
      </c>
      <c r="AB23" s="140" t="n">
        <f aca="false">1.3*K23</f>
        <v>0</v>
      </c>
      <c r="AC23" s="138" t="s">
        <v>44</v>
      </c>
      <c r="AD23" s="140" t="n">
        <v>0.1</v>
      </c>
      <c r="AE23" s="140" t="s">
        <v>46</v>
      </c>
      <c r="AF23" s="140" t="s">
        <v>47</v>
      </c>
      <c r="AG23" s="138" t="s">
        <v>48</v>
      </c>
    </row>
    <row r="24" customFormat="false" ht="23.85" hidden="false" customHeight="false" outlineLevel="0" collapsed="false">
      <c r="A24" s="141" t="n">
        <v>224</v>
      </c>
      <c r="B24" s="142" t="n">
        <f aca="false">IF(ISNUMBER(A24),
    IF(AND(A24=INT(A24), MOD(A24, 10) = 0), 0,
        IF(AND(A24=INT(A24), LEN(A24)=2), 1,
            IF(AND(A24=INT(A24), LEN(A24)=3), 2,
                LEN(A24) - FIND(".", A24) + 2)
        )
    ),
"")</f>
        <v>2</v>
      </c>
      <c r="C24" s="143" t="s">
        <v>652</v>
      </c>
      <c r="D24" s="144" t="str">
        <f aca="false">REPT("   ", B24*2) &amp; C24</f>
        <v>            Warehouse</v>
      </c>
      <c r="E24" s="144" t="s">
        <v>35</v>
      </c>
      <c r="F24" s="144"/>
      <c r="G24" s="146"/>
      <c r="H24" s="144"/>
      <c r="I24" s="144"/>
      <c r="J24" s="155"/>
      <c r="K24" s="147" t="n">
        <v>3842.71</v>
      </c>
      <c r="L24" s="156" t="s">
        <v>102</v>
      </c>
      <c r="M24" s="148" t="s">
        <v>653</v>
      </c>
      <c r="N24" s="135" t="n">
        <v>1</v>
      </c>
      <c r="O24" s="135" t="s">
        <v>104</v>
      </c>
      <c r="P24" s="136" t="n">
        <v>1</v>
      </c>
      <c r="Q24" s="20" t="n">
        <v>2025</v>
      </c>
      <c r="R24" s="114" t="s">
        <v>96</v>
      </c>
      <c r="S24" s="137"/>
      <c r="T24" s="21"/>
      <c r="U24" s="115"/>
      <c r="V24" s="23"/>
      <c r="W24" s="138" t="s">
        <v>43</v>
      </c>
      <c r="X24" s="139" t="n">
        <f aca="false">0.9*$I24</f>
        <v>0</v>
      </c>
      <c r="Y24" s="139" t="n">
        <f aca="false">1.5*J24</f>
        <v>0</v>
      </c>
      <c r="Z24" s="138" t="s">
        <v>44</v>
      </c>
      <c r="AA24" s="140" t="n">
        <f aca="false">0.9*K24</f>
        <v>3458.439</v>
      </c>
      <c r="AB24" s="140" t="n">
        <f aca="false">1.3*K24</f>
        <v>4995.523</v>
      </c>
      <c r="AC24" s="138" t="s">
        <v>44</v>
      </c>
      <c r="AD24" s="140" t="s">
        <v>45</v>
      </c>
      <c r="AE24" s="140" t="s">
        <v>46</v>
      </c>
      <c r="AF24" s="140" t="s">
        <v>47</v>
      </c>
      <c r="AG24" s="138" t="s">
        <v>48</v>
      </c>
    </row>
    <row r="25" customFormat="false" ht="57.45" hidden="false" customHeight="false" outlineLevel="0" collapsed="false">
      <c r="A25" s="141" t="n">
        <v>225</v>
      </c>
      <c r="B25" s="142" t="n">
        <f aca="false">IF(ISNUMBER(A25),
    IF(AND(A25=INT(A25), MOD(A25, 10) = 0), 0,
        IF(AND(A25=INT(A25), LEN(A25)=2), 1,
            IF(AND(A25=INT(A25), LEN(A25)=3), 2,
                LEN(A25) - FIND(".", A25) + 2)
        )
    ),
"")</f>
        <v>2</v>
      </c>
      <c r="C25" s="143" t="s">
        <v>654</v>
      </c>
      <c r="D25" s="144" t="str">
        <f aca="false">REPT("   ", B25*2) &amp; C25</f>
        <v>            Administrative Building</v>
      </c>
      <c r="E25" s="144" t="s">
        <v>35</v>
      </c>
      <c r="F25" s="144"/>
      <c r="G25" s="146"/>
      <c r="H25" s="144"/>
      <c r="I25" s="144"/>
      <c r="J25" s="113"/>
      <c r="K25" s="147" t="n">
        <f aca="false">0.7*1968*(3.2808^2)</f>
        <v>14828.002366464</v>
      </c>
      <c r="L25" s="135" t="s">
        <v>102</v>
      </c>
      <c r="M25" s="148" t="s">
        <v>655</v>
      </c>
      <c r="N25" s="135" t="n">
        <v>1</v>
      </c>
      <c r="O25" s="135" t="s">
        <v>104</v>
      </c>
      <c r="P25" s="136" t="n">
        <v>1</v>
      </c>
      <c r="Q25" s="20" t="n">
        <v>2025</v>
      </c>
      <c r="R25" s="114" t="s">
        <v>96</v>
      </c>
      <c r="S25" s="137" t="s">
        <v>645</v>
      </c>
      <c r="T25" s="21"/>
      <c r="U25" s="115"/>
      <c r="V25" s="23"/>
      <c r="W25" s="138" t="s">
        <v>43</v>
      </c>
      <c r="X25" s="139" t="n">
        <f aca="false">0.9*$I25</f>
        <v>0</v>
      </c>
      <c r="Y25" s="139" t="n">
        <f aca="false">1.5*J25</f>
        <v>0</v>
      </c>
      <c r="Z25" s="138" t="s">
        <v>44</v>
      </c>
      <c r="AA25" s="140" t="n">
        <f aca="false">0.9*K25</f>
        <v>13345.2021298176</v>
      </c>
      <c r="AB25" s="140" t="n">
        <f aca="false">1.3*K25</f>
        <v>19276.4030764032</v>
      </c>
      <c r="AC25" s="138" t="s">
        <v>44</v>
      </c>
      <c r="AD25" s="140" t="s">
        <v>45</v>
      </c>
      <c r="AE25" s="140" t="s">
        <v>46</v>
      </c>
      <c r="AF25" s="140" t="s">
        <v>47</v>
      </c>
      <c r="AG25" s="138" t="s">
        <v>48</v>
      </c>
    </row>
    <row r="26" customFormat="false" ht="13.5" hidden="false" customHeight="false" outlineLevel="0" collapsed="false">
      <c r="A26" s="141" t="n">
        <v>23</v>
      </c>
      <c r="B26" s="142" t="n">
        <f aca="false">IF(ISNUMBER(A26),
    IF(AND(A26=INT(A26), MOD(A26, 10) = 0), 0,
        IF(AND(A26=INT(A26), LEN(A26)=2), 1,
            IF(AND(A26=INT(A26), LEN(A26)=3), 2,
                LEN(A26) - FIND(".", A26) + 2)
        )
    ),
"")</f>
        <v>1</v>
      </c>
      <c r="C26" s="157" t="s">
        <v>163</v>
      </c>
      <c r="D26" s="144" t="str">
        <f aca="false">REPT("   ", B26*2) &amp; C26</f>
        <v>      Equipment</v>
      </c>
      <c r="E26" s="144"/>
      <c r="F26" s="144"/>
      <c r="G26" s="146"/>
      <c r="H26" s="144"/>
      <c r="I26" s="156"/>
      <c r="J26" s="147"/>
      <c r="K26" s="158"/>
      <c r="L26" s="138"/>
      <c r="M26" s="159"/>
      <c r="N26" s="138"/>
      <c r="O26" s="138"/>
      <c r="P26" s="140"/>
      <c r="Q26" s="140"/>
      <c r="R26" s="138"/>
      <c r="S26" s="159"/>
      <c r="T26" s="138"/>
      <c r="U26" s="138"/>
      <c r="V26" s="138"/>
      <c r="W26" s="138"/>
      <c r="X26" s="139"/>
      <c r="Y26" s="139"/>
      <c r="Z26" s="138"/>
      <c r="AA26" s="140"/>
      <c r="AB26" s="140"/>
      <c r="AC26" s="138"/>
      <c r="AD26" s="140"/>
      <c r="AE26" s="140"/>
      <c r="AF26" s="140"/>
      <c r="AG26" s="138"/>
    </row>
    <row r="27" customFormat="false" ht="35.05" hidden="false" customHeight="false" outlineLevel="0" collapsed="false">
      <c r="A27" s="30" t="n">
        <v>23.5</v>
      </c>
      <c r="B27" s="9" t="n">
        <v>2</v>
      </c>
      <c r="C27" s="15" t="s">
        <v>656</v>
      </c>
      <c r="D27" s="10" t="str">
        <f aca="false">REPT("   ", B27*2) &amp; C27</f>
        <v>            Local Integrated Control Rooms</v>
      </c>
      <c r="E27" s="10" t="s">
        <v>35</v>
      </c>
      <c r="F27" s="10" t="s">
        <v>657</v>
      </c>
      <c r="G27" s="111" t="n">
        <v>1</v>
      </c>
      <c r="H27" s="10"/>
      <c r="I27" s="10"/>
      <c r="J27" s="42" t="n">
        <v>8500000</v>
      </c>
      <c r="K27" s="42"/>
      <c r="L27" s="23"/>
      <c r="M27" s="26"/>
      <c r="N27" s="23"/>
      <c r="O27" s="23"/>
      <c r="P27" s="23"/>
      <c r="Q27" s="20" t="n">
        <v>2023</v>
      </c>
      <c r="R27" s="23" t="s">
        <v>73</v>
      </c>
      <c r="S27" s="26" t="s">
        <v>350</v>
      </c>
      <c r="T27" s="26" t="s">
        <v>351</v>
      </c>
      <c r="U27" s="160" t="s">
        <v>352</v>
      </c>
      <c r="V27" s="23" t="s">
        <v>353</v>
      </c>
      <c r="W27" s="12" t="s">
        <v>167</v>
      </c>
      <c r="X27" s="24" t="n">
        <f aca="false">0.9*$H27</f>
        <v>0</v>
      </c>
      <c r="Y27" s="24" t="n">
        <f aca="false">1.5*J27</f>
        <v>12750000</v>
      </c>
      <c r="Z27" s="12" t="s">
        <v>44</v>
      </c>
      <c r="AA27" s="13" t="n">
        <f aca="false">0.9*K27</f>
        <v>0</v>
      </c>
      <c r="AB27" s="13" t="n">
        <f aca="false">1.3*K27</f>
        <v>0</v>
      </c>
      <c r="AC27" s="12" t="s">
        <v>44</v>
      </c>
      <c r="AD27" s="13" t="s">
        <v>45</v>
      </c>
      <c r="AE27" s="13" t="s">
        <v>46</v>
      </c>
      <c r="AF27" s="13" t="s">
        <v>47</v>
      </c>
      <c r="AG27" s="12" t="s">
        <v>48</v>
      </c>
    </row>
    <row r="28" customFormat="false" ht="13.5" hidden="false" customHeight="false" outlineLevel="0" collapsed="false">
      <c r="A28" s="6" t="n">
        <v>28</v>
      </c>
      <c r="B28" s="9" t="n">
        <f aca="false">IF(ISNUMBER(A28),
    IF(AND(A28=INT(A28), MOD(A28, 10) = 0), 0,
        IF(AND(A28=INT(A28), LEN(A28)=2), 1,
            IF(AND(A28=INT(A28), LEN(A28)=3), 2,
                LEN(A28) - FIND(".", A28) + 2)
        )
    ),
"")</f>
        <v>1</v>
      </c>
      <c r="C28" s="61" t="s">
        <v>658</v>
      </c>
      <c r="D28" s="10" t="str">
        <f aca="false">REPT("   ", B28*2) &amp; C28</f>
        <v>      Auxiliary Infrastructure Equipment</v>
      </c>
      <c r="E28" s="10"/>
      <c r="F28" s="10"/>
      <c r="G28" s="111"/>
      <c r="H28" s="10"/>
      <c r="I28" s="10"/>
      <c r="J28" s="161"/>
      <c r="K28" s="42"/>
      <c r="L28" s="23"/>
      <c r="M28" s="18"/>
      <c r="N28" s="23"/>
      <c r="O28" s="23"/>
      <c r="P28" s="20"/>
      <c r="Q28" s="20"/>
      <c r="R28" s="23"/>
      <c r="S28" s="26"/>
      <c r="T28" s="26"/>
      <c r="U28" s="23"/>
      <c r="V28" s="23"/>
      <c r="W28" s="12"/>
      <c r="X28" s="24"/>
      <c r="Y28" s="24"/>
      <c r="Z28" s="12"/>
      <c r="AA28" s="13"/>
      <c r="AB28" s="13"/>
      <c r="AC28" s="12"/>
      <c r="AD28" s="13"/>
      <c r="AE28" s="13"/>
      <c r="AF28" s="13"/>
      <c r="AG28" s="12"/>
    </row>
    <row r="29" customFormat="false" ht="57.45" hidden="false" customHeight="false" outlineLevel="0" collapsed="false">
      <c r="A29" s="141" t="n">
        <v>281</v>
      </c>
      <c r="B29" s="142" t="n">
        <f aca="false">IF(ISNUMBER(A29),
    IF(AND(A29=INT(A29), MOD(A29, 10) = 0), 0,
        IF(AND(A29=INT(A29), LEN(A29)=2), 1,
            IF(AND(A29=INT(A29), LEN(A29)=3), 2,
                LEN(A29) - FIND(".", A29) + 2)
        )
    ),
"")</f>
        <v>2</v>
      </c>
      <c r="C29" s="143" t="s">
        <v>659</v>
      </c>
      <c r="D29" s="144" t="str">
        <f aca="false">REPT("   ", B29*2) &amp; C29</f>
        <v>            Emergency Power</v>
      </c>
      <c r="E29" s="144" t="s">
        <v>35</v>
      </c>
      <c r="F29" s="144"/>
      <c r="G29" s="146"/>
      <c r="H29" s="144"/>
      <c r="I29" s="144"/>
      <c r="J29" s="113"/>
      <c r="K29" s="147" t="n">
        <f aca="false">(1450000*5+1500000)/2.5</f>
        <v>3500000</v>
      </c>
      <c r="L29" s="135" t="s">
        <v>50</v>
      </c>
      <c r="M29" s="148" t="s">
        <v>660</v>
      </c>
      <c r="N29" s="135" t="n">
        <v>1</v>
      </c>
      <c r="O29" s="135" t="s">
        <v>52</v>
      </c>
      <c r="P29" s="136" t="n">
        <v>1</v>
      </c>
      <c r="Q29" s="20" t="n">
        <v>2025</v>
      </c>
      <c r="R29" s="114" t="s">
        <v>163</v>
      </c>
      <c r="S29" s="162" t="s">
        <v>661</v>
      </c>
      <c r="T29" s="162"/>
      <c r="U29" s="163"/>
      <c r="V29" s="138"/>
      <c r="W29" s="12"/>
      <c r="X29" s="24"/>
      <c r="Y29" s="24"/>
      <c r="Z29" s="12"/>
      <c r="AA29" s="13"/>
      <c r="AB29" s="13"/>
      <c r="AC29" s="12"/>
      <c r="AD29" s="13"/>
      <c r="AE29" s="13"/>
      <c r="AF29" s="13"/>
      <c r="AG29" s="12"/>
    </row>
    <row r="30" customFormat="false" ht="57.45" hidden="false" customHeight="false" outlineLevel="0" collapsed="false">
      <c r="A30" s="141" t="n">
        <v>283</v>
      </c>
      <c r="B30" s="142" t="n">
        <f aca="false">IF(ISNUMBER(A30),
    IF(AND(A30=INT(A30), MOD(A30, 10) = 0), 0,
        IF(AND(A30=INT(A30), LEN(A30)=2), 1,
            IF(AND(A30=INT(A30), LEN(A30)=3), 2,
                LEN(A30) - FIND(".", A30) + 2)
        )
    ),
"")</f>
        <v>2</v>
      </c>
      <c r="C30" s="143" t="s">
        <v>662</v>
      </c>
      <c r="D30" s="144" t="str">
        <f aca="false">REPT("   ", B30*2) &amp; C30</f>
        <v>            Fire Station</v>
      </c>
      <c r="E30" s="144" t="s">
        <v>35</v>
      </c>
      <c r="F30" s="144" t="s">
        <v>663</v>
      </c>
      <c r="G30" s="146" t="n">
        <v>1</v>
      </c>
      <c r="H30" s="144"/>
      <c r="I30" s="144"/>
      <c r="J30" s="113" t="n">
        <f aca="false">0.7*20776500</f>
        <v>14543550</v>
      </c>
      <c r="K30" s="147"/>
      <c r="L30" s="135"/>
      <c r="M30" s="148"/>
      <c r="N30" s="135"/>
      <c r="O30" s="135"/>
      <c r="P30" s="136"/>
      <c r="Q30" s="20" t="n">
        <v>2025</v>
      </c>
      <c r="R30" s="114" t="s">
        <v>96</v>
      </c>
      <c r="S30" s="137" t="s">
        <v>645</v>
      </c>
      <c r="T30" s="21"/>
      <c r="U30" s="115"/>
      <c r="V30" s="23"/>
      <c r="W30" s="138" t="s">
        <v>43</v>
      </c>
      <c r="X30" s="139" t="n">
        <f aca="false">0.9*$I30</f>
        <v>0</v>
      </c>
      <c r="Y30" s="139" t="n">
        <f aca="false">1.5*J30</f>
        <v>21815325</v>
      </c>
      <c r="Z30" s="138" t="s">
        <v>44</v>
      </c>
      <c r="AA30" s="140" t="n">
        <f aca="false">0.9*K30</f>
        <v>0</v>
      </c>
      <c r="AB30" s="140" t="n">
        <f aca="false">1.3*K30</f>
        <v>0</v>
      </c>
      <c r="AC30" s="138" t="s">
        <v>44</v>
      </c>
      <c r="AD30" s="140" t="s">
        <v>45</v>
      </c>
      <c r="AE30" s="140" t="s">
        <v>46</v>
      </c>
      <c r="AF30" s="140" t="s">
        <v>47</v>
      </c>
      <c r="AG30" s="138" t="s">
        <v>48</v>
      </c>
    </row>
    <row r="31" customFormat="false" ht="57.45" hidden="false" customHeight="false" outlineLevel="0" collapsed="false">
      <c r="A31" s="141" t="n">
        <v>284</v>
      </c>
      <c r="B31" s="142" t="n">
        <f aca="false">IF(ISNUMBER(A31),
    IF(AND(A31=INT(A31), MOD(A31, 10) = 0), 0,
        IF(AND(A31=INT(A31), LEN(A31)=2), 1,
            IF(AND(A31=INT(A31), LEN(A31)=3), 2,
                LEN(A31) - FIND(".", A31) + 2)
        )
    ),
"")</f>
        <v>2</v>
      </c>
      <c r="C31" s="143" t="s">
        <v>664</v>
      </c>
      <c r="D31" s="144" t="str">
        <f aca="false">REPT("   ", B31*2) &amp; C31</f>
        <v>            Security Building</v>
      </c>
      <c r="E31" s="144" t="s">
        <v>35</v>
      </c>
      <c r="F31" s="144"/>
      <c r="G31" s="146"/>
      <c r="H31" s="144"/>
      <c r="I31" s="144"/>
      <c r="J31" s="113"/>
      <c r="K31" s="147" t="n">
        <f aca="false">0.7*2548*(3.2808^2)</f>
        <v>19198.043714304</v>
      </c>
      <c r="L31" s="135" t="s">
        <v>102</v>
      </c>
      <c r="M31" s="148" t="s">
        <v>665</v>
      </c>
      <c r="N31" s="135" t="n">
        <v>1</v>
      </c>
      <c r="O31" s="135" t="s">
        <v>104</v>
      </c>
      <c r="P31" s="136" t="n">
        <v>1</v>
      </c>
      <c r="Q31" s="20" t="n">
        <v>2025</v>
      </c>
      <c r="R31" s="114" t="s">
        <v>96</v>
      </c>
      <c r="S31" s="137" t="s">
        <v>645</v>
      </c>
      <c r="T31" s="21"/>
      <c r="U31" s="115"/>
      <c r="V31" s="23"/>
      <c r="W31" s="138" t="s">
        <v>43</v>
      </c>
      <c r="X31" s="139" t="n">
        <f aca="false">0.9*$I31</f>
        <v>0</v>
      </c>
      <c r="Y31" s="139" t="n">
        <f aca="false">1.5*J31</f>
        <v>0</v>
      </c>
      <c r="Z31" s="138" t="s">
        <v>44</v>
      </c>
      <c r="AA31" s="140" t="n">
        <f aca="false">0.9*K31</f>
        <v>17278.2393428736</v>
      </c>
      <c r="AB31" s="140" t="n">
        <f aca="false">1.3*K31</f>
        <v>24957.4568285952</v>
      </c>
      <c r="AC31" s="138" t="s">
        <v>44</v>
      </c>
      <c r="AD31" s="140" t="s">
        <v>45</v>
      </c>
      <c r="AE31" s="140" t="s">
        <v>46</v>
      </c>
      <c r="AF31" s="140" t="s">
        <v>47</v>
      </c>
      <c r="AG31" s="138" t="s">
        <v>48</v>
      </c>
    </row>
    <row r="32" customFormat="false" ht="46.25" hidden="false" customHeight="false" outlineLevel="0" collapsed="false">
      <c r="A32" s="141" t="n">
        <v>285</v>
      </c>
      <c r="B32" s="142" t="n">
        <f aca="false">IF(ISNUMBER(A32),
    IF(AND(A32=INT(A32), MOD(A32, 10) = 0), 0,
        IF(AND(A32=INT(A32), LEN(A32)=2), 1,
            IF(AND(A32=INT(A32), LEN(A32)=3), 2,
                LEN(A32) - FIND(".", A32) + 2)
        )
    ),
"")</f>
        <v>2</v>
      </c>
      <c r="C32" s="143" t="s">
        <v>666</v>
      </c>
      <c r="D32" s="144" t="str">
        <f aca="false">REPT("   ", B32*2) &amp; C32</f>
        <v>            Switchyard</v>
      </c>
      <c r="E32" s="144" t="s">
        <v>35</v>
      </c>
      <c r="F32" s="144"/>
      <c r="G32" s="146"/>
      <c r="H32" s="144"/>
      <c r="I32" s="144"/>
      <c r="J32" s="113"/>
      <c r="K32" s="147" t="n">
        <f aca="false">0.7*221450153/N32</f>
        <v>516717.023666667</v>
      </c>
      <c r="L32" s="135" t="s">
        <v>50</v>
      </c>
      <c r="M32" s="148" t="s">
        <v>667</v>
      </c>
      <c r="N32" s="135" t="n">
        <v>300</v>
      </c>
      <c r="O32" s="135" t="s">
        <v>52</v>
      </c>
      <c r="P32" s="149" t="n">
        <v>0.9968</v>
      </c>
      <c r="Q32" s="20" t="n">
        <v>2025</v>
      </c>
      <c r="R32" s="114" t="s">
        <v>96</v>
      </c>
      <c r="S32" s="137" t="s">
        <v>668</v>
      </c>
      <c r="T32" s="21"/>
      <c r="U32" s="115"/>
      <c r="V32" s="23"/>
      <c r="W32" s="138" t="s">
        <v>43</v>
      </c>
      <c r="X32" s="139" t="n">
        <f aca="false">0.9*$I32</f>
        <v>0</v>
      </c>
      <c r="Y32" s="139" t="n">
        <f aca="false">1.5*J32</f>
        <v>0</v>
      </c>
      <c r="Z32" s="138" t="s">
        <v>44</v>
      </c>
      <c r="AA32" s="140" t="n">
        <f aca="false">0.9*K32</f>
        <v>465045.3213</v>
      </c>
      <c r="AB32" s="140" t="n">
        <f aca="false">1.3*K32</f>
        <v>671732.130766667</v>
      </c>
      <c r="AC32" s="138" t="s">
        <v>44</v>
      </c>
      <c r="AD32" s="140" t="s">
        <v>45</v>
      </c>
      <c r="AE32" s="140" t="s">
        <v>46</v>
      </c>
      <c r="AF32" s="140" t="s">
        <v>47</v>
      </c>
      <c r="AG32" s="138" t="s">
        <v>48</v>
      </c>
    </row>
    <row r="33" customFormat="false" ht="13.5" hidden="false" customHeight="false" outlineLevel="0" collapsed="false">
      <c r="A33" s="6" t="n">
        <v>286</v>
      </c>
      <c r="B33" s="9" t="n">
        <f aca="false">IF(ISNUMBER(A33),
    IF(AND(A33=INT(A33), MOD(A33, 10) = 0), 0,
        IF(AND(A33=INT(A33), LEN(A33)=2), 1,
            IF(AND(A33=INT(A33), LEN(A33)=3), 2,
                LEN(A33) - FIND(".", A33) + 2)
        )
    ),
"")</f>
        <v>2</v>
      </c>
      <c r="C33" s="61" t="s">
        <v>669</v>
      </c>
      <c r="D33" s="10" t="str">
        <f aca="false">REPT("   ", B33*2) &amp; C33</f>
        <v>            Onsite Transport Equipment</v>
      </c>
      <c r="E33" s="10"/>
      <c r="F33" s="10"/>
      <c r="G33" s="111"/>
      <c r="H33" s="10"/>
      <c r="I33" s="10"/>
      <c r="J33" s="161"/>
      <c r="K33" s="42"/>
      <c r="L33" s="23"/>
      <c r="M33" s="18"/>
      <c r="N33" s="23"/>
      <c r="O33" s="23"/>
      <c r="P33" s="20"/>
      <c r="Q33" s="20"/>
      <c r="R33" s="23"/>
      <c r="S33" s="26"/>
      <c r="T33" s="26"/>
      <c r="U33" s="23"/>
      <c r="V33" s="23"/>
      <c r="W33" s="12"/>
      <c r="X33" s="24"/>
      <c r="Y33" s="24"/>
      <c r="Z33" s="12"/>
      <c r="AA33" s="13"/>
      <c r="AB33" s="13"/>
      <c r="AC33" s="12"/>
      <c r="AD33" s="13"/>
      <c r="AE33" s="13"/>
      <c r="AF33" s="13"/>
      <c r="AG33" s="12"/>
    </row>
    <row r="34" customFormat="false" ht="35.05" hidden="false" customHeight="false" outlineLevel="0" collapsed="false">
      <c r="A34" s="6" t="n">
        <v>286.1</v>
      </c>
      <c r="B34" s="9" t="n">
        <f aca="false">IF(ISNUMBER(A34),
    IF(AND(A34=INT(A34), MOD(A34, 10) = 0), 0,
        IF(AND(A34=INT(A34), LEN(A34)=2), 1,
            IF(AND(A34=INT(A34), LEN(A34)=3), 2,
                LEN(A34) - FIND(".", A34) + 2)
        )
    ),
"")</f>
        <v>3</v>
      </c>
      <c r="C34" s="61" t="s">
        <v>670</v>
      </c>
      <c r="D34" s="10" t="str">
        <f aca="false">REPT("   ", B34*2) &amp; C34</f>
        <v>                  Local Reactor Transport Vehicles</v>
      </c>
      <c r="E34" s="10" t="s">
        <v>35</v>
      </c>
      <c r="F34" s="10" t="s">
        <v>671</v>
      </c>
      <c r="G34" s="111" t="n">
        <v>1</v>
      </c>
      <c r="H34" s="10"/>
      <c r="I34" s="10"/>
      <c r="J34" s="161" t="n">
        <v>938000</v>
      </c>
      <c r="K34" s="42"/>
      <c r="L34" s="23"/>
      <c r="M34" s="18"/>
      <c r="N34" s="23"/>
      <c r="O34" s="23"/>
      <c r="P34" s="20"/>
      <c r="Q34" s="20" t="n">
        <v>2023</v>
      </c>
      <c r="R34" s="23" t="s">
        <v>163</v>
      </c>
      <c r="S34" s="26" t="s">
        <v>672</v>
      </c>
      <c r="T34" s="26" t="s">
        <v>673</v>
      </c>
      <c r="U34" s="23"/>
      <c r="V34" s="23"/>
      <c r="W34" s="12" t="s">
        <v>43</v>
      </c>
      <c r="X34" s="24" t="n">
        <f aca="false">0.9*$J34</f>
        <v>844200</v>
      </c>
      <c r="Y34" s="24" t="n">
        <f aca="false">1.5*J34</f>
        <v>1407000</v>
      </c>
      <c r="Z34" s="12" t="s">
        <v>44</v>
      </c>
      <c r="AA34" s="13" t="n">
        <f aca="false">0.9*K34</f>
        <v>0</v>
      </c>
      <c r="AB34" s="13" t="n">
        <f aca="false">1.3*K34</f>
        <v>0</v>
      </c>
      <c r="AC34" s="12" t="s">
        <v>44</v>
      </c>
      <c r="AD34" s="13" t="s">
        <v>45</v>
      </c>
      <c r="AE34" s="13" t="s">
        <v>46</v>
      </c>
      <c r="AF34" s="13" t="s">
        <v>47</v>
      </c>
      <c r="AG34" s="12" t="s">
        <v>48</v>
      </c>
    </row>
    <row r="35" customFormat="false" ht="23.85" hidden="false" customHeight="false" outlineLevel="0" collapsed="false">
      <c r="A35" s="6" t="n">
        <v>286.2</v>
      </c>
      <c r="B35" s="9" t="n">
        <f aca="false">IF(ISNUMBER(A35),
    IF(AND(A35=INT(A35), MOD(A35, 10) = 0), 0,
        IF(AND(A35=INT(A35), LEN(A35)=2), 1,
            IF(AND(A35=INT(A35), LEN(A35)=3), 2,
                LEN(A35) - FIND(".", A35) + 2)
        )
    ),
"")</f>
        <v>3</v>
      </c>
      <c r="C35" s="61" t="s">
        <v>674</v>
      </c>
      <c r="D35" s="10" t="str">
        <f aca="false">REPT("   ", B35*2) &amp; C35</f>
        <v>                  Utility Vehicles</v>
      </c>
      <c r="E35" s="10" t="s">
        <v>35</v>
      </c>
      <c r="F35" s="10" t="s">
        <v>675</v>
      </c>
      <c r="G35" s="111" t="n">
        <v>1</v>
      </c>
      <c r="H35" s="10"/>
      <c r="I35" s="10"/>
      <c r="J35" s="161" t="n">
        <v>50000</v>
      </c>
      <c r="K35" s="42"/>
      <c r="L35" s="23"/>
      <c r="M35" s="18"/>
      <c r="N35" s="23"/>
      <c r="O35" s="23"/>
      <c r="P35" s="20"/>
      <c r="Q35" s="20" t="n">
        <v>2024</v>
      </c>
      <c r="R35" s="23" t="s">
        <v>163</v>
      </c>
      <c r="S35" s="26" t="s">
        <v>676</v>
      </c>
      <c r="T35" s="26"/>
      <c r="U35" s="23"/>
      <c r="V35" s="23"/>
      <c r="W35" s="12" t="s">
        <v>43</v>
      </c>
      <c r="X35" s="24" t="n">
        <f aca="false">0.9*$J35</f>
        <v>45000</v>
      </c>
      <c r="Y35" s="24" t="n">
        <f aca="false">1.5*J35</f>
        <v>75000</v>
      </c>
      <c r="Z35" s="12" t="s">
        <v>44</v>
      </c>
      <c r="AA35" s="13" t="n">
        <f aca="false">0.9*K35</f>
        <v>0</v>
      </c>
      <c r="AB35" s="13" t="n">
        <f aca="false">1.3*K35</f>
        <v>0</v>
      </c>
      <c r="AC35" s="12" t="s">
        <v>44</v>
      </c>
      <c r="AD35" s="13" t="s">
        <v>45</v>
      </c>
      <c r="AE35" s="13" t="s">
        <v>46</v>
      </c>
      <c r="AF35" s="13" t="s">
        <v>47</v>
      </c>
      <c r="AG35" s="12" t="s">
        <v>48</v>
      </c>
    </row>
    <row r="36" customFormat="false" ht="13.5" hidden="false" customHeight="false" outlineLevel="0" collapsed="false">
      <c r="A36" s="6" t="n">
        <v>288</v>
      </c>
      <c r="B36" s="9" t="n">
        <f aca="false">IF(ISNUMBER(A36),
    IF(AND(A36=INT(A36), MOD(A36, 10) = 0), 0,
        IF(AND(A36=INT(A36), LEN(A36)=2), 1,
            IF(AND(A36=INT(A36), LEN(A36)=3), 2,
                LEN(A36) - FIND(".", A36) + 2)
        )
    ),
"")</f>
        <v>2</v>
      </c>
      <c r="C36" s="61" t="s">
        <v>677</v>
      </c>
      <c r="D36" s="10" t="str">
        <f aca="false">REPT("   ", B36*2) &amp; C36</f>
        <v>            Dispered Infrastructure</v>
      </c>
      <c r="E36" s="10"/>
      <c r="F36" s="10"/>
      <c r="G36" s="111"/>
      <c r="H36" s="10"/>
      <c r="I36" s="10"/>
      <c r="J36" s="164"/>
      <c r="K36" s="42"/>
      <c r="L36" s="165"/>
      <c r="M36" s="18"/>
      <c r="N36" s="23"/>
      <c r="O36" s="23"/>
      <c r="P36" s="20"/>
      <c r="Q36" s="20"/>
      <c r="R36" s="23"/>
      <c r="S36" s="166" t="s">
        <v>678</v>
      </c>
      <c r="T36" s="26"/>
      <c r="U36" s="167"/>
      <c r="V36" s="168"/>
      <c r="W36" s="12"/>
      <c r="X36" s="24"/>
      <c r="Y36" s="24"/>
      <c r="Z36" s="12"/>
      <c r="AA36" s="13"/>
      <c r="AB36" s="13"/>
      <c r="AC36" s="12"/>
      <c r="AD36" s="13"/>
      <c r="AE36" s="13"/>
      <c r="AF36" s="13"/>
      <c r="AG36" s="12"/>
    </row>
    <row r="37" customFormat="false" ht="46.25" hidden="false" customHeight="false" outlineLevel="0" collapsed="false">
      <c r="A37" s="6" t="n">
        <v>288.1</v>
      </c>
      <c r="B37" s="9" t="n">
        <v>3</v>
      </c>
      <c r="C37" s="61" t="s">
        <v>679</v>
      </c>
      <c r="D37" s="10" t="str">
        <f aca="false">REPT("   ", B37*2) &amp; C37</f>
        <v>                  Communication</v>
      </c>
      <c r="E37" s="10" t="s">
        <v>35</v>
      </c>
      <c r="F37" s="10"/>
      <c r="G37" s="111"/>
      <c r="H37" s="10"/>
      <c r="I37" s="10"/>
      <c r="J37" s="161"/>
      <c r="K37" s="169" t="n">
        <f aca="false">12575250/N37</f>
        <v>11774.5786516854</v>
      </c>
      <c r="L37" s="23" t="s">
        <v>36</v>
      </c>
      <c r="M37" s="170" t="s">
        <v>680</v>
      </c>
      <c r="N37" s="23" t="n">
        <v>1068</v>
      </c>
      <c r="O37" s="23" t="s">
        <v>38</v>
      </c>
      <c r="P37" s="20"/>
      <c r="Q37" s="20" t="n">
        <v>2025</v>
      </c>
      <c r="R37" s="23" t="s">
        <v>163</v>
      </c>
      <c r="S37" s="33" t="s">
        <v>681</v>
      </c>
      <c r="T37" s="26"/>
      <c r="U37" s="167"/>
      <c r="V37" s="168"/>
      <c r="W37" s="12"/>
      <c r="X37" s="24"/>
      <c r="Y37" s="24"/>
      <c r="Z37" s="12"/>
      <c r="AA37" s="13"/>
      <c r="AB37" s="13"/>
      <c r="AC37" s="12"/>
      <c r="AD37" s="13"/>
      <c r="AE37" s="13"/>
      <c r="AF37" s="13"/>
      <c r="AG37" s="12"/>
    </row>
    <row r="38" customFormat="false" ht="35.05" hidden="false" customHeight="false" outlineLevel="0" collapsed="false">
      <c r="A38" s="6" t="n">
        <v>288.2</v>
      </c>
      <c r="B38" s="9" t="n">
        <v>3</v>
      </c>
      <c r="C38" s="61" t="s">
        <v>682</v>
      </c>
      <c r="D38" s="10" t="str">
        <f aca="false">REPT("   ", B38*2) &amp; C38</f>
        <v>                  Security Cameras</v>
      </c>
      <c r="E38" s="10" t="s">
        <v>35</v>
      </c>
      <c r="F38" s="10" t="s">
        <v>683</v>
      </c>
      <c r="G38" s="111" t="n">
        <v>1</v>
      </c>
      <c r="H38" s="10"/>
      <c r="I38" s="10"/>
      <c r="J38" s="171" t="n">
        <v>28431</v>
      </c>
      <c r="K38" s="42"/>
      <c r="L38" s="23"/>
      <c r="M38" s="18"/>
      <c r="N38" s="23"/>
      <c r="O38" s="23"/>
      <c r="P38" s="20"/>
      <c r="Q38" s="20" t="n">
        <v>2025</v>
      </c>
      <c r="R38" s="23" t="s">
        <v>163</v>
      </c>
      <c r="S38" s="33" t="s">
        <v>684</v>
      </c>
      <c r="T38" s="26"/>
      <c r="U38" s="167"/>
      <c r="V38" s="168"/>
      <c r="W38" s="12"/>
      <c r="X38" s="24"/>
      <c r="Y38" s="24"/>
      <c r="Z38" s="12"/>
      <c r="AA38" s="13"/>
      <c r="AB38" s="13"/>
      <c r="AC38" s="12"/>
      <c r="AD38" s="13"/>
      <c r="AE38" s="13"/>
      <c r="AF38" s="13"/>
      <c r="AG38" s="12"/>
    </row>
    <row r="39" customFormat="false" ht="35.05" hidden="false" customHeight="false" outlineLevel="0" collapsed="false">
      <c r="A39" s="6" t="n">
        <v>288.3</v>
      </c>
      <c r="B39" s="9" t="n">
        <v>3</v>
      </c>
      <c r="C39" s="61" t="s">
        <v>685</v>
      </c>
      <c r="D39" s="10" t="str">
        <f aca="false">REPT("   ", B39*2) &amp; C39</f>
        <v>                  Motion Detectors</v>
      </c>
      <c r="E39" s="10" t="s">
        <v>35</v>
      </c>
      <c r="F39" s="10" t="s">
        <v>686</v>
      </c>
      <c r="G39" s="111" t="n">
        <v>1</v>
      </c>
      <c r="H39" s="10"/>
      <c r="I39" s="10"/>
      <c r="J39" s="171" t="n">
        <v>24057</v>
      </c>
      <c r="K39" s="42"/>
      <c r="L39" s="23"/>
      <c r="M39" s="18"/>
      <c r="N39" s="23"/>
      <c r="O39" s="23"/>
      <c r="P39" s="20"/>
      <c r="Q39" s="20" t="n">
        <v>2025</v>
      </c>
      <c r="R39" s="23" t="s">
        <v>163</v>
      </c>
      <c r="S39" s="33" t="s">
        <v>684</v>
      </c>
      <c r="T39" s="26"/>
      <c r="U39" s="167"/>
      <c r="V39" s="168"/>
      <c r="W39" s="12"/>
      <c r="X39" s="24"/>
      <c r="Y39" s="24"/>
      <c r="Z39" s="12"/>
      <c r="AA39" s="13"/>
      <c r="AB39" s="13"/>
      <c r="AC39" s="12"/>
      <c r="AD39" s="13"/>
      <c r="AE39" s="13"/>
      <c r="AF39" s="13"/>
      <c r="AG39" s="12"/>
    </row>
    <row r="40" customFormat="false" ht="35.05" hidden="false" customHeight="false" outlineLevel="0" collapsed="false">
      <c r="A40" s="6" t="n">
        <v>288.4</v>
      </c>
      <c r="B40" s="9" t="n">
        <v>3</v>
      </c>
      <c r="C40" s="61" t="s">
        <v>687</v>
      </c>
      <c r="D40" s="10" t="str">
        <f aca="false">REPT("   ", B40*2) &amp; C40</f>
        <v>                  Guard Station</v>
      </c>
      <c r="E40" s="10" t="s">
        <v>35</v>
      </c>
      <c r="F40" s="10" t="s">
        <v>688</v>
      </c>
      <c r="G40" s="111" t="n">
        <v>1</v>
      </c>
      <c r="H40" s="10"/>
      <c r="I40" s="10"/>
      <c r="J40" s="172" t="n">
        <v>6774250</v>
      </c>
      <c r="K40" s="42"/>
      <c r="L40" s="23"/>
      <c r="M40" s="18"/>
      <c r="N40" s="23"/>
      <c r="O40" s="23"/>
      <c r="P40" s="20"/>
      <c r="Q40" s="20" t="n">
        <v>2025</v>
      </c>
      <c r="R40" s="23" t="s">
        <v>163</v>
      </c>
      <c r="S40" s="33" t="s">
        <v>684</v>
      </c>
      <c r="T40" s="26"/>
      <c r="U40" s="167"/>
      <c r="V40" s="168"/>
      <c r="W40" s="12"/>
      <c r="X40" s="24"/>
      <c r="Y40" s="24"/>
      <c r="Z40" s="12"/>
      <c r="AA40" s="13"/>
      <c r="AB40" s="13"/>
      <c r="AC40" s="12"/>
      <c r="AD40" s="13"/>
      <c r="AE40" s="13"/>
      <c r="AF40" s="13"/>
      <c r="AG40" s="12"/>
    </row>
    <row r="41" customFormat="false" ht="13.5" hidden="false" customHeight="false" outlineLevel="0" collapsed="false">
      <c r="A41" s="4" t="n">
        <v>30</v>
      </c>
      <c r="B41" s="9" t="n">
        <f aca="false">IF(ISNUMBER(A41),
    IF(AND(A41=INT(A41), MOD(A41, 10) = 0), 0,
        IF(AND(A41=INT(A41), LEN(A41)=2), 1,
            IF(AND(A41=INT(A41), LEN(A41)=3), 2,
                LEN(A41) - FIND(".", A41) + 2)
        )
    ),
"")</f>
        <v>0</v>
      </c>
      <c r="C41" s="37" t="s">
        <v>392</v>
      </c>
      <c r="D41" s="10" t="str">
        <f aca="false">REPT("   ", B41*2) &amp; C41</f>
        <v>Capitalized Indirect Services Cost</v>
      </c>
      <c r="E41" s="10"/>
      <c r="F41" s="10"/>
      <c r="G41" s="111"/>
      <c r="H41" s="10"/>
      <c r="I41" s="10"/>
      <c r="J41" s="173"/>
      <c r="K41" s="27"/>
      <c r="L41" s="4"/>
      <c r="M41" s="4"/>
      <c r="N41" s="4"/>
      <c r="O41" s="4"/>
      <c r="P41" s="28"/>
      <c r="Q41" s="20"/>
      <c r="R41" s="23"/>
      <c r="S41" s="4"/>
      <c r="T41" s="4"/>
      <c r="U41" s="4"/>
      <c r="V41" s="4"/>
      <c r="W41" s="12"/>
      <c r="X41" s="24"/>
      <c r="Y41" s="24"/>
      <c r="Z41" s="12"/>
      <c r="AA41" s="13"/>
      <c r="AB41" s="13"/>
      <c r="AC41" s="12"/>
      <c r="AD41" s="13"/>
      <c r="AE41" s="13"/>
      <c r="AF41" s="13"/>
      <c r="AG41" s="12"/>
    </row>
    <row r="42" customFormat="false" ht="13.5" hidden="false" customHeight="false" outlineLevel="0" collapsed="false">
      <c r="A42" s="6" t="n">
        <v>40</v>
      </c>
      <c r="B42" s="9" t="n">
        <f aca="false">IF(ISNUMBER(A42),
    IF(AND(A42=INT(A42), MOD(A42, 10) = 0), 0,
        IF(AND(A42=INT(A42), LEN(A42)=2), 1,
            IF(AND(A42=INT(A42), LEN(A42)=3), 2,
                LEN(A42) - FIND(".", A42) + 2)
        )
    ),
"")</f>
        <v>0</v>
      </c>
      <c r="C42" s="37" t="s">
        <v>399</v>
      </c>
      <c r="D42" s="10" t="str">
        <f aca="false">REPT("   ", B42*2) &amp; C42</f>
        <v>Capitalized training costs</v>
      </c>
      <c r="E42" s="10"/>
      <c r="F42" s="10"/>
      <c r="G42" s="111"/>
      <c r="H42" s="10"/>
      <c r="I42" s="10"/>
      <c r="J42" s="161"/>
      <c r="K42" s="27"/>
      <c r="L42" s="4"/>
      <c r="M42" s="4"/>
      <c r="N42" s="4"/>
      <c r="O42" s="4"/>
      <c r="P42" s="28"/>
      <c r="Q42" s="28"/>
      <c r="R42" s="4"/>
      <c r="S42" s="4"/>
      <c r="T42" s="4"/>
      <c r="U42" s="4"/>
      <c r="V42" s="4"/>
      <c r="W42" s="12"/>
      <c r="X42" s="24"/>
      <c r="Y42" s="24"/>
      <c r="Z42" s="12"/>
      <c r="AA42" s="13"/>
      <c r="AB42" s="13"/>
      <c r="AC42" s="12"/>
      <c r="AD42" s="13"/>
      <c r="AE42" s="13"/>
      <c r="AF42" s="13"/>
      <c r="AG42" s="12"/>
    </row>
    <row r="43" customFormat="false" ht="13.5" hidden="false" customHeight="false" outlineLevel="0" collapsed="false">
      <c r="A43" s="6" t="n">
        <v>41</v>
      </c>
      <c r="B43" s="9" t="n">
        <f aca="false">IF(ISNUMBER(A43),
    IF(AND(A43=INT(A43), MOD(A43, 10) = 0), 0,
        IF(AND(A43=INT(A43), LEN(A43)=2), 1,
            IF(AND(A43=INT(A43), LEN(A43)=3), 2,
                LEN(A43) - FIND(".", A43) + 2)
        )
    ),
"")</f>
        <v>1</v>
      </c>
      <c r="C43" s="37" t="s">
        <v>400</v>
      </c>
      <c r="D43" s="10" t="str">
        <f aca="false">REPT("   ", B43*2) &amp; C43</f>
        <v>      staff recruitment and training</v>
      </c>
      <c r="E43" s="10" t="s">
        <v>35</v>
      </c>
      <c r="F43" s="10" t="s">
        <v>630</v>
      </c>
      <c r="G43" s="111" t="n">
        <v>1</v>
      </c>
      <c r="H43" s="10"/>
      <c r="I43" s="10"/>
      <c r="J43" s="113" t="n">
        <v>300000</v>
      </c>
      <c r="K43" s="42"/>
      <c r="L43" s="23"/>
      <c r="M43" s="26"/>
      <c r="N43" s="23"/>
      <c r="O43" s="23"/>
      <c r="P43" s="20"/>
      <c r="Q43" s="20" t="n">
        <v>2024</v>
      </c>
      <c r="R43" s="23" t="s">
        <v>53</v>
      </c>
      <c r="S43" s="26"/>
      <c r="T43" s="23"/>
      <c r="U43" s="23"/>
      <c r="V43" s="23"/>
      <c r="W43" s="12" t="s">
        <v>43</v>
      </c>
      <c r="X43" s="24" t="n">
        <f aca="false">0.9*$J43</f>
        <v>270000</v>
      </c>
      <c r="Y43" s="24" t="n">
        <f aca="false">1.5*J43</f>
        <v>450000</v>
      </c>
      <c r="Z43" s="12" t="s">
        <v>44</v>
      </c>
      <c r="AA43" s="13" t="n">
        <f aca="false">0.9*K43</f>
        <v>0</v>
      </c>
      <c r="AB43" s="13" t="n">
        <f aca="false">1.3*K43</f>
        <v>0</v>
      </c>
      <c r="AC43" s="12" t="s">
        <v>44</v>
      </c>
      <c r="AD43" s="13" t="s">
        <v>45</v>
      </c>
      <c r="AE43" s="13" t="s">
        <v>46</v>
      </c>
      <c r="AF43" s="13" t="s">
        <v>47</v>
      </c>
      <c r="AG43" s="12" t="s">
        <v>48</v>
      </c>
    </row>
    <row r="44" customFormat="false" ht="13.5" hidden="false" customHeight="false" outlineLevel="0" collapsed="false">
      <c r="A44" s="4" t="n">
        <v>60</v>
      </c>
      <c r="B44" s="9" t="n">
        <f aca="false">IF(ISNUMBER(A44),
    IF(AND(A44=INT(A44), MOD(A44, 10) = 0), 0,
        IF(AND(A44=INT(A44), LEN(A44)=2), 1,
            IF(AND(A44=INT(A44), LEN(A44)=3), 2,
                LEN(A44) - FIND(".", A44) + 2)
        )
    ),
"")</f>
        <v>0</v>
      </c>
      <c r="C44" s="37" t="s">
        <v>403</v>
      </c>
      <c r="D44" s="10" t="str">
        <f aca="false">REPT("   ", B44*2) &amp; C44</f>
        <v>Capitalized Financial Costs </v>
      </c>
      <c r="E44" s="10"/>
      <c r="F44" s="10"/>
      <c r="G44" s="111"/>
      <c r="H44" s="10"/>
      <c r="I44" s="10"/>
      <c r="J44" s="112"/>
      <c r="K44" s="11"/>
      <c r="L44" s="9"/>
      <c r="M44" s="5"/>
      <c r="N44" s="9"/>
      <c r="O44" s="9"/>
      <c r="P44" s="11"/>
      <c r="Q44" s="11"/>
      <c r="R44" s="9"/>
      <c r="S44" s="5"/>
      <c r="T44" s="9"/>
      <c r="U44" s="9"/>
      <c r="V44" s="9"/>
      <c r="W44" s="12"/>
      <c r="X44" s="24"/>
      <c r="Y44" s="24"/>
      <c r="Z44" s="12"/>
      <c r="AA44" s="13"/>
      <c r="AB44" s="13"/>
      <c r="AC44" s="12"/>
      <c r="AD44" s="13"/>
      <c r="AE44" s="13"/>
      <c r="AF44" s="13"/>
      <c r="AG44" s="12"/>
    </row>
    <row r="45" customFormat="false" ht="13.5" hidden="false" customHeight="false" outlineLevel="0" collapsed="false">
      <c r="A45" s="6" t="n">
        <v>62</v>
      </c>
      <c r="B45" s="9" t="n">
        <f aca="false">IF(ISNUMBER(A45),
    IF(AND(A45=INT(A45), MOD(A45, 10) = 0), 0,
        IF(AND(A45=INT(A45), LEN(A45)=2), 1,
            IF(AND(A45=INT(A45), LEN(A45)=3), 2,
                LEN(A45) - FIND(".", A45) + 2)
        )
    ),
"")</f>
        <v>1</v>
      </c>
      <c r="C45" s="37" t="s">
        <v>404</v>
      </c>
      <c r="D45" s="10" t="str">
        <f aca="false">REPT("   ", B45*2) &amp; C45</f>
        <v>      Interest</v>
      </c>
      <c r="E45" s="10"/>
      <c r="F45" s="10"/>
      <c r="G45" s="111"/>
      <c r="H45" s="10"/>
      <c r="I45" s="10"/>
      <c r="J45" s="113"/>
      <c r="K45" s="42"/>
      <c r="L45" s="23"/>
      <c r="M45" s="26"/>
      <c r="N45" s="23"/>
      <c r="O45" s="23"/>
      <c r="P45" s="20"/>
      <c r="Q45" s="20"/>
      <c r="R45" s="23"/>
      <c r="S45" s="26"/>
      <c r="T45" s="23"/>
      <c r="U45" s="23"/>
      <c r="V45" s="23"/>
      <c r="W45" s="12"/>
      <c r="X45" s="24"/>
      <c r="Y45" s="24"/>
      <c r="Z45" s="12"/>
      <c r="AA45" s="13"/>
      <c r="AB45" s="13"/>
      <c r="AC45" s="12"/>
      <c r="AD45" s="13"/>
      <c r="AE45" s="13"/>
      <c r="AF45" s="13"/>
      <c r="AG45" s="12"/>
    </row>
    <row r="46" customFormat="false" ht="13.5" hidden="false" customHeight="false" outlineLevel="0" collapsed="false">
      <c r="A46" s="6" t="n">
        <v>70</v>
      </c>
      <c r="B46" s="9" t="n">
        <f aca="false">IF(ISNUMBER(A46),
    IF(AND(A46=INT(A46), MOD(A46, 10) = 0), 0,
        IF(AND(A46=INT(A46), LEN(A46)=2), 1,
            IF(AND(A46=INT(A46), LEN(A46)=3), 2,
                LEN(A46) - FIND(".", A46) + 2)
        )
    ),
"")</f>
        <v>0</v>
      </c>
      <c r="C46" s="63" t="s">
        <v>405</v>
      </c>
      <c r="D46" s="10" t="str">
        <f aca="false">REPT("   ", B46*2) &amp; C46</f>
        <v>Annualized O&amp;M Cost </v>
      </c>
      <c r="E46" s="10"/>
      <c r="F46" s="10"/>
      <c r="G46" s="111"/>
      <c r="H46" s="10"/>
      <c r="I46" s="10"/>
      <c r="J46" s="113"/>
      <c r="K46" s="42"/>
      <c r="L46" s="23"/>
      <c r="M46" s="26"/>
      <c r="N46" s="23"/>
      <c r="O46" s="23"/>
      <c r="P46" s="20"/>
      <c r="Q46" s="20"/>
      <c r="R46" s="23"/>
      <c r="S46" s="26"/>
      <c r="T46" s="26"/>
      <c r="U46" s="23"/>
      <c r="V46" s="23"/>
      <c r="W46" s="12"/>
      <c r="X46" s="24"/>
      <c r="Y46" s="24"/>
      <c r="Z46" s="12"/>
      <c r="AA46" s="13"/>
      <c r="AB46" s="13"/>
      <c r="AC46" s="12"/>
      <c r="AD46" s="13"/>
      <c r="AE46" s="13"/>
      <c r="AF46" s="13"/>
      <c r="AG46" s="12"/>
    </row>
    <row r="47" customFormat="false" ht="13.5" hidden="false" customHeight="false" outlineLevel="0" collapsed="false">
      <c r="A47" s="6" t="n">
        <v>71</v>
      </c>
      <c r="B47" s="9" t="n">
        <f aca="false">IF(ISNUMBER(A47),
    IF(AND(A47=INT(A47), MOD(A47, 10) = 0), 0,
        IF(AND(A47=INT(A47), LEN(A47)=2), 1,
            IF(AND(A47=INT(A47), LEN(A47)=3), 2,
                LEN(A47) - FIND(".", A47) + 2)
        )
    ),
"")</f>
        <v>1</v>
      </c>
      <c r="C47" s="37" t="s">
        <v>406</v>
      </c>
      <c r="D47" s="10" t="str">
        <f aca="false">REPT("   ", B47*2) &amp; C47</f>
        <v>      O&amp;M Staff</v>
      </c>
      <c r="E47" s="10"/>
      <c r="F47" s="10"/>
      <c r="G47" s="111"/>
      <c r="H47" s="10"/>
      <c r="I47" s="10"/>
      <c r="J47" s="113"/>
      <c r="K47" s="42"/>
      <c r="L47" s="23"/>
      <c r="M47" s="26"/>
      <c r="N47" s="23"/>
      <c r="O47" s="23"/>
      <c r="P47" s="20"/>
      <c r="Q47" s="20"/>
      <c r="R47" s="23"/>
      <c r="S47" s="26"/>
      <c r="T47" s="26"/>
      <c r="U47" s="23"/>
      <c r="V47" s="23"/>
      <c r="W47" s="12"/>
      <c r="X47" s="24"/>
      <c r="Y47" s="24"/>
      <c r="Z47" s="12"/>
      <c r="AA47" s="13"/>
      <c r="AB47" s="13"/>
      <c r="AC47" s="12"/>
      <c r="AD47" s="13"/>
      <c r="AE47" s="13"/>
      <c r="AF47" s="13"/>
      <c r="AG47" s="12"/>
    </row>
    <row r="48" customFormat="false" ht="68.65" hidden="false" customHeight="false" outlineLevel="0" collapsed="false">
      <c r="A48" s="30" t="n">
        <v>711</v>
      </c>
      <c r="B48" s="9" t="n">
        <f aca="false">IF(ISNUMBER(A48),
    IF(AND(A48=INT(A48), MOD(A48, 10) = 0), 0,
        IF(AND(A48=INT(A48), LEN(A48)=2), 1,
            IF(AND(A48=INT(A48), LEN(A48)=3), 2,
                LEN(A48) - FIND(".", A48) + 2)
        )
    ),
"")</f>
        <v>2</v>
      </c>
      <c r="C48" s="37" t="s">
        <v>689</v>
      </c>
      <c r="D48" s="10" t="str">
        <f aca="false">REPT("   ", B48*2) &amp; C48</f>
        <v>            Operators (Testing Only)</v>
      </c>
      <c r="E48" s="10" t="s">
        <v>290</v>
      </c>
      <c r="F48" s="10"/>
      <c r="G48" s="111"/>
      <c r="H48" s="10"/>
      <c r="I48" s="10"/>
      <c r="J48" s="113"/>
      <c r="K48" s="42" t="n">
        <v>178500</v>
      </c>
      <c r="L48" s="23" t="s">
        <v>408</v>
      </c>
      <c r="M48" s="26" t="s">
        <v>690</v>
      </c>
      <c r="N48" s="23"/>
      <c r="O48" s="23"/>
      <c r="P48" s="20" t="n">
        <v>1</v>
      </c>
      <c r="Q48" s="20" t="n">
        <v>2024</v>
      </c>
      <c r="R48" s="23" t="s">
        <v>53</v>
      </c>
      <c r="S48" s="26"/>
      <c r="T48" s="26" t="s">
        <v>410</v>
      </c>
      <c r="U48" s="23"/>
      <c r="V48" s="23"/>
      <c r="W48" s="12" t="s">
        <v>43</v>
      </c>
      <c r="X48" s="24" t="n">
        <f aca="false">0.9*$J48</f>
        <v>0</v>
      </c>
      <c r="Y48" s="24" t="n">
        <f aca="false">1.5*J48</f>
        <v>0</v>
      </c>
      <c r="Z48" s="12" t="s">
        <v>44</v>
      </c>
      <c r="AA48" s="13" t="n">
        <f aca="false">0.9*K48</f>
        <v>160650</v>
      </c>
      <c r="AB48" s="13" t="n">
        <f aca="false">1.3*K48</f>
        <v>232050</v>
      </c>
      <c r="AC48" s="12" t="s">
        <v>44</v>
      </c>
      <c r="AD48" s="13" t="s">
        <v>45</v>
      </c>
      <c r="AE48" s="13" t="s">
        <v>46</v>
      </c>
      <c r="AF48" s="13" t="s">
        <v>47</v>
      </c>
      <c r="AG48" s="12" t="s">
        <v>48</v>
      </c>
    </row>
    <row r="49" customFormat="false" ht="57.45" hidden="false" customHeight="false" outlineLevel="0" collapsed="false">
      <c r="A49" s="30" t="n">
        <v>712</v>
      </c>
      <c r="B49" s="9" t="n">
        <f aca="false">IF(ISNUMBER(A49),
    IF(AND(A49=INT(A49), MOD(A49, 10) = 0), 0,
        IF(AND(A49=INT(A49), LEN(A49)=2), 1,
            IF(AND(A49=INT(A49), LEN(A49)=3), 2,
                LEN(A49) - FIND(".", A49) + 2)
        )
    ),
"")</f>
        <v>2</v>
      </c>
      <c r="C49" s="37" t="s">
        <v>691</v>
      </c>
      <c r="D49" s="10" t="str">
        <f aca="false">REPT("   ", B49*2) &amp; C49</f>
        <v>            Warehouse Staff</v>
      </c>
      <c r="E49" s="10" t="s">
        <v>290</v>
      </c>
      <c r="F49" s="10"/>
      <c r="G49" s="111"/>
      <c r="H49" s="10"/>
      <c r="I49" s="10"/>
      <c r="J49" s="113"/>
      <c r="K49" s="42" t="n">
        <v>113000</v>
      </c>
      <c r="L49" s="23" t="s">
        <v>408</v>
      </c>
      <c r="M49" s="26" t="s">
        <v>692</v>
      </c>
      <c r="N49" s="23"/>
      <c r="O49" s="23"/>
      <c r="P49" s="23" t="n">
        <v>1</v>
      </c>
      <c r="Q49" s="20" t="n">
        <v>2024</v>
      </c>
      <c r="R49" s="23" t="s">
        <v>53</v>
      </c>
      <c r="S49" s="26" t="s">
        <v>693</v>
      </c>
      <c r="T49" s="26" t="s">
        <v>694</v>
      </c>
      <c r="U49" s="23"/>
      <c r="V49" s="23"/>
      <c r="W49" s="12" t="s">
        <v>43</v>
      </c>
      <c r="X49" s="24" t="n">
        <f aca="false">0.9*$J49</f>
        <v>0</v>
      </c>
      <c r="Y49" s="24" t="n">
        <f aca="false">1.5*J49</f>
        <v>0</v>
      </c>
      <c r="Z49" s="12" t="s">
        <v>44</v>
      </c>
      <c r="AA49" s="13" t="n">
        <f aca="false">0.9*K49</f>
        <v>101700</v>
      </c>
      <c r="AB49" s="13" t="n">
        <f aca="false">1.3*K49</f>
        <v>146900</v>
      </c>
      <c r="AC49" s="12" t="s">
        <v>44</v>
      </c>
      <c r="AD49" s="13" t="s">
        <v>45</v>
      </c>
      <c r="AE49" s="13" t="s">
        <v>46</v>
      </c>
      <c r="AF49" s="13" t="s">
        <v>47</v>
      </c>
      <c r="AG49" s="12" t="s">
        <v>48</v>
      </c>
    </row>
    <row r="50" customFormat="false" ht="68.65" hidden="false" customHeight="false" outlineLevel="0" collapsed="false">
      <c r="A50" s="30" t="n">
        <v>713</v>
      </c>
      <c r="B50" s="9" t="n">
        <f aca="false">IF(ISNUMBER(A50),
    IF(AND(A50=INT(A50), MOD(A50, 10) = 0), 0,
        IF(AND(A50=INT(A50), LEN(A50)=2), 1,
            IF(AND(A50=INT(A50), LEN(A50)=3), 2,
                LEN(A50) - FIND(".", A50) + 2)
        )
    ),
"")</f>
        <v>2</v>
      </c>
      <c r="C50" s="37" t="s">
        <v>415</v>
      </c>
      <c r="D50" s="10" t="str">
        <f aca="false">REPT("   ", B50*2) &amp; C50</f>
        <v>            Security Staff </v>
      </c>
      <c r="E50" s="10" t="s">
        <v>290</v>
      </c>
      <c r="F50" s="10"/>
      <c r="G50" s="111"/>
      <c r="H50" s="10"/>
      <c r="I50" s="10"/>
      <c r="J50" s="113"/>
      <c r="K50" s="42" t="n">
        <v>178500</v>
      </c>
      <c r="L50" s="23" t="s">
        <v>408</v>
      </c>
      <c r="M50" s="26" t="s">
        <v>695</v>
      </c>
      <c r="N50" s="23"/>
      <c r="O50" s="23"/>
      <c r="P50" s="23" t="n">
        <v>1</v>
      </c>
      <c r="Q50" s="20" t="n">
        <v>2024</v>
      </c>
      <c r="R50" s="23" t="s">
        <v>53</v>
      </c>
      <c r="S50" s="26"/>
      <c r="T50" s="26" t="s">
        <v>410</v>
      </c>
      <c r="U50" s="174"/>
      <c r="V50" s="23"/>
      <c r="W50" s="12" t="s">
        <v>43</v>
      </c>
      <c r="X50" s="24" t="n">
        <f aca="false">0.9*$J50</f>
        <v>0</v>
      </c>
      <c r="Y50" s="24" t="n">
        <f aca="false">1.5*J50</f>
        <v>0</v>
      </c>
      <c r="Z50" s="12" t="s">
        <v>44</v>
      </c>
      <c r="AA50" s="13" t="n">
        <f aca="false">0.9*K50</f>
        <v>160650</v>
      </c>
      <c r="AB50" s="13" t="n">
        <f aca="false">1.3*K50</f>
        <v>232050</v>
      </c>
      <c r="AC50" s="12" t="s">
        <v>44</v>
      </c>
      <c r="AD50" s="13" t="s">
        <v>45</v>
      </c>
      <c r="AE50" s="13" t="s">
        <v>46</v>
      </c>
      <c r="AF50" s="13" t="s">
        <v>47</v>
      </c>
      <c r="AG50" s="12" t="s">
        <v>48</v>
      </c>
    </row>
    <row r="51" customFormat="false" ht="68.65" hidden="false" customHeight="false" outlineLevel="0" collapsed="false">
      <c r="A51" s="30" t="n">
        <v>714</v>
      </c>
      <c r="B51" s="9" t="n">
        <f aca="false">IF(ISNUMBER(A51),
    IF(AND(A51=INT(A51), MOD(A51, 10) = 0), 0,
        IF(AND(A51=INT(A51), LEN(A51)=2), 1,
            IF(AND(A51=INT(A51), LEN(A51)=3), 2,
                LEN(A51) - FIND(".", A51) + 2)
        )
    ),
"")</f>
        <v>2</v>
      </c>
      <c r="C51" s="37" t="s">
        <v>696</v>
      </c>
      <c r="D51" s="10" t="str">
        <f aca="false">REPT("   ", B51*2) &amp; C51</f>
        <v>            Maintenance Staff</v>
      </c>
      <c r="E51" s="10" t="s">
        <v>290</v>
      </c>
      <c r="F51" s="10"/>
      <c r="G51" s="111"/>
      <c r="H51" s="10"/>
      <c r="I51" s="10"/>
      <c r="J51" s="113"/>
      <c r="K51" s="42" t="n">
        <v>178500</v>
      </c>
      <c r="L51" s="23" t="s">
        <v>408</v>
      </c>
      <c r="M51" s="26" t="s">
        <v>697</v>
      </c>
      <c r="N51" s="23"/>
      <c r="O51" s="23"/>
      <c r="P51" s="23" t="n">
        <v>1</v>
      </c>
      <c r="Q51" s="20" t="n">
        <v>2024</v>
      </c>
      <c r="R51" s="23" t="s">
        <v>53</v>
      </c>
      <c r="S51" s="26"/>
      <c r="T51" s="26" t="s">
        <v>410</v>
      </c>
      <c r="U51" s="174"/>
      <c r="V51" s="23"/>
      <c r="W51" s="12" t="s">
        <v>43</v>
      </c>
      <c r="X51" s="24" t="n">
        <f aca="false">0.9*$J51</f>
        <v>0</v>
      </c>
      <c r="Y51" s="24" t="n">
        <f aca="false">1.5*J51</f>
        <v>0</v>
      </c>
      <c r="Z51" s="12" t="s">
        <v>44</v>
      </c>
      <c r="AA51" s="13" t="n">
        <f aca="false">0.9*K51</f>
        <v>160650</v>
      </c>
      <c r="AB51" s="13" t="n">
        <f aca="false">1.3*K51</f>
        <v>232050</v>
      </c>
      <c r="AC51" s="12" t="s">
        <v>44</v>
      </c>
      <c r="AD51" s="13" t="s">
        <v>45</v>
      </c>
      <c r="AE51" s="13" t="s">
        <v>46</v>
      </c>
      <c r="AF51" s="13" t="s">
        <v>47</v>
      </c>
      <c r="AG51" s="12" t="s">
        <v>48</v>
      </c>
    </row>
    <row r="52" customFormat="false" ht="35.05" hidden="false" customHeight="false" outlineLevel="0" collapsed="false">
      <c r="A52" s="30" t="n">
        <v>715</v>
      </c>
      <c r="B52" s="9" t="n">
        <f aca="false">IF(ISNUMBER(A52),
    IF(AND(A52=INT(A52), MOD(A52, 10) = 0), 0,
        IF(AND(A52=INT(A52), LEN(A52)=2), 1,
            IF(AND(A52=INT(A52), LEN(A52)=3), 2,
                LEN(A52) - FIND(".", A52) + 2)
        )
    ),
"")</f>
        <v>2</v>
      </c>
      <c r="C52" s="37" t="s">
        <v>698</v>
      </c>
      <c r="D52" s="10" t="str">
        <f aca="false">REPT("   ", B52*2) &amp; C52</f>
        <v>            Engineering Staff (Testing Only)</v>
      </c>
      <c r="E52" s="10" t="s">
        <v>290</v>
      </c>
      <c r="F52" s="10"/>
      <c r="G52" s="111"/>
      <c r="H52" s="10"/>
      <c r="I52" s="10"/>
      <c r="J52" s="113"/>
      <c r="K52" s="42" t="n">
        <v>200000</v>
      </c>
      <c r="L52" s="23" t="s">
        <v>408</v>
      </c>
      <c r="M52" s="175" t="s">
        <v>699</v>
      </c>
      <c r="N52" s="23"/>
      <c r="O52" s="23"/>
      <c r="P52" s="23"/>
      <c r="Q52" s="20" t="n">
        <v>2024</v>
      </c>
      <c r="R52" s="23" t="s">
        <v>53</v>
      </c>
      <c r="S52" s="26"/>
      <c r="T52" s="26"/>
      <c r="U52" s="174"/>
      <c r="V52" s="23"/>
      <c r="W52" s="12" t="s">
        <v>43</v>
      </c>
      <c r="X52" s="24" t="n">
        <f aca="false">0.9*$J52</f>
        <v>0</v>
      </c>
      <c r="Y52" s="24" t="n">
        <f aca="false">1.5*J52</f>
        <v>0</v>
      </c>
      <c r="Z52" s="12" t="s">
        <v>44</v>
      </c>
      <c r="AA52" s="13" t="n">
        <f aca="false">0.9*K52</f>
        <v>180000</v>
      </c>
      <c r="AB52" s="13" t="n">
        <f aca="false">1.3*K52</f>
        <v>260000</v>
      </c>
      <c r="AC52" s="12" t="s">
        <v>44</v>
      </c>
      <c r="AD52" s="13" t="s">
        <v>45</v>
      </c>
      <c r="AE52" s="13" t="s">
        <v>46</v>
      </c>
      <c r="AF52" s="13" t="s">
        <v>47</v>
      </c>
      <c r="AG52" s="12" t="s">
        <v>48</v>
      </c>
    </row>
    <row r="53" customFormat="false" ht="13.8" hidden="false" customHeight="false" outlineLevel="0" collapsed="false">
      <c r="A53" s="30" t="n">
        <v>716</v>
      </c>
      <c r="B53" s="9" t="n">
        <f aca="false">IF(ISNUMBER(A53),
    IF(AND(A53=INT(A53), MOD(A53, 10) = 0), 0,
        IF(AND(A53=INT(A53), LEN(A53)=2), 1,
            IF(AND(A53=INT(A53), LEN(A53)=3), 2,
                LEN(A53) - FIND(".", A53) + 2)
        )
    ),
"")</f>
        <v>2</v>
      </c>
      <c r="C53" s="37" t="s">
        <v>700</v>
      </c>
      <c r="D53" s="10" t="str">
        <f aca="false">REPT("   ", B53*2) &amp; C53</f>
        <v>            Continuing Education and Staff Retraining</v>
      </c>
      <c r="E53" s="10"/>
      <c r="F53" s="10"/>
      <c r="G53" s="111"/>
      <c r="H53" s="10"/>
      <c r="I53" s="10"/>
      <c r="J53" s="173"/>
      <c r="K53" s="42"/>
      <c r="L53" s="23"/>
      <c r="M53" s="26"/>
      <c r="N53" s="23"/>
      <c r="O53" s="23"/>
      <c r="P53" s="23"/>
      <c r="Q53" s="20"/>
      <c r="R53" s="23" t="s">
        <v>53</v>
      </c>
      <c r="S53" s="26"/>
      <c r="T53" s="26"/>
      <c r="U53" s="174"/>
      <c r="V53" s="23"/>
      <c r="W53" s="12" t="s">
        <v>43</v>
      </c>
      <c r="X53" s="24" t="n">
        <f aca="false">0.9*$J53</f>
        <v>0</v>
      </c>
      <c r="Y53" s="24" t="n">
        <f aca="false">1.5*J53</f>
        <v>0</v>
      </c>
      <c r="Z53" s="12" t="s">
        <v>44</v>
      </c>
      <c r="AA53" s="13" t="n">
        <f aca="false">0.9*K53</f>
        <v>0</v>
      </c>
      <c r="AB53" s="13" t="n">
        <f aca="false">1.3*K53</f>
        <v>0</v>
      </c>
      <c r="AC53" s="12" t="s">
        <v>44</v>
      </c>
      <c r="AD53" s="13" t="s">
        <v>45</v>
      </c>
      <c r="AE53" s="13" t="s">
        <v>46</v>
      </c>
      <c r="AF53" s="13" t="s">
        <v>47</v>
      </c>
      <c r="AG53" s="12" t="s">
        <v>48</v>
      </c>
    </row>
    <row r="54" customFormat="false" ht="13.8" hidden="false" customHeight="false" outlineLevel="0" collapsed="false">
      <c r="A54" s="30" t="n">
        <v>717</v>
      </c>
      <c r="B54" s="9" t="n">
        <f aca="false">IF(ISNUMBER(A54),
    IF(AND(A54=INT(A54), MOD(A54, 10) = 0), 0,
        IF(AND(A54=INT(A54), LEN(A54)=2), 1,
            IF(AND(A54=INT(A54), LEN(A54)=3), 2,
                LEN(A54) - FIND(".", A54) + 2)
        )
    ),
"")</f>
        <v>2</v>
      </c>
      <c r="C54" s="37" t="s">
        <v>701</v>
      </c>
      <c r="D54" s="10" t="str">
        <f aca="false">REPT("   ", B54*2) &amp; C54</f>
        <v>            Management Staff</v>
      </c>
      <c r="E54" s="10"/>
      <c r="F54" s="10"/>
      <c r="G54" s="111"/>
      <c r="H54" s="10"/>
      <c r="I54" s="10"/>
      <c r="J54" s="173"/>
      <c r="K54" s="176"/>
      <c r="L54" s="65"/>
      <c r="M54" s="60"/>
      <c r="N54" s="23"/>
      <c r="O54" s="23"/>
      <c r="P54" s="65"/>
      <c r="Q54" s="177"/>
      <c r="R54" s="65" t="s">
        <v>53</v>
      </c>
      <c r="S54" s="60"/>
      <c r="T54" s="60"/>
      <c r="U54" s="174"/>
      <c r="V54" s="23"/>
      <c r="W54" s="12" t="s">
        <v>43</v>
      </c>
      <c r="X54" s="24" t="n">
        <f aca="false">0.9*$J54</f>
        <v>0</v>
      </c>
      <c r="Y54" s="24" t="n">
        <f aca="false">1.5*J54</f>
        <v>0</v>
      </c>
      <c r="Z54" s="12" t="s">
        <v>44</v>
      </c>
      <c r="AA54" s="13" t="n">
        <f aca="false">0.9*K54</f>
        <v>0</v>
      </c>
      <c r="AB54" s="13" t="n">
        <f aca="false">1.3*K54</f>
        <v>0</v>
      </c>
      <c r="AC54" s="12" t="s">
        <v>44</v>
      </c>
      <c r="AD54" s="13" t="s">
        <v>45</v>
      </c>
      <c r="AE54" s="13" t="s">
        <v>46</v>
      </c>
      <c r="AF54" s="13" t="s">
        <v>47</v>
      </c>
      <c r="AG54" s="12" t="s">
        <v>48</v>
      </c>
    </row>
    <row r="55" customFormat="false" ht="13.8" hidden="false" customHeight="false" outlineLevel="0" collapsed="false">
      <c r="A55" s="30" t="n">
        <v>718</v>
      </c>
      <c r="B55" s="9" t="n">
        <f aca="false">IF(ISNUMBER(A55),
    IF(AND(A55=INT(A55), MOD(A55, 10) = 0), 0,
        IF(AND(A55=INT(A55), LEN(A55)=2), 1,
            IF(AND(A55=INT(A55), LEN(A55)=3), 2,
                LEN(A55) - FIND(".", A55) + 2)
        )
    ),
"")</f>
        <v>2</v>
      </c>
      <c r="C55" s="37" t="s">
        <v>702</v>
      </c>
      <c r="D55" s="10" t="str">
        <f aca="false">REPT("   ", B55*2) &amp; C55</f>
        <v>            Manfuacturing Building Staff</v>
      </c>
      <c r="E55" s="10" t="s">
        <v>35</v>
      </c>
      <c r="F55" s="10"/>
      <c r="G55" s="111"/>
      <c r="H55" s="10"/>
      <c r="I55" s="10"/>
      <c r="J55" s="173"/>
      <c r="K55" s="42" t="n">
        <v>2838754.373533</v>
      </c>
      <c r="L55" s="23" t="s">
        <v>301</v>
      </c>
      <c r="M55" s="26" t="s">
        <v>648</v>
      </c>
      <c r="N55" s="23" t="n">
        <v>1</v>
      </c>
      <c r="O55" s="23" t="s">
        <v>649</v>
      </c>
      <c r="P55" s="23" t="n">
        <v>0.147041</v>
      </c>
      <c r="Q55" s="20" t="n">
        <v>2025</v>
      </c>
      <c r="R55" s="23" t="s">
        <v>53</v>
      </c>
      <c r="S55" s="26"/>
      <c r="T55" s="26"/>
      <c r="U55" s="174"/>
      <c r="V55" s="23"/>
      <c r="W55" s="12" t="s">
        <v>43</v>
      </c>
      <c r="X55" s="24" t="n">
        <f aca="false">0.9*$J55</f>
        <v>0</v>
      </c>
      <c r="Y55" s="24" t="n">
        <f aca="false">1.5*J55</f>
        <v>0</v>
      </c>
      <c r="Z55" s="12" t="s">
        <v>44</v>
      </c>
      <c r="AA55" s="13" t="n">
        <f aca="false">0.9*K55</f>
        <v>2554878.9361797</v>
      </c>
      <c r="AB55" s="13" t="n">
        <f aca="false">1.3*K55</f>
        <v>3690380.6855929</v>
      </c>
      <c r="AC55" s="12" t="s">
        <v>44</v>
      </c>
      <c r="AD55" s="13" t="s">
        <v>45</v>
      </c>
      <c r="AE55" s="13" t="s">
        <v>46</v>
      </c>
      <c r="AF55" s="13" t="s">
        <v>47</v>
      </c>
      <c r="AG55" s="12" t="s">
        <v>48</v>
      </c>
    </row>
    <row r="56" customFormat="false" ht="13.8" hidden="false" customHeight="false" outlineLevel="0" collapsed="false">
      <c r="A56" s="30" t="n">
        <v>719</v>
      </c>
      <c r="B56" s="9" t="n">
        <f aca="false">IF(ISNUMBER(A56),
    IF(AND(A56=INT(A56), MOD(A56, 10) = 0), 0,
        IF(AND(A56=INT(A56), LEN(A56)=2), 1,
            IF(AND(A56=INT(A56), LEN(A56)=3), 2,
                LEN(A56) - FIND(".", A56) + 2)
        )
    ),
"")</f>
        <v>2</v>
      </c>
      <c r="C56" s="37" t="s">
        <v>703</v>
      </c>
      <c r="D56" s="10" t="str">
        <f aca="false">REPT("   ", B56*2) &amp; C56</f>
        <v>            Fueling Building Staff</v>
      </c>
      <c r="E56" s="10" t="s">
        <v>35</v>
      </c>
      <c r="F56" s="10"/>
      <c r="G56" s="111"/>
      <c r="H56" s="10"/>
      <c r="I56" s="10"/>
      <c r="J56" s="173"/>
      <c r="K56" s="42" t="n">
        <v>699358.857477</v>
      </c>
      <c r="L56" s="23" t="s">
        <v>301</v>
      </c>
      <c r="M56" s="26" t="s">
        <v>648</v>
      </c>
      <c r="N56" s="23" t="n">
        <v>1</v>
      </c>
      <c r="O56" s="23" t="s">
        <v>649</v>
      </c>
      <c r="P56" s="23" t="n">
        <v>0.29939</v>
      </c>
      <c r="Q56" s="20" t="n">
        <v>2025</v>
      </c>
      <c r="R56" s="23" t="s">
        <v>53</v>
      </c>
      <c r="S56" s="26"/>
      <c r="T56" s="26"/>
      <c r="U56" s="174"/>
      <c r="V56" s="23"/>
      <c r="W56" s="12" t="s">
        <v>43</v>
      </c>
      <c r="X56" s="24" t="n">
        <f aca="false">0.9*$J56</f>
        <v>0</v>
      </c>
      <c r="Y56" s="24" t="n">
        <f aca="false">1.5*J56</f>
        <v>0</v>
      </c>
      <c r="Z56" s="12" t="s">
        <v>44</v>
      </c>
      <c r="AA56" s="13" t="n">
        <f aca="false">0.9*K56</f>
        <v>629422.9717293</v>
      </c>
      <c r="AB56" s="13" t="n">
        <f aca="false">1.3*K56</f>
        <v>909166.5147201</v>
      </c>
      <c r="AC56" s="12" t="s">
        <v>44</v>
      </c>
      <c r="AD56" s="13" t="s">
        <v>45</v>
      </c>
      <c r="AE56" s="13" t="s">
        <v>46</v>
      </c>
      <c r="AF56" s="13" t="s">
        <v>47</v>
      </c>
      <c r="AG56" s="12" t="s">
        <v>48</v>
      </c>
    </row>
    <row r="57" customFormat="false" ht="13.8" hidden="false" customHeight="false" outlineLevel="0" collapsed="false">
      <c r="A57" s="6" t="n">
        <v>74</v>
      </c>
      <c r="B57" s="9" t="n">
        <f aca="false">IF(ISNUMBER(A57),
    IF(AND(A57=INT(A57), MOD(A57, 10) = 0), 0,
        IF(AND(A57=INT(A57), LEN(A57)=2), 1,
            IF(AND(A57=INT(A57), LEN(A57)=3), 2,
                LEN(A57) - FIND(".", A57) + 2)
        )
    ),
"")</f>
        <v>1</v>
      </c>
      <c r="C57" s="37" t="s">
        <v>704</v>
      </c>
      <c r="D57" s="10" t="str">
        <f aca="false">REPT("   ", B57*2) &amp; C57</f>
        <v>      Fixed O&amp;M Utilities and Materials </v>
      </c>
      <c r="E57" s="10"/>
      <c r="F57" s="10"/>
      <c r="G57" s="111"/>
      <c r="H57" s="10"/>
      <c r="I57" s="10"/>
      <c r="J57" s="113"/>
      <c r="K57" s="42"/>
      <c r="L57" s="23"/>
      <c r="M57" s="26"/>
      <c r="N57" s="23"/>
      <c r="O57" s="23"/>
      <c r="P57" s="20"/>
      <c r="Q57" s="20"/>
      <c r="R57" s="23"/>
      <c r="S57" s="26"/>
      <c r="T57" s="44"/>
      <c r="U57" s="174"/>
      <c r="V57" s="23"/>
      <c r="W57" s="12"/>
      <c r="X57" s="24"/>
      <c r="Y57" s="24"/>
      <c r="Z57" s="12"/>
      <c r="AA57" s="13"/>
      <c r="AB57" s="13"/>
      <c r="AC57" s="12"/>
      <c r="AD57" s="13"/>
      <c r="AE57" s="13"/>
      <c r="AF57" s="13"/>
      <c r="AG57" s="12"/>
    </row>
    <row r="58" customFormat="false" ht="23.85" hidden="false" customHeight="false" outlineLevel="0" collapsed="false">
      <c r="A58" s="6" t="n">
        <v>741</v>
      </c>
      <c r="B58" s="9" t="n">
        <f aca="false">IF(ISNUMBER(A58),
    IF(AND(A58=INT(A58), MOD(A58, 10) = 0), 0,
        IF(AND(A58=INT(A58), LEN(A58)=2), 1,
            IF(AND(A58=INT(A58), LEN(A58)=3), 2,
                LEN(A58) - FIND(".", A58) + 2)
        )
    ),
"")</f>
        <v>2</v>
      </c>
      <c r="C58" s="37" t="s">
        <v>705</v>
      </c>
      <c r="D58" s="10" t="str">
        <f aca="false">REPT("   ", B58*2) &amp; C58</f>
        <v>            Operating Chemicals and Lubricants (Except Manufacturing and Fueling)</v>
      </c>
      <c r="E58" s="10"/>
      <c r="F58" s="10"/>
      <c r="G58" s="111"/>
      <c r="H58" s="10"/>
      <c r="I58" s="10"/>
      <c r="J58" s="173"/>
      <c r="K58" s="42"/>
      <c r="L58" s="23"/>
      <c r="M58" s="26"/>
      <c r="N58" s="23"/>
      <c r="O58" s="23"/>
      <c r="P58" s="20"/>
      <c r="Q58" s="20"/>
      <c r="R58" s="23"/>
      <c r="S58" s="26"/>
      <c r="T58" s="44"/>
      <c r="U58" s="174"/>
      <c r="V58" s="23"/>
      <c r="W58" s="12" t="s">
        <v>43</v>
      </c>
      <c r="X58" s="24" t="n">
        <f aca="false">0.9*$J58</f>
        <v>0</v>
      </c>
      <c r="Y58" s="24" t="n">
        <f aca="false">1.5*J58</f>
        <v>0</v>
      </c>
      <c r="Z58" s="12" t="s">
        <v>44</v>
      </c>
      <c r="AA58" s="13" t="n">
        <f aca="false">0.9*K58</f>
        <v>0</v>
      </c>
      <c r="AB58" s="13" t="n">
        <f aca="false">1.3*K58</f>
        <v>0</v>
      </c>
      <c r="AC58" s="12" t="s">
        <v>44</v>
      </c>
      <c r="AD58" s="13" t="s">
        <v>45</v>
      </c>
      <c r="AE58" s="13" t="s">
        <v>46</v>
      </c>
      <c r="AF58" s="13" t="s">
        <v>47</v>
      </c>
      <c r="AG58" s="12" t="s">
        <v>48</v>
      </c>
    </row>
    <row r="59" customFormat="false" ht="23.85" hidden="false" customHeight="false" outlineLevel="0" collapsed="false">
      <c r="A59" s="6" t="n">
        <v>742</v>
      </c>
      <c r="B59" s="9" t="n">
        <f aca="false">IF(ISNUMBER(A59),
    IF(AND(A59=INT(A59), MOD(A59, 10) = 0), 0,
        IF(AND(A59=INT(A59), LEN(A59)=2), 1,
            IF(AND(A59=INT(A59), LEN(A59)=3), 2,
                LEN(A59) - FIND(".", A59) + 2)
        )
    ),
"")</f>
        <v>2</v>
      </c>
      <c r="C59" s="37" t="s">
        <v>706</v>
      </c>
      <c r="D59" s="10" t="str">
        <f aca="false">REPT("   ", B59*2) &amp; C59</f>
        <v>            Spare Parts (Except Manufacturing and Fueling)</v>
      </c>
      <c r="E59" s="10"/>
      <c r="F59" s="10"/>
      <c r="G59" s="111"/>
      <c r="H59" s="10"/>
      <c r="I59" s="10"/>
      <c r="J59" s="173"/>
      <c r="K59" s="42"/>
      <c r="L59" s="23"/>
      <c r="M59" s="26"/>
      <c r="N59" s="23"/>
      <c r="O59" s="23"/>
      <c r="P59" s="20"/>
      <c r="Q59" s="20"/>
      <c r="R59" s="23"/>
      <c r="S59" s="26"/>
      <c r="T59" s="44"/>
      <c r="U59" s="174"/>
      <c r="V59" s="23"/>
      <c r="W59" s="12" t="s">
        <v>43</v>
      </c>
      <c r="X59" s="24" t="n">
        <f aca="false">0.9*$J59</f>
        <v>0</v>
      </c>
      <c r="Y59" s="24" t="n">
        <f aca="false">1.5*J59</f>
        <v>0</v>
      </c>
      <c r="Z59" s="12" t="s">
        <v>44</v>
      </c>
      <c r="AA59" s="13" t="n">
        <f aca="false">0.9*K59</f>
        <v>0</v>
      </c>
      <c r="AB59" s="13" t="n">
        <f aca="false">1.3*K59</f>
        <v>0</v>
      </c>
      <c r="AC59" s="12" t="s">
        <v>44</v>
      </c>
      <c r="AD59" s="13" t="s">
        <v>45</v>
      </c>
      <c r="AE59" s="13" t="s">
        <v>46</v>
      </c>
      <c r="AF59" s="13" t="s">
        <v>47</v>
      </c>
      <c r="AG59" s="12" t="s">
        <v>48</v>
      </c>
    </row>
    <row r="60" customFormat="false" ht="23.85" hidden="false" customHeight="false" outlineLevel="0" collapsed="false">
      <c r="A60" s="6" t="n">
        <v>743</v>
      </c>
      <c r="B60" s="9" t="n">
        <f aca="false">IF(ISNUMBER(A60),
    IF(AND(A60=INT(A60), MOD(A60, 10) = 0), 0,
        IF(AND(A60=INT(A60), LEN(A60)=2), 1,
            IF(AND(A60=INT(A60), LEN(A60)=3), 2,
                LEN(A60) - FIND(".", A60) + 2)
        )
    ),
"")</f>
        <v>2</v>
      </c>
      <c r="C60" s="37" t="s">
        <v>707</v>
      </c>
      <c r="D60" s="10" t="str">
        <f aca="false">REPT("   ", B60*2) &amp; C60</f>
        <v>            Utilities except electricity, Supplies, and Consumables</v>
      </c>
      <c r="E60" s="10"/>
      <c r="F60" s="10"/>
      <c r="G60" s="111"/>
      <c r="H60" s="10"/>
      <c r="I60" s="10"/>
      <c r="J60" s="173"/>
      <c r="K60" s="42"/>
      <c r="L60" s="23"/>
      <c r="M60" s="26"/>
      <c r="N60" s="23"/>
      <c r="O60" s="23"/>
      <c r="P60" s="20"/>
      <c r="Q60" s="20"/>
      <c r="R60" s="23"/>
      <c r="S60" s="26"/>
      <c r="T60" s="44"/>
      <c r="U60" s="174"/>
      <c r="V60" s="23"/>
      <c r="W60" s="12" t="s">
        <v>43</v>
      </c>
      <c r="X60" s="24" t="n">
        <f aca="false">0.9*$J60</f>
        <v>0</v>
      </c>
      <c r="Y60" s="24" t="n">
        <f aca="false">1.5*J60</f>
        <v>0</v>
      </c>
      <c r="Z60" s="12" t="s">
        <v>44</v>
      </c>
      <c r="AA60" s="13" t="n">
        <f aca="false">0.9*K60</f>
        <v>0</v>
      </c>
      <c r="AB60" s="13" t="n">
        <f aca="false">1.3*K60</f>
        <v>0</v>
      </c>
      <c r="AC60" s="12" t="s">
        <v>44</v>
      </c>
      <c r="AD60" s="13" t="s">
        <v>45</v>
      </c>
      <c r="AE60" s="13" t="s">
        <v>46</v>
      </c>
      <c r="AF60" s="13" t="s">
        <v>47</v>
      </c>
      <c r="AG60" s="12" t="s">
        <v>48</v>
      </c>
    </row>
    <row r="61" customFormat="false" ht="13.8" hidden="false" customHeight="false" outlineLevel="0" collapsed="false">
      <c r="A61" s="6" t="n">
        <v>744</v>
      </c>
      <c r="B61" s="9" t="n">
        <f aca="false">IF(ISNUMBER(A61),
    IF(AND(A61=INT(A61), MOD(A61, 10) = 0), 0,
        IF(AND(A61=INT(A61), LEN(A61)=2), 1,
            IF(AND(A61=INT(A61), LEN(A61)=3), 2,
                LEN(A61) - FIND(".", A61) + 2)
        )
    ),
"")</f>
        <v>2</v>
      </c>
      <c r="C61" s="37" t="s">
        <v>708</v>
      </c>
      <c r="D61" s="10" t="str">
        <f aca="false">REPT("   ", B61*2) &amp; C61</f>
        <v>            Electricity</v>
      </c>
      <c r="E61" s="10" t="s">
        <v>290</v>
      </c>
      <c r="F61" s="10" t="s">
        <v>630</v>
      </c>
      <c r="G61" s="111" t="n">
        <v>1</v>
      </c>
      <c r="H61" s="10"/>
      <c r="I61" s="10"/>
      <c r="J61" s="113"/>
      <c r="K61" s="42" t="n">
        <v>90</v>
      </c>
      <c r="L61" s="23" t="s">
        <v>450</v>
      </c>
      <c r="M61" s="175" t="s">
        <v>633</v>
      </c>
      <c r="N61" s="23"/>
      <c r="O61" s="23"/>
      <c r="P61" s="20" t="n">
        <v>1</v>
      </c>
      <c r="Q61" s="20" t="n">
        <v>2025</v>
      </c>
      <c r="R61" s="23" t="s">
        <v>39</v>
      </c>
      <c r="S61" s="26"/>
      <c r="T61" s="44"/>
      <c r="U61" s="174"/>
      <c r="V61" s="23"/>
      <c r="W61" s="12" t="s">
        <v>43</v>
      </c>
      <c r="X61" s="24" t="n">
        <f aca="false">0.9*$J61</f>
        <v>0</v>
      </c>
      <c r="Y61" s="24" t="n">
        <f aca="false">1.5*J61</f>
        <v>0</v>
      </c>
      <c r="Z61" s="12" t="s">
        <v>44</v>
      </c>
      <c r="AA61" s="13" t="n">
        <f aca="false">0.9*K61</f>
        <v>81</v>
      </c>
      <c r="AB61" s="13" t="n">
        <f aca="false">1.3*K61</f>
        <v>117</v>
      </c>
      <c r="AC61" s="12" t="s">
        <v>44</v>
      </c>
      <c r="AD61" s="13" t="s">
        <v>45</v>
      </c>
      <c r="AE61" s="13" t="s">
        <v>46</v>
      </c>
      <c r="AF61" s="13" t="s">
        <v>47</v>
      </c>
      <c r="AG61" s="12" t="s">
        <v>48</v>
      </c>
    </row>
    <row r="62" customFormat="false" ht="13.8" hidden="false" customHeight="false" outlineLevel="0" collapsed="false">
      <c r="A62" s="6" t="n">
        <v>745</v>
      </c>
      <c r="B62" s="9" t="n">
        <f aca="false">IF(ISNUMBER(A62),
    IF(AND(A62=INT(A62), MOD(A62, 10) = 0), 0,
        IF(AND(A62=INT(A62), LEN(A62)=2), 1,
            IF(AND(A62=INT(A62), LEN(A62)=3), 2,
                LEN(A62) - FIND(".", A62) + 2)
        )
    ),
"")</f>
        <v>2</v>
      </c>
      <c r="C62" s="37" t="s">
        <v>709</v>
      </c>
      <c r="D62" s="10" t="str">
        <f aca="false">REPT("   ", B62*2) &amp; C62</f>
        <v>            Manufacturing Building Equipment</v>
      </c>
      <c r="E62" s="10" t="s">
        <v>35</v>
      </c>
      <c r="F62" s="10"/>
      <c r="G62" s="111"/>
      <c r="H62" s="10"/>
      <c r="I62" s="10"/>
      <c r="J62" s="113"/>
      <c r="K62" s="42" t="n">
        <v>405910.193404</v>
      </c>
      <c r="L62" s="23" t="s">
        <v>301</v>
      </c>
      <c r="M62" s="175" t="s">
        <v>648</v>
      </c>
      <c r="N62" s="23" t="n">
        <v>1</v>
      </c>
      <c r="O62" s="23" t="s">
        <v>649</v>
      </c>
      <c r="P62" s="20" t="n">
        <v>0.126887</v>
      </c>
      <c r="Q62" s="20" t="n">
        <v>2025</v>
      </c>
      <c r="R62" s="23" t="s">
        <v>163</v>
      </c>
      <c r="S62" s="26"/>
      <c r="T62" s="44"/>
      <c r="U62" s="174"/>
      <c r="V62" s="23"/>
      <c r="W62" s="12" t="s">
        <v>43</v>
      </c>
      <c r="X62" s="24" t="n">
        <f aca="false">0.9*$J62</f>
        <v>0</v>
      </c>
      <c r="Y62" s="24" t="n">
        <f aca="false">1.5*J62</f>
        <v>0</v>
      </c>
      <c r="Z62" s="12" t="s">
        <v>44</v>
      </c>
      <c r="AA62" s="13" t="n">
        <f aca="false">0.9*K62</f>
        <v>365319.1740636</v>
      </c>
      <c r="AB62" s="13" t="n">
        <f aca="false">1.3*K62</f>
        <v>527683.2514252</v>
      </c>
      <c r="AC62" s="12" t="s">
        <v>44</v>
      </c>
      <c r="AD62" s="13" t="s">
        <v>45</v>
      </c>
      <c r="AE62" s="13" t="s">
        <v>46</v>
      </c>
      <c r="AF62" s="13" t="s">
        <v>47</v>
      </c>
      <c r="AG62" s="12" t="s">
        <v>48</v>
      </c>
    </row>
    <row r="63" customFormat="false" ht="13.8" hidden="false" customHeight="false" outlineLevel="0" collapsed="false">
      <c r="A63" s="6" t="n">
        <v>746</v>
      </c>
      <c r="B63" s="9" t="n">
        <f aca="false">IF(ISNUMBER(A63),
    IF(AND(A63=INT(A63), MOD(A63, 10) = 0), 0,
        IF(AND(A63=INT(A63), LEN(A63)=2), 1,
            IF(AND(A63=INT(A63), LEN(A63)=3), 2,
                LEN(A63) - FIND(".", A63) + 2)
        )
    ),
"")</f>
        <v>2</v>
      </c>
      <c r="C63" s="37" t="s">
        <v>710</v>
      </c>
      <c r="D63" s="10" t="str">
        <f aca="false">REPT("   ", B63*2) &amp; C63</f>
        <v>            Fueling Building Equipment</v>
      </c>
      <c r="E63" s="10" t="s">
        <v>35</v>
      </c>
      <c r="F63" s="10"/>
      <c r="G63" s="111"/>
      <c r="H63" s="10"/>
      <c r="I63" s="10"/>
      <c r="J63" s="113"/>
      <c r="K63" s="42" t="n">
        <v>82100.29614</v>
      </c>
      <c r="L63" s="23" t="s">
        <v>301</v>
      </c>
      <c r="M63" s="175" t="s">
        <v>648</v>
      </c>
      <c r="N63" s="23" t="n">
        <v>1</v>
      </c>
      <c r="O63" s="23" t="s">
        <v>649</v>
      </c>
      <c r="P63" s="20" t="n">
        <v>0.159548</v>
      </c>
      <c r="Q63" s="20" t="n">
        <v>2025</v>
      </c>
      <c r="R63" s="23" t="s">
        <v>163</v>
      </c>
      <c r="S63" s="26"/>
      <c r="T63" s="44"/>
      <c r="U63" s="174"/>
      <c r="V63" s="23"/>
      <c r="W63" s="12" t="s">
        <v>43</v>
      </c>
      <c r="X63" s="24" t="n">
        <f aca="false">0.9*$J63</f>
        <v>0</v>
      </c>
      <c r="Y63" s="24" t="n">
        <f aca="false">1.5*J63</f>
        <v>0</v>
      </c>
      <c r="Z63" s="12" t="s">
        <v>44</v>
      </c>
      <c r="AA63" s="13" t="n">
        <f aca="false">0.9*K63</f>
        <v>73890.266526</v>
      </c>
      <c r="AB63" s="13" t="n">
        <f aca="false">1.3*K63</f>
        <v>106730.384982</v>
      </c>
      <c r="AC63" s="12" t="s">
        <v>44</v>
      </c>
      <c r="AD63" s="13" t="s">
        <v>45</v>
      </c>
      <c r="AE63" s="13" t="s">
        <v>46</v>
      </c>
      <c r="AF63" s="13" t="s">
        <v>47</v>
      </c>
      <c r="AG63" s="12" t="s">
        <v>48</v>
      </c>
    </row>
    <row r="64" customFormat="false" ht="13.8" hidden="false" customHeight="false" outlineLevel="0" collapsed="false">
      <c r="A64" s="6" t="n">
        <v>747</v>
      </c>
      <c r="B64" s="9" t="n">
        <f aca="false">IF(ISNUMBER(A64),
    IF(AND(A64=INT(A64), MOD(A64, 10) = 0), 0,
        IF(AND(A64=INT(A64), LEN(A64)=2), 1,
            IF(AND(A64=INT(A64), LEN(A64)=3), 2,
                LEN(A64) - FIND(".", A64) + 2)
        )
    ),
"")</f>
        <v>2</v>
      </c>
      <c r="C64" s="37" t="s">
        <v>711</v>
      </c>
      <c r="D64" s="10" t="str">
        <f aca="false">REPT("   ", B64*2) &amp; C64</f>
        <v>            Other annual costs</v>
      </c>
      <c r="E64" s="10"/>
      <c r="F64" s="10"/>
      <c r="G64" s="111"/>
      <c r="H64" s="10"/>
      <c r="I64" s="10"/>
      <c r="J64" s="113"/>
      <c r="K64" s="42"/>
      <c r="L64" s="23"/>
      <c r="M64" s="175"/>
      <c r="N64" s="23"/>
      <c r="O64" s="23"/>
      <c r="P64" s="20"/>
      <c r="Q64" s="20"/>
      <c r="R64" s="23"/>
      <c r="S64" s="26"/>
      <c r="T64" s="44"/>
      <c r="U64" s="174"/>
      <c r="V64" s="23"/>
      <c r="W64" s="12" t="s">
        <v>43</v>
      </c>
      <c r="X64" s="24" t="n">
        <f aca="false">0.9*$J64</f>
        <v>0</v>
      </c>
      <c r="Y64" s="24" t="n">
        <f aca="false">1.5*J64</f>
        <v>0</v>
      </c>
      <c r="Z64" s="12" t="s">
        <v>44</v>
      </c>
      <c r="AA64" s="13" t="n">
        <f aca="false">0.9*K64</f>
        <v>0</v>
      </c>
      <c r="AB64" s="13" t="n">
        <f aca="false">1.3*K64</f>
        <v>0</v>
      </c>
      <c r="AC64" s="12" t="s">
        <v>44</v>
      </c>
      <c r="AD64" s="13" t="s">
        <v>45</v>
      </c>
      <c r="AE64" s="13" t="s">
        <v>46</v>
      </c>
      <c r="AF64" s="13" t="s">
        <v>47</v>
      </c>
      <c r="AG64" s="12" t="s">
        <v>48</v>
      </c>
    </row>
    <row r="65" customFormat="false" ht="13.8" hidden="false" customHeight="false" outlineLevel="0" collapsed="false">
      <c r="A65" s="6" t="n">
        <v>747.1</v>
      </c>
      <c r="B65" s="9" t="n">
        <f aca="false">IF(ISNUMBER(A65),
    IF(AND(A65=INT(A65), MOD(A65, 10) = 0), 0,
        IF(AND(A65=INT(A65), LEN(A65)=2), 1,
            IF(AND(A65=INT(A65), LEN(A65)=3), 2,
                LEN(A65) - FIND(".", A65) + 2)
        )
    ),
"")</f>
        <v>3</v>
      </c>
      <c r="C65" s="37" t="s">
        <v>712</v>
      </c>
      <c r="D65" s="10" t="str">
        <f aca="false">REPT("   ", B65*2) &amp; C65</f>
        <v>                  Annualized Transportation Costs</v>
      </c>
      <c r="E65" s="10"/>
      <c r="F65" s="10"/>
      <c r="G65" s="111"/>
      <c r="H65" s="10"/>
      <c r="I65" s="10"/>
      <c r="J65" s="173"/>
      <c r="K65" s="42"/>
      <c r="L65" s="23"/>
      <c r="M65" s="26"/>
      <c r="N65" s="23"/>
      <c r="O65" s="23"/>
      <c r="P65" s="20"/>
      <c r="Q65" s="20"/>
      <c r="R65" s="23"/>
      <c r="S65" s="26"/>
      <c r="T65" s="44"/>
      <c r="U65" s="174"/>
      <c r="V65" s="23"/>
      <c r="W65" s="12"/>
      <c r="X65" s="24" t="n">
        <f aca="false">0.8*$I65</f>
        <v>0</v>
      </c>
      <c r="Y65" s="24" t="n">
        <f aca="false">2*J65</f>
        <v>0</v>
      </c>
      <c r="Z65" s="12" t="s">
        <v>44</v>
      </c>
      <c r="AA65" s="13" t="n">
        <f aca="false">0.8*K65</f>
        <v>0</v>
      </c>
      <c r="AB65" s="13" t="n">
        <f aca="false">2*K65</f>
        <v>0</v>
      </c>
      <c r="AC65" s="12" t="s">
        <v>44</v>
      </c>
      <c r="AD65" s="13" t="s">
        <v>45</v>
      </c>
      <c r="AE65" s="13" t="s">
        <v>46</v>
      </c>
      <c r="AF65" s="13" t="s">
        <v>47</v>
      </c>
      <c r="AG65" s="12" t="s">
        <v>48</v>
      </c>
    </row>
    <row r="66" customFormat="false" ht="46.25" hidden="false" customHeight="false" outlineLevel="0" collapsed="false">
      <c r="A66" s="6" t="n">
        <v>747.3</v>
      </c>
      <c r="B66" s="9" t="n">
        <f aca="false">IF(ISNUMBER(A66),
    IF(AND(A66=INT(A66), MOD(A66, 10) = 0), 0,
        IF(AND(A66=INT(A66), LEN(A66)=2), 1,
            IF(AND(A66=INT(A66), LEN(A66)=3), 2,
                LEN(A66) - FIND(".", A66) + 2)
        )
    ),
"")</f>
        <v>3</v>
      </c>
      <c r="C66" s="37" t="s">
        <v>713</v>
      </c>
      <c r="D66" s="10" t="str">
        <f aca="false">REPT("   ", B66*2) &amp; C66</f>
        <v>                  Annualized Helium Replenishment</v>
      </c>
      <c r="E66" s="10" t="s">
        <v>35</v>
      </c>
      <c r="F66" s="175" t="s">
        <v>648</v>
      </c>
      <c r="G66" s="111" t="n">
        <v>1</v>
      </c>
      <c r="H66" s="10"/>
      <c r="I66" s="10"/>
      <c r="J66" s="113"/>
      <c r="K66" s="42" t="n">
        <v>170</v>
      </c>
      <c r="L66" s="23" t="s">
        <v>196</v>
      </c>
      <c r="M66" s="175" t="s">
        <v>714</v>
      </c>
      <c r="N66" s="23"/>
      <c r="O66" s="23" t="s">
        <v>198</v>
      </c>
      <c r="P66" s="20"/>
      <c r="Q66" s="20" t="n">
        <v>2024</v>
      </c>
      <c r="R66" s="23" t="s">
        <v>163</v>
      </c>
      <c r="S66" s="178" t="s">
        <v>327</v>
      </c>
      <c r="T66" s="179" t="s">
        <v>327</v>
      </c>
      <c r="U66" s="174" t="s">
        <v>328</v>
      </c>
      <c r="V66" s="23" t="s">
        <v>329</v>
      </c>
      <c r="W66" s="12" t="s">
        <v>43</v>
      </c>
      <c r="X66" s="24" t="n">
        <v>0</v>
      </c>
      <c r="Y66" s="24" t="n">
        <v>0</v>
      </c>
      <c r="Z66" s="12" t="s">
        <v>44</v>
      </c>
      <c r="AA66" s="13" t="n">
        <f aca="false">0.9*K66</f>
        <v>153</v>
      </c>
      <c r="AB66" s="13" t="n">
        <f aca="false">1.3*K66</f>
        <v>221</v>
      </c>
      <c r="AC66" s="12" t="s">
        <v>44</v>
      </c>
      <c r="AD66" s="13" t="s">
        <v>45</v>
      </c>
      <c r="AE66" s="13" t="s">
        <v>46</v>
      </c>
      <c r="AF66" s="13" t="s">
        <v>47</v>
      </c>
      <c r="AG66" s="12" t="s">
        <v>48</v>
      </c>
    </row>
    <row r="67" customFormat="false" ht="13.8" hidden="false" customHeight="false" outlineLevel="0" collapsed="false">
      <c r="A67" s="6" t="n">
        <v>747.4</v>
      </c>
      <c r="B67" s="9" t="n">
        <f aca="false">IF(ISNUMBER(A67),
    IF(AND(A67=INT(A67), MOD(A67, 10) = 0), 0,
        IF(AND(A67=INT(A67), LEN(A67)=2), 1,
            IF(AND(A67=INT(A67), LEN(A67)=3), 2,
                LEN(A67) - FIND(".", A67) + 2)
        )
    ),
"")</f>
        <v>3</v>
      </c>
      <c r="C67" s="37" t="s">
        <v>715</v>
      </c>
      <c r="D67" s="10" t="str">
        <f aca="false">REPT("   ", B67*2) &amp; C67</f>
        <v>                  Annualized Other Supplies and Utilities</v>
      </c>
      <c r="E67" s="10"/>
      <c r="F67" s="10"/>
      <c r="G67" s="111"/>
      <c r="H67" s="10"/>
      <c r="I67" s="10"/>
      <c r="J67" s="173"/>
      <c r="K67" s="42"/>
      <c r="L67" s="23"/>
      <c r="M67" s="26"/>
      <c r="N67" s="23"/>
      <c r="O67" s="23"/>
      <c r="P67" s="20"/>
      <c r="Q67" s="20"/>
      <c r="R67" s="23"/>
      <c r="S67" s="26"/>
      <c r="T67" s="44"/>
      <c r="U67" s="174"/>
      <c r="V67" s="23"/>
      <c r="W67" s="12" t="s">
        <v>43</v>
      </c>
      <c r="X67" s="24"/>
      <c r="Y67" s="24"/>
      <c r="Z67" s="12" t="s">
        <v>44</v>
      </c>
      <c r="AA67" s="13" t="n">
        <f aca="false">0.9*K67</f>
        <v>0</v>
      </c>
      <c r="AB67" s="13" t="n">
        <f aca="false">1.3*K67</f>
        <v>0</v>
      </c>
      <c r="AC67" s="12" t="s">
        <v>44</v>
      </c>
      <c r="AD67" s="13" t="s">
        <v>45</v>
      </c>
      <c r="AE67" s="13" t="s">
        <v>46</v>
      </c>
      <c r="AF67" s="13" t="s">
        <v>47</v>
      </c>
      <c r="AG67" s="12" t="s">
        <v>48</v>
      </c>
    </row>
    <row r="68" customFormat="false" ht="13.5" hidden="false" customHeight="false" outlineLevel="0" collapsed="false">
      <c r="A68" s="6" t="n">
        <v>75</v>
      </c>
      <c r="B68" s="9" t="n">
        <f aca="false">IF(ISNUMBER(A68),
    IF(AND(A68=INT(A68), MOD(A68, 10) = 0), 0,
        IF(AND(A68=INT(A68), LEN(A68)=2), 1,
            IF(AND(A68=INT(A68), LEN(A68)=3), 2,
                LEN(A68) - FIND(".", A68) + 2)
        )
    ),
"")</f>
        <v>1</v>
      </c>
      <c r="C68" s="37" t="s">
        <v>424</v>
      </c>
      <c r="D68" s="10" t="str">
        <f aca="false">REPT("   ", B68*2) &amp; C68</f>
        <v>      Capital Plant Expenditures</v>
      </c>
      <c r="E68" s="10"/>
      <c r="F68" s="10"/>
      <c r="G68" s="180"/>
      <c r="H68" s="181"/>
      <c r="I68" s="181"/>
      <c r="J68" s="182"/>
      <c r="K68" s="183"/>
      <c r="L68" s="184"/>
      <c r="M68" s="184"/>
      <c r="N68" s="184"/>
      <c r="O68" s="184"/>
      <c r="P68" s="183"/>
      <c r="Q68" s="184"/>
      <c r="R68" s="184"/>
      <c r="S68" s="184"/>
      <c r="T68" s="184"/>
      <c r="U68" s="184"/>
      <c r="V68" s="184"/>
      <c r="W68" s="184"/>
      <c r="X68" s="183"/>
      <c r="Y68" s="183"/>
      <c r="Z68" s="184"/>
      <c r="AA68" s="183"/>
      <c r="AB68" s="183"/>
      <c r="AC68" s="184"/>
      <c r="AD68" s="183"/>
      <c r="AE68" s="183"/>
      <c r="AF68" s="183"/>
      <c r="AG68" s="184"/>
    </row>
    <row r="69" customFormat="false" ht="13.5" hidden="false" customHeight="false" outlineLevel="0" collapsed="false">
      <c r="A69" s="6" t="n">
        <v>78</v>
      </c>
      <c r="B69" s="9" t="n">
        <f aca="false">IF(ISNUMBER(A69),
    IF(AND(A69=INT(A69), MOD(A69, 10) = 0), 0,
        IF(AND(A69=INT(A69), LEN(A69)=2), 1,
            IF(AND(A69=INT(A69), LEN(A69)=3), 2,
                LEN(A69) - FIND(".", A69) + 2)
        )
    ),
"")</f>
        <v>1</v>
      </c>
      <c r="C69" s="37" t="s">
        <v>444</v>
      </c>
      <c r="D69" s="10" t="str">
        <f aca="false">REPT("   ", B69*2) &amp; C69</f>
        <v>      Annualized Decommissioning Cost</v>
      </c>
      <c r="E69" s="10"/>
      <c r="F69" s="10"/>
      <c r="G69" s="180"/>
      <c r="H69" s="181"/>
      <c r="I69" s="181"/>
      <c r="J69" s="182"/>
      <c r="K69" s="183"/>
      <c r="L69" s="184"/>
      <c r="M69" s="184"/>
      <c r="N69" s="184"/>
      <c r="O69" s="184"/>
      <c r="P69" s="183"/>
      <c r="Q69" s="184"/>
      <c r="R69" s="184"/>
      <c r="S69" s="184"/>
      <c r="T69" s="184"/>
      <c r="U69" s="184"/>
      <c r="V69" s="184"/>
      <c r="W69" s="184"/>
      <c r="X69" s="183"/>
      <c r="Y69" s="183"/>
      <c r="Z69" s="184"/>
      <c r="AA69" s="183"/>
      <c r="AB69" s="183"/>
      <c r="AC69" s="184"/>
      <c r="AD69" s="183"/>
      <c r="AE69" s="183"/>
      <c r="AF69" s="183"/>
      <c r="AG69" s="184"/>
    </row>
  </sheetData>
  <mergeCells count="7">
    <mergeCell ref="T3:T4"/>
    <mergeCell ref="U3:U4"/>
    <mergeCell ref="T5:T6"/>
    <mergeCell ref="U5:U6"/>
    <mergeCell ref="S11:S12"/>
    <mergeCell ref="T11:T12"/>
    <mergeCell ref="U11:U12"/>
  </mergeCells>
  <conditionalFormatting sqref="W58:AG64">
    <cfRule type="expression" priority="2" aboveAverage="0" equalAverage="0" bottom="0" percent="0" rank="0" text="" dxfId="317">
      <formula>$B58=0</formula>
    </cfRule>
  </conditionalFormatting>
  <conditionalFormatting sqref="A2:AG69">
    <cfRule type="expression" priority="3" aboveAverage="0" equalAverage="0" bottom="0" percent="0" rank="0" text="" dxfId="318">
      <formula>$B2=0</formula>
    </cfRule>
  </conditionalFormatting>
  <conditionalFormatting sqref="A19:C19">
    <cfRule type="expression" priority="4" aboveAverage="0" equalAverage="0" bottom="0" percent="0" rank="0" text="" dxfId="319">
      <formula>$B19&lt;2</formula>
    </cfRule>
    <cfRule type="expression" priority="5" aboveAverage="0" equalAverage="0" bottom="0" percent="0" rank="0" text="" dxfId="320">
      <formula>$B19=2</formula>
    </cfRule>
    <cfRule type="expression" priority="6" aboveAverage="0" equalAverage="0" bottom="0" percent="0" rank="0" text="" dxfId="321">
      <formula>$B19=3</formula>
    </cfRule>
  </conditionalFormatting>
  <conditionalFormatting sqref="S29:AG29">
    <cfRule type="expression" priority="7" aboveAverage="0" equalAverage="0" bottom="0" percent="0" rank="0" text="" dxfId="322">
      <formula>$B29&lt;2</formula>
    </cfRule>
    <cfRule type="expression" priority="8" aboveAverage="0" equalAverage="0" bottom="0" percent="0" rank="0" text="" dxfId="323">
      <formula>$B29=2</formula>
    </cfRule>
    <cfRule type="expression" priority="9" aboveAverage="0" equalAverage="0" bottom="0" percent="0" rank="0" text="" dxfId="324">
      <formula>$B29=3</formula>
    </cfRule>
  </conditionalFormatting>
  <conditionalFormatting sqref="J2:K26 J28:K48">
    <cfRule type="expression" priority="10" aboveAverage="0" equalAverage="0" bottom="0" percent="0" rank="0" text="" dxfId="325">
      <formula>AND(ISBLANK($J2),ISBLANK($K2),NOT(ISBLANK($E2)))</formula>
    </cfRule>
  </conditionalFormatting>
  <conditionalFormatting sqref="A15:V16 A20:AG26 A28:AG28 A29:R29 A30:AG48">
    <cfRule type="expression" priority="11" aboveAverage="0" equalAverage="0" bottom="0" percent="0" rank="0" text="" dxfId="326">
      <formula>$B15&lt;2</formula>
    </cfRule>
  </conditionalFormatting>
  <conditionalFormatting sqref="A15:P16 A20:AG26 A28:AG28 A29:R29 A30:AG48">
    <cfRule type="expression" priority="12" aboveAverage="0" equalAverage="0" bottom="0" percent="0" rank="0" text="" dxfId="327">
      <formula>$B15=2</formula>
    </cfRule>
  </conditionalFormatting>
  <conditionalFormatting sqref="A15:K16 A20:AG26 A28:AG28 A29:R29 A30:AG48">
    <cfRule type="expression" priority="13" aboveAverage="0" equalAverage="0" bottom="0" percent="0" rank="0" text="" dxfId="328">
      <formula>$B15=3</formula>
    </cfRule>
  </conditionalFormatting>
  <conditionalFormatting sqref="J27:V27">
    <cfRule type="expression" priority="14" aboveAverage="0" equalAverage="0" bottom="0" percent="0" rank="0" text="" dxfId="329">
      <formula>$B27=3</formula>
    </cfRule>
    <cfRule type="expression" priority="15" aboveAverage="0" equalAverage="0" bottom="0" percent="0" rank="0" text="" dxfId="330">
      <formula>$B27=2</formula>
    </cfRule>
    <cfRule type="expression" priority="16" aboveAverage="0" equalAverage="0" bottom="0" percent="0" rank="0" text="" dxfId="331">
      <formula>$B27&lt;2</formula>
    </cfRule>
  </conditionalFormatting>
  <conditionalFormatting sqref="J27:AG27">
    <cfRule type="expression" priority="17" aboveAverage="0" equalAverage="0" bottom="0" percent="0" rank="0" text="" dxfId="332">
      <formula>$B27=3</formula>
    </cfRule>
    <cfRule type="expression" priority="18" aboveAverage="0" equalAverage="0" bottom="0" percent="0" rank="0" text="" dxfId="333">
      <formula>$B27=2</formula>
    </cfRule>
  </conditionalFormatting>
  <conditionalFormatting sqref="A27:AG27">
    <cfRule type="expression" priority="19" aboveAverage="0" equalAverage="0" bottom="0" percent="0" rank="0" text="" dxfId="334">
      <formula>$B27&lt;2</formula>
    </cfRule>
  </conditionalFormatting>
  <conditionalFormatting sqref="M66">
    <cfRule type="expression" priority="20" aboveAverage="0" equalAverage="0" bottom="0" percent="0" rank="0" text="" dxfId="335">
      <formula>_xlfn.ISFORMULA(M66)</formula>
    </cfRule>
    <cfRule type="expression" priority="21" aboveAverage="0" equalAverage="0" bottom="0" percent="0" rank="0" text="" dxfId="336">
      <formula>$B66=3</formula>
    </cfRule>
    <cfRule type="expression" priority="22" aboveAverage="0" equalAverage="0" bottom="0" percent="0" rank="0" text="" dxfId="337">
      <formula>$B66=2</formula>
    </cfRule>
    <cfRule type="expression" priority="23" aboveAverage="0" equalAverage="0" bottom="0" percent="0" rank="0" text="" dxfId="338">
      <formula>$B66&lt;2</formula>
    </cfRule>
  </conditionalFormatting>
  <conditionalFormatting sqref="M61:M64">
    <cfRule type="expression" priority="24" aboveAverage="0" equalAverage="0" bottom="0" percent="0" rank="0" text="" dxfId="339">
      <formula>_xlfn.ISFORMULA(M61)</formula>
    </cfRule>
    <cfRule type="expression" priority="25" aboveAverage="0" equalAverage="0" bottom="0" percent="0" rank="0" text="" dxfId="340">
      <formula>$B61=3</formula>
    </cfRule>
    <cfRule type="expression" priority="26" aboveAverage="0" equalAverage="0" bottom="0" percent="0" rank="0" text="" dxfId="341">
      <formula>$B61=2</formula>
    </cfRule>
    <cfRule type="expression" priority="27" aboveAverage="0" equalAverage="0" bottom="0" percent="0" rank="0" text="" dxfId="342">
      <formula>$B61&lt;2</formula>
    </cfRule>
  </conditionalFormatting>
  <conditionalFormatting sqref="J1:Q1048576 F66">
    <cfRule type="expression" priority="28" aboveAverage="0" equalAverage="0" bottom="0" percent="0" rank="0" text="" dxfId="343">
      <formula>_xlfn.ISFORMULA(F1)</formula>
    </cfRule>
  </conditionalFormatting>
  <conditionalFormatting sqref="J53:J56">
    <cfRule type="expression" priority="29" aboveAverage="0" equalAverage="0" bottom="0" percent="0" rank="0" text="" dxfId="344">
      <formula>_xlfn.ISFORMULA(J53)</formula>
    </cfRule>
    <cfRule type="expression" priority="30" aboveAverage="0" equalAverage="0" bottom="0" percent="0" rank="0" text="" dxfId="345">
      <formula>$B53=0</formula>
    </cfRule>
  </conditionalFormatting>
  <conditionalFormatting sqref="P49:T56">
    <cfRule type="expression" priority="31" aboveAverage="0" equalAverage="0" bottom="0" percent="0" rank="0" text="" dxfId="346">
      <formula>$B49=3</formula>
    </cfRule>
    <cfRule type="expression" priority="32" aboveAverage="0" equalAverage="0" bottom="0" percent="0" rank="0" text="" dxfId="347">
      <formula>$B49=2</formula>
    </cfRule>
    <cfRule type="expression" priority="33" aboveAverage="0" equalAverage="0" bottom="0" percent="0" rank="0" text="" dxfId="348">
      <formula>$B49&lt;2</formula>
    </cfRule>
  </conditionalFormatting>
  <conditionalFormatting sqref="K51:L56">
    <cfRule type="expression" priority="34" aboveAverage="0" equalAverage="0" bottom="0" percent="0" rank="0" text="" dxfId="349">
      <formula>$B51=0</formula>
    </cfRule>
    <cfRule type="expression" priority="35" aboveAverage="0" equalAverage="0" bottom="0" percent="0" rank="0" text="" dxfId="350">
      <formula>$B51=3</formula>
    </cfRule>
    <cfRule type="expression" priority="36" aboveAverage="0" equalAverage="0" bottom="0" percent="0" rank="0" text="" dxfId="351">
      <formula>$B51=2</formula>
    </cfRule>
    <cfRule type="expression" priority="37" aboveAverage="0" equalAverage="0" bottom="0" percent="0" rank="0" text="" dxfId="352">
      <formula>$B51&lt;2</formula>
    </cfRule>
  </conditionalFormatting>
  <conditionalFormatting sqref="K49:L50">
    <cfRule type="expression" priority="38" aboveAverage="0" equalAverage="0" bottom="0" percent="0" rank="0" text="" dxfId="353">
      <formula>$B50=3</formula>
    </cfRule>
    <cfRule type="expression" priority="39" aboveAverage="0" equalAverage="0" bottom="0" percent="0" rank="0" text="" dxfId="354">
      <formula>$B50=2</formula>
    </cfRule>
    <cfRule type="expression" priority="40" aboveAverage="0" equalAverage="0" bottom="0" percent="0" rank="0" text="" dxfId="355">
      <formula>$B50&lt;2</formula>
    </cfRule>
    <cfRule type="expression" priority="41" aboveAverage="0" equalAverage="0" bottom="0" percent="0" rank="0" text="" dxfId="356">
      <formula>$B50=0</formula>
    </cfRule>
  </conditionalFormatting>
  <conditionalFormatting sqref="K49:M56">
    <cfRule type="expression" priority="42" aboveAverage="0" equalAverage="0" bottom="0" percent="0" rank="0" text="" dxfId="357">
      <formula>$B49=3</formula>
    </cfRule>
    <cfRule type="expression" priority="43" aboveAverage="0" equalAverage="0" bottom="0" percent="0" rank="0" text="" dxfId="358">
      <formula>$B49=2</formula>
    </cfRule>
  </conditionalFormatting>
  <conditionalFormatting sqref="K49:O56">
    <cfRule type="expression" priority="44" aboveAverage="0" equalAverage="0" bottom="0" percent="0" rank="0" text="" dxfId="359">
      <formula>$B49&lt;2</formula>
    </cfRule>
  </conditionalFormatting>
  <conditionalFormatting sqref="AD2:AG26 AD28:AG69">
    <cfRule type="expression" priority="45" aboveAverage="0" equalAverage="0" bottom="0" percent="0" rank="0" text="" dxfId="360">
      <formula>AND(ISBLANK($AD2),ISBLANK($AE2),ISBLANK($AF2),NOT(ISBLANK($E2)))</formula>
    </cfRule>
  </conditionalFormatting>
  <conditionalFormatting sqref="AA2:AC26 AA28:AC69">
    <cfRule type="expression" priority="46" aboveAverage="0" equalAverage="0" bottom="0" percent="0" rank="0" text="" dxfId="361">
      <formula>AND(ISBLANK($AA2),ISBLANK($AB2),ISBLANK($AC2),NOT(ISBLANK($E2)))</formula>
    </cfRule>
  </conditionalFormatting>
  <conditionalFormatting sqref="X2:Z26 X28:Z69">
    <cfRule type="expression" priority="47" aboveAverage="0" equalAverage="0" bottom="0" percent="0" rank="0" text="" dxfId="362">
      <formula>AND(ISBLANK($X2),ISBLANK($Y2),ISBLANK($Z2),NOT(ISBLANK($E2)))</formula>
    </cfRule>
  </conditionalFormatting>
  <conditionalFormatting sqref="J49:J56 J57:K69">
    <cfRule type="expression" priority="48" aboveAverage="0" equalAverage="0" bottom="0" percent="0" rank="0" text="" dxfId="363">
      <formula>AND(ISBLANK($J49),ISBLANK($K49),NOT(ISBLANK($E49)))</formula>
    </cfRule>
  </conditionalFormatting>
  <conditionalFormatting sqref="A49:J56 A57:AG69 A2:AG14 W15:AG16 A17:AG18 D19:AG19 U49:AG56">
    <cfRule type="expression" priority="49" aboveAverage="0" equalAverage="0" bottom="0" percent="0" rank="0" text="" dxfId="364">
      <formula>$B2&lt;2</formula>
    </cfRule>
  </conditionalFormatting>
  <conditionalFormatting sqref="A2:AG14 W15:AG16 A17:AG18 D19:AG19 A49:J56 U49:AG56 A57:AG69 N49:O56 A27:I27">
    <cfRule type="expression" priority="50" aboveAverage="0" equalAverage="0" bottom="0" percent="0" rank="0" text="" dxfId="365">
      <formula>$B2=2</formula>
    </cfRule>
  </conditionalFormatting>
  <conditionalFormatting sqref="A2:AG14 L15:AG16 A17:AG18 D19:AG19 A27:I27 A49:J56 N49:O56 U49:AG56 A57:AG69">
    <cfRule type="expression" priority="51" aboveAverage="0" equalAverage="0" bottom="0" percent="0" rank="0" text="" dxfId="366">
      <formula>$B2=3</formula>
    </cfRule>
  </conditionalFormatting>
  <conditionalFormatting sqref="Q15:V16">
    <cfRule type="expression" priority="52" aboveAverage="0" equalAverage="0" bottom="0" percent="0" rank="0" text="" dxfId="367">
      <formula>$B15=2</formula>
    </cfRule>
  </conditionalFormatting>
  <dataValidations count="12">
    <dataValidation allowBlank="true" errorStyle="stop" operator="between" showDropDown="false" showErrorMessage="true" showInputMessage="true" sqref="E2:E69" type="list">
      <formula1>"standard,nonstandard"</formula1>
      <formula2>0</formula2>
    </dataValidation>
    <dataValidation allowBlank="true" errorStyle="stop" operator="between" showDropDown="false" showErrorMessage="true" showInputMessage="true" sqref="R2:R67" type="list">
      <formula1>"NA,General,Labor,Material,Equipment,Lab and Mat and Equip,'Lab and Equip"</formula1>
      <formula2>0</formula2>
    </dataValidation>
    <dataValidation allowBlank="true" errorStyle="stop" operator="between" showDropDown="false" showErrorMessage="true" showInputMessage="true" sqref="O27" type="list">
      <formula1>"acres,MWe,m^3,MWt,Kg,Drums,kW,$,m^2,kg/s"</formula1>
      <formula2>0</formula2>
    </dataValidation>
    <dataValidation allowBlank="true" errorStyle="stop" operator="between" showDropDown="false" showErrorMessage="true" showInputMessage="true" sqref="O2:O26 O28:O69" type="list">
      <formula1>"acres,MWe,m^3,MWt,Kg,Drums,kW,$,m^2,kg/s,Rx/yr"</formula1>
      <formula2>0</formula2>
    </dataValidation>
    <dataValidation allowBlank="true" errorStyle="stop" operator="between" showDropDown="false" showErrorMessage="true" showInputMessage="true" sqref="P70:P221" type="whole">
      <formula1>0</formula1>
      <formula2>2</formula2>
    </dataValidation>
    <dataValidation allowBlank="true" errorStyle="stop" operator="between" showDropDown="false" showErrorMessage="true" showInputMessage="true" sqref="L1 L70:L1069" type="list">
      <formula1>"$/acres,$/MWe,$/m^3,$/MWt"</formula1>
      <formula2>0</formula2>
    </dataValidation>
    <dataValidation allowBlank="true" errorStyle="stop" operator="between" showDropDown="false" showErrorMessage="true" showInputMessage="true" sqref="M242:M252" type="list">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allowBlank="true" errorStyle="stop" operator="greaterThan" showDropDown="false" showErrorMessage="true" showInputMessage="true" sqref="N1:N68 K2:K9 K11:K19 K21:K67 N69:N1069" type="decimal">
      <formula1>0</formula1>
      <formula2>0</formula2>
    </dataValidation>
    <dataValidation allowBlank="true" errorStyle="stop" operator="between" showDropDown="false" showErrorMessage="true" showInputMessage="true" sqref="Q2:Q75 R68:R75" type="whole">
      <formula1>1950</formula1>
      <formula2>2025</formula2>
    </dataValidation>
    <dataValidation allowBlank="true" errorStyle="stop" operator="between" showDropDown="false" showErrorMessage="true" showInputMessage="true" sqref="L2:L26 L28:L48 L57:L69" type="list">
      <formula1>"$/m^2,$/MWeHour,$/FTE,$/acres,$/MWe,$/m^3,$/MWt,$/Kg,$/Drum,$/(kg.sec),$/SWU,unitless,$/kWe,$/m,$/ft,Rx/yr"</formula1>
      <formula2>0</formula2>
    </dataValidation>
    <dataValidation allowBlank="true" errorStyle="stop" operator="between" showDropDown="false" showErrorMessage="true" showInputMessage="true" sqref="L27 L49:L56" type="list">
      <formula1>"$/m^2,$/MWeHour,$/FTE,$/acres,$/MWe,$/m^3,$/MWt,$/Kg,$/Drum,$/(kg.sec),$/SWU,unitless,$/kWe"</formula1>
      <formula2>0</formula2>
    </dataValidation>
    <dataValidation allowBlank="true" errorStyle="stop" operator="between" showDropDown="false" showErrorMessage="true" showInputMessage="true" sqref="P27 P49:P56" type="decimal">
      <formula1>0</formula1>
      <formula2>2</formula2>
    </dataValidation>
  </dataValidations>
  <hyperlinks>
    <hyperlink ref="U3" r:id="rId2" display="https://inldigitallibrary.inl.gov/sites/sti/sti/Sort_107010.pdf"/>
    <hyperlink ref="U27" r:id="rId3" display="https://doi.org/10.1016/j.nucengdes.2023.112470"/>
    <hyperlink ref="U66" r:id="rId4" display="https://doi.org/10.3929/ethz-b-000709311"/>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100"/>
  <sheetViews>
    <sheetView showFormulas="false" showGridLines="true" showRowColHeaders="true" showZeros="true" rightToLeft="false" tabSelected="false" showOutlineSymbols="true" defaultGridColor="true" view="normal" topLeftCell="A1" colorId="64" zoomScale="150" zoomScaleNormal="150" zoomScalePageLayoutView="100" workbookViewId="0">
      <selection pane="topLeft" activeCell="P1" activeCellId="0" sqref="P1"/>
    </sheetView>
  </sheetViews>
  <sheetFormatPr defaultColWidth="10.66796875" defaultRowHeight="13.5" customHeight="false" zeroHeight="false" outlineLevelRow="0" outlineLevelCol="0"/>
  <cols>
    <col collapsed="false" customWidth="true" hidden="false" outlineLevel="0" max="1" min="1" style="1" width="8.67"/>
    <col collapsed="false" customWidth="true" hidden="false" outlineLevel="0" max="2" min="2" style="1" width="4.67"/>
    <col collapsed="false" customWidth="true" hidden="false" outlineLevel="0" max="3" min="3" style="1" width="32.67"/>
    <col collapsed="false" customWidth="true" hidden="false" outlineLevel="0" max="4" min="4" style="2" width="44.66"/>
    <col collapsed="false" customWidth="true" hidden="false" outlineLevel="0" max="5" min="5" style="2" width="13.34"/>
    <col collapsed="false" customWidth="true" hidden="false" outlineLevel="0" max="6" min="6" style="2" width="13.67"/>
    <col collapsed="false" customWidth="true" hidden="false" outlineLevel="0" max="7" min="7" style="108" width="13.67"/>
    <col collapsed="false" customWidth="true" hidden="false" outlineLevel="0" max="9" min="8" style="2" width="13.67"/>
    <col collapsed="false" customWidth="true" hidden="false" outlineLevel="0" max="11" min="10" style="3" width="13.67"/>
    <col collapsed="false" customWidth="true" hidden="false" outlineLevel="0" max="12" min="12" style="1" width="10"/>
    <col collapsed="false" customWidth="true" hidden="false" outlineLevel="0" max="13" min="13" style="1" width="16.33"/>
    <col collapsed="false" customWidth="true" hidden="false" outlineLevel="0" max="14" min="14" style="1" width="8.67"/>
    <col collapsed="false" customWidth="true" hidden="false" outlineLevel="0" max="15" min="15" style="1" width="7.33"/>
    <col collapsed="false" customWidth="true" hidden="false" outlineLevel="0" max="16" min="16" style="1" width="7.67"/>
    <col collapsed="false" customWidth="true" hidden="false" outlineLevel="0" max="17" min="17" style="1" width="8.16"/>
    <col collapsed="false" customWidth="false" hidden="false" outlineLevel="0" max="18" min="18" style="1" width="10.66"/>
    <col collapsed="false" customWidth="true" hidden="false" outlineLevel="0" max="19" min="19" style="1" width="29"/>
    <col collapsed="false" customWidth="true" hidden="false" outlineLevel="0" max="20" min="20" style="1" width="37.16"/>
    <col collapsed="false" customWidth="true" hidden="false" outlineLevel="0" max="21" min="21" style="1" width="81.16"/>
    <col collapsed="false" customWidth="true" hidden="false" outlineLevel="0" max="22" min="22" style="1" width="18.67"/>
    <col collapsed="false" customWidth="true" hidden="false" outlineLevel="0" max="23" min="23" style="1" width="21.5"/>
    <col collapsed="false" customWidth="true" hidden="false" outlineLevel="0" max="25" min="24" style="3" width="16.67"/>
    <col collapsed="false" customWidth="true" hidden="false" outlineLevel="0" max="26" min="26" style="1" width="12.5"/>
    <col collapsed="false" customWidth="true" hidden="false" outlineLevel="0" max="28" min="27" style="3" width="16.67"/>
    <col collapsed="false" customWidth="true" hidden="false" outlineLevel="0" max="29" min="29" style="1" width="12.5"/>
    <col collapsed="false" customWidth="true" hidden="false" outlineLevel="0" max="32" min="30" style="3" width="6.67"/>
    <col collapsed="false" customWidth="true" hidden="false" outlineLevel="0" max="33" min="33" style="1" width="16.16"/>
    <col collapsed="false" customWidth="false" hidden="false" outlineLevel="0" max="16384" min="34" style="1" width="10.66"/>
  </cols>
  <sheetData>
    <row r="1" s="8" customFormat="true" ht="35.05" hidden="false" customHeight="false" outlineLevel="0" collapsed="false">
      <c r="A1" s="4" t="s">
        <v>0</v>
      </c>
      <c r="B1" s="5" t="s">
        <v>1</v>
      </c>
      <c r="C1" s="4" t="s">
        <v>2</v>
      </c>
      <c r="D1" s="5" t="s">
        <v>3</v>
      </c>
      <c r="E1" s="5" t="s">
        <v>4</v>
      </c>
      <c r="F1" s="5" t="s">
        <v>628</v>
      </c>
      <c r="G1" s="109" t="s">
        <v>629</v>
      </c>
      <c r="H1" s="5" t="s">
        <v>5</v>
      </c>
      <c r="I1" s="5" t="s">
        <v>6</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110" t="s">
        <v>26</v>
      </c>
      <c r="AB1" s="110" t="s">
        <v>27</v>
      </c>
      <c r="AC1" s="7" t="s">
        <v>28</v>
      </c>
      <c r="AD1" s="7" t="s">
        <v>29</v>
      </c>
      <c r="AE1" s="7" t="s">
        <v>30</v>
      </c>
      <c r="AF1" s="7" t="s">
        <v>31</v>
      </c>
      <c r="AG1" s="7" t="s">
        <v>32</v>
      </c>
    </row>
    <row r="2" s="14" customFormat="true" ht="13.5" hidden="false" customHeight="fals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11"/>
      <c r="H2" s="10"/>
      <c r="I2" s="10"/>
      <c r="J2" s="112"/>
      <c r="K2" s="11"/>
      <c r="L2" s="9"/>
      <c r="M2" s="9"/>
      <c r="N2" s="9"/>
      <c r="O2" s="9"/>
      <c r="P2" s="11"/>
      <c r="Q2" s="11"/>
      <c r="R2" s="9"/>
      <c r="S2" s="5"/>
      <c r="T2" s="9"/>
      <c r="U2" s="9"/>
      <c r="V2" s="9"/>
      <c r="W2" s="12"/>
      <c r="X2" s="13"/>
      <c r="Y2" s="13"/>
      <c r="Z2" s="12"/>
      <c r="AA2" s="13"/>
      <c r="AB2" s="13"/>
      <c r="AC2" s="12"/>
      <c r="AD2" s="13"/>
      <c r="AE2" s="13"/>
      <c r="AF2" s="13"/>
      <c r="AG2" s="12"/>
    </row>
    <row r="3" customFormat="false" ht="35.0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t="s">
        <v>630</v>
      </c>
      <c r="G3" s="111" t="n">
        <v>1</v>
      </c>
      <c r="H3" s="10"/>
      <c r="I3" s="10"/>
      <c r="J3" s="113"/>
      <c r="K3" s="113" t="n">
        <v>3800</v>
      </c>
      <c r="L3" s="18" t="s">
        <v>36</v>
      </c>
      <c r="M3" s="18" t="s">
        <v>716</v>
      </c>
      <c r="N3" s="114"/>
      <c r="O3" s="18" t="s">
        <v>38</v>
      </c>
      <c r="P3" s="20"/>
      <c r="Q3" s="20" t="n">
        <v>2022</v>
      </c>
      <c r="R3" s="18" t="s">
        <v>39</v>
      </c>
      <c r="S3" s="21" t="s">
        <v>40</v>
      </c>
      <c r="T3" s="21" t="s">
        <v>632</v>
      </c>
      <c r="U3" s="115"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13.5" hidden="false" customHeight="fals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t="s">
        <v>630</v>
      </c>
      <c r="G4" s="111" t="n">
        <v>1</v>
      </c>
      <c r="H4" s="10"/>
      <c r="I4" s="10"/>
      <c r="J4" s="113"/>
      <c r="K4" s="113" t="n">
        <f aca="false">10.03*1000</f>
        <v>10030</v>
      </c>
      <c r="L4" s="18" t="s">
        <v>50</v>
      </c>
      <c r="M4" s="18" t="s">
        <v>717</v>
      </c>
      <c r="N4" s="114"/>
      <c r="O4" s="18" t="s">
        <v>52</v>
      </c>
      <c r="P4" s="20"/>
      <c r="Q4" s="20" t="n">
        <v>2022</v>
      </c>
      <c r="R4" s="18" t="s">
        <v>53</v>
      </c>
      <c r="S4" s="21" t="s">
        <v>54</v>
      </c>
      <c r="T4" s="21"/>
      <c r="U4" s="115"/>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13.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t="s">
        <v>630</v>
      </c>
      <c r="G5" s="111" t="n">
        <v>1</v>
      </c>
      <c r="H5" s="10"/>
      <c r="I5" s="10"/>
      <c r="J5" s="113" t="n">
        <f aca="false">1000000*(45+70)/2</f>
        <v>57500000</v>
      </c>
      <c r="K5" s="113"/>
      <c r="L5" s="114"/>
      <c r="M5" s="114"/>
      <c r="N5" s="114"/>
      <c r="O5" s="18"/>
      <c r="P5" s="20"/>
      <c r="Q5" s="20" t="n">
        <v>2009</v>
      </c>
      <c r="R5" s="18" t="s">
        <v>53</v>
      </c>
      <c r="S5" s="21" t="s">
        <v>62</v>
      </c>
      <c r="T5" s="21" t="s">
        <v>634</v>
      </c>
      <c r="U5" s="115" t="s">
        <v>58</v>
      </c>
      <c r="V5" s="23"/>
      <c r="W5" s="12" t="s">
        <v>43</v>
      </c>
      <c r="X5" s="24" t="n">
        <f aca="false">45*1000000</f>
        <v>45000000</v>
      </c>
      <c r="Y5" s="24" t="n">
        <f aca="false">70*1000000</f>
        <v>70000000</v>
      </c>
      <c r="Z5" s="12" t="s">
        <v>60</v>
      </c>
      <c r="AA5" s="13" t="n">
        <f aca="false">0.9*K5</f>
        <v>0</v>
      </c>
      <c r="AB5" s="13" t="n">
        <f aca="false">1.3*K5</f>
        <v>0</v>
      </c>
      <c r="AC5" s="12" t="s">
        <v>44</v>
      </c>
      <c r="AD5" s="13" t="s">
        <v>45</v>
      </c>
      <c r="AE5" s="13" t="s">
        <v>46</v>
      </c>
      <c r="AF5" s="13" t="s">
        <v>47</v>
      </c>
      <c r="AG5" s="12" t="s">
        <v>48</v>
      </c>
    </row>
    <row r="6" customFormat="false" ht="13.5" hidden="false" customHeight="fals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t="s">
        <v>630</v>
      </c>
      <c r="G6" s="111" t="n">
        <v>1</v>
      </c>
      <c r="H6" s="10"/>
      <c r="I6" s="10"/>
      <c r="J6" s="113" t="n">
        <v>3000000</v>
      </c>
      <c r="K6" s="113"/>
      <c r="L6" s="114"/>
      <c r="M6" s="114"/>
      <c r="N6" s="114"/>
      <c r="O6" s="18"/>
      <c r="P6" s="20"/>
      <c r="Q6" s="20" t="n">
        <v>2009</v>
      </c>
      <c r="R6" s="18" t="s">
        <v>53</v>
      </c>
      <c r="S6" s="21" t="s">
        <v>62</v>
      </c>
      <c r="T6" s="21"/>
      <c r="U6" s="115"/>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91" hidden="false" customHeight="fals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t="s">
        <v>630</v>
      </c>
      <c r="G7" s="111" t="n">
        <v>1</v>
      </c>
      <c r="H7" s="10"/>
      <c r="I7" s="10"/>
      <c r="J7" s="113" t="n">
        <f aca="false">10*MARVEL_Cost!C4</f>
        <v>52104510</v>
      </c>
      <c r="K7" s="113"/>
      <c r="L7" s="114"/>
      <c r="M7" s="114"/>
      <c r="N7" s="114"/>
      <c r="O7" s="18"/>
      <c r="P7" s="20"/>
      <c r="Q7" s="20" t="n">
        <v>2024</v>
      </c>
      <c r="R7" s="18" t="s">
        <v>53</v>
      </c>
      <c r="S7" s="21" t="s">
        <v>65</v>
      </c>
      <c r="T7" s="21" t="s">
        <v>635</v>
      </c>
      <c r="U7" s="23" t="s">
        <v>67</v>
      </c>
      <c r="V7" s="18" t="s">
        <v>68</v>
      </c>
      <c r="W7" s="12" t="s">
        <v>43</v>
      </c>
      <c r="X7" s="24" t="n">
        <f aca="false">0.9*$J7</f>
        <v>46894059</v>
      </c>
      <c r="Y7" s="24" t="n">
        <f aca="false">1.5*J7</f>
        <v>78156765</v>
      </c>
      <c r="Z7" s="12" t="s">
        <v>44</v>
      </c>
      <c r="AA7" s="13" t="n">
        <f aca="false">0.9*K7</f>
        <v>0</v>
      </c>
      <c r="AB7" s="13" t="n">
        <f aca="false">1.3*K7</f>
        <v>0</v>
      </c>
      <c r="AC7" s="12" t="s">
        <v>44</v>
      </c>
      <c r="AD7" s="13" t="s">
        <v>45</v>
      </c>
      <c r="AE7" s="13" t="s">
        <v>46</v>
      </c>
      <c r="AF7" s="13" t="s">
        <v>47</v>
      </c>
      <c r="AG7" s="12" t="s">
        <v>48</v>
      </c>
    </row>
    <row r="8" customFormat="false" ht="13.5" hidden="false" customHeight="fals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11"/>
      <c r="H8" s="10"/>
      <c r="I8" s="10"/>
      <c r="J8" s="113"/>
      <c r="K8" s="27"/>
      <c r="L8" s="4"/>
      <c r="M8" s="6"/>
      <c r="N8" s="4"/>
      <c r="O8" s="4"/>
      <c r="P8" s="28"/>
      <c r="Q8" s="28"/>
      <c r="R8" s="4"/>
      <c r="S8" s="4"/>
      <c r="T8" s="4"/>
      <c r="U8" s="4"/>
      <c r="V8" s="4"/>
      <c r="W8" s="12" t="s">
        <v>636</v>
      </c>
      <c r="X8" s="24"/>
      <c r="Y8" s="24"/>
      <c r="Z8" s="12"/>
      <c r="AA8" s="13"/>
      <c r="AB8" s="13"/>
      <c r="AC8" s="12"/>
      <c r="AD8" s="13"/>
      <c r="AE8" s="13"/>
      <c r="AF8" s="13"/>
      <c r="AG8" s="12"/>
    </row>
    <row r="9" customFormat="false" ht="13.5" hidden="false" customHeight="fals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11"/>
      <c r="H9" s="10"/>
      <c r="I9" s="10"/>
      <c r="J9" s="113"/>
      <c r="K9" s="113"/>
      <c r="L9" s="114"/>
      <c r="M9" s="114"/>
      <c r="N9" s="114"/>
      <c r="O9" s="114"/>
      <c r="P9" s="116"/>
      <c r="Q9" s="116"/>
      <c r="R9" s="114"/>
      <c r="S9" s="117"/>
      <c r="T9" s="114"/>
      <c r="U9" s="114"/>
      <c r="V9" s="23"/>
      <c r="W9" s="12"/>
      <c r="X9" s="24"/>
      <c r="Y9" s="24"/>
      <c r="Z9" s="12"/>
      <c r="AA9" s="13"/>
      <c r="AB9" s="13"/>
      <c r="AC9" s="12"/>
      <c r="AD9" s="13"/>
      <c r="AE9" s="13"/>
      <c r="AF9" s="13"/>
      <c r="AG9" s="12"/>
    </row>
    <row r="10" customFormat="false" ht="13.5" hidden="false" customHeight="false" outlineLevel="0" collapsed="false">
      <c r="A10" s="30"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11"/>
      <c r="H10" s="10"/>
      <c r="I10" s="10"/>
      <c r="J10" s="113"/>
      <c r="K10" s="113"/>
      <c r="L10" s="114"/>
      <c r="M10" s="114"/>
      <c r="N10" s="114"/>
      <c r="O10" s="114"/>
      <c r="P10" s="116"/>
      <c r="Q10" s="116"/>
      <c r="R10" s="114"/>
      <c r="S10" s="117"/>
      <c r="T10" s="114"/>
      <c r="U10" s="114"/>
      <c r="V10" s="23"/>
      <c r="W10" s="12"/>
      <c r="X10" s="24"/>
      <c r="Y10" s="24"/>
      <c r="Z10" s="12"/>
      <c r="AA10" s="13"/>
      <c r="AB10" s="13"/>
      <c r="AC10" s="12"/>
      <c r="AD10" s="13"/>
      <c r="AE10" s="13"/>
      <c r="AF10" s="13"/>
      <c r="AG10" s="12"/>
    </row>
    <row r="11" customFormat="false" ht="13.5" hidden="false" customHeight="true" outlineLevel="0" collapsed="false">
      <c r="A11" s="31"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t="s">
        <v>630</v>
      </c>
      <c r="G11" s="111" t="n">
        <v>1</v>
      </c>
      <c r="H11" s="10"/>
      <c r="I11" s="10"/>
      <c r="J11" s="113"/>
      <c r="K11" s="113" t="n">
        <f aca="false">4408.18*1.33</f>
        <v>5862.8794</v>
      </c>
      <c r="L11" s="18" t="s">
        <v>36</v>
      </c>
      <c r="M11" s="18" t="s">
        <v>718</v>
      </c>
      <c r="N11" s="114"/>
      <c r="O11" s="18" t="s">
        <v>38</v>
      </c>
      <c r="P11" s="116"/>
      <c r="Q11" s="20" t="n">
        <v>2024</v>
      </c>
      <c r="R11" s="18" t="s">
        <v>73</v>
      </c>
      <c r="S11" s="21" t="s">
        <v>74</v>
      </c>
      <c r="T11" s="21" t="s">
        <v>75</v>
      </c>
      <c r="U11" s="118" t="s">
        <v>76</v>
      </c>
      <c r="V11" s="23"/>
      <c r="W11" s="12" t="s">
        <v>43</v>
      </c>
      <c r="X11" s="24" t="n">
        <f aca="false">0.9*$J11</f>
        <v>0</v>
      </c>
      <c r="Y11" s="24" t="n">
        <f aca="false">1.5*J11</f>
        <v>0</v>
      </c>
      <c r="Z11" s="12" t="s">
        <v>44</v>
      </c>
      <c r="AA11" s="13" t="n">
        <f aca="false">0.9*K11</f>
        <v>5276.59146</v>
      </c>
      <c r="AB11" s="13" t="n">
        <f aca="false">1.3*K11</f>
        <v>7621.74322</v>
      </c>
      <c r="AC11" s="12" t="s">
        <v>44</v>
      </c>
      <c r="AD11" s="13" t="s">
        <v>45</v>
      </c>
      <c r="AE11" s="13" t="s">
        <v>46</v>
      </c>
      <c r="AF11" s="13" t="s">
        <v>47</v>
      </c>
      <c r="AG11" s="12" t="s">
        <v>48</v>
      </c>
    </row>
    <row r="12" customFormat="false" ht="13.5" hidden="false" customHeight="false" outlineLevel="0" collapsed="false">
      <c r="A12" s="30"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t="s">
        <v>630</v>
      </c>
      <c r="G12" s="111" t="n">
        <v>1</v>
      </c>
      <c r="H12" s="10"/>
      <c r="I12" s="10"/>
      <c r="J12" s="113"/>
      <c r="K12" s="113" t="n">
        <f aca="false">2565.2*1.33</f>
        <v>3411.716</v>
      </c>
      <c r="L12" s="18" t="s">
        <v>36</v>
      </c>
      <c r="M12" s="18" t="s">
        <v>718</v>
      </c>
      <c r="N12" s="114"/>
      <c r="O12" s="18" t="s">
        <v>38</v>
      </c>
      <c r="P12" s="116"/>
      <c r="Q12" s="20" t="n">
        <v>2024</v>
      </c>
      <c r="R12" s="18" t="s">
        <v>73</v>
      </c>
      <c r="S12" s="21"/>
      <c r="T12" s="21"/>
      <c r="U12" s="118"/>
      <c r="V12" s="23"/>
      <c r="W12" s="12" t="s">
        <v>43</v>
      </c>
      <c r="X12" s="24" t="n">
        <f aca="false">0.9*$J12</f>
        <v>0</v>
      </c>
      <c r="Y12" s="24" t="n">
        <f aca="false">1.5*J12</f>
        <v>0</v>
      </c>
      <c r="Z12" s="12" t="s">
        <v>44</v>
      </c>
      <c r="AA12" s="13" t="n">
        <f aca="false">0.9*K12</f>
        <v>3070.5444</v>
      </c>
      <c r="AB12" s="13" t="n">
        <f aca="false">1.3*K12</f>
        <v>4435.2308</v>
      </c>
      <c r="AC12" s="12" t="s">
        <v>44</v>
      </c>
      <c r="AD12" s="13" t="s">
        <v>45</v>
      </c>
      <c r="AE12" s="13" t="s">
        <v>46</v>
      </c>
      <c r="AF12" s="13" t="s">
        <v>47</v>
      </c>
      <c r="AG12" s="12" t="s">
        <v>48</v>
      </c>
    </row>
    <row r="13" customFormat="false" ht="35.05" hidden="false" customHeight="false" outlineLevel="0" collapsed="false">
      <c r="A13" s="30" t="n">
        <v>211.4</v>
      </c>
      <c r="B13" s="9" t="n">
        <f aca="false">IF(ISNUMBER(A13),
    IF(AND(A13=INT(A13), MOD(A13, 10) = 0), 0,
        IF(AND(A13=INT(A13), LEN(A13)=2), 1,
            IF(AND(A13=INT(A13), LEN(A13)=3), 2,
                LEN(A13) - FIND(".", A13) + 2)
        )
    ),
"")</f>
        <v>3</v>
      </c>
      <c r="C13" s="15" t="s">
        <v>83</v>
      </c>
      <c r="D13" s="10" t="str">
        <f aca="false">REPT("   ", B13*2) &amp; C13</f>
        <v>                  Roads</v>
      </c>
      <c r="E13" s="10" t="s">
        <v>35</v>
      </c>
      <c r="F13" s="10" t="s">
        <v>630</v>
      </c>
      <c r="G13" s="111" t="n">
        <v>1</v>
      </c>
      <c r="H13" s="10"/>
      <c r="I13" s="10"/>
      <c r="J13" s="113"/>
      <c r="K13" s="113" t="n">
        <f aca="false">0.7*7873200*1.609/1000</f>
        <v>8867.58516</v>
      </c>
      <c r="L13" s="18" t="s">
        <v>84</v>
      </c>
      <c r="M13" s="119" t="s">
        <v>719</v>
      </c>
      <c r="N13" s="120" t="n">
        <v>1</v>
      </c>
      <c r="O13" s="121"/>
      <c r="P13" s="122" t="n">
        <v>1</v>
      </c>
      <c r="Q13" s="123" t="n">
        <v>2025</v>
      </c>
      <c r="R13" s="121" t="s">
        <v>39</v>
      </c>
      <c r="S13" s="33" t="s">
        <v>87</v>
      </c>
      <c r="T13" s="124"/>
      <c r="U13" s="115"/>
      <c r="V13" s="23"/>
      <c r="W13" s="12" t="s">
        <v>43</v>
      </c>
      <c r="X13" s="24" t="n">
        <f aca="false">0.9*$J13</f>
        <v>0</v>
      </c>
      <c r="Y13" s="24" t="n">
        <f aca="false">1.5*J13</f>
        <v>0</v>
      </c>
      <c r="Z13" s="12" t="s">
        <v>44</v>
      </c>
      <c r="AA13" s="13" t="n">
        <f aca="false">0.9*K13</f>
        <v>7980.826644</v>
      </c>
      <c r="AB13" s="13" t="n">
        <f aca="false">1.3*K13</f>
        <v>11527.860708</v>
      </c>
      <c r="AC13" s="12" t="s">
        <v>44</v>
      </c>
      <c r="AD13" s="13" t="s">
        <v>45</v>
      </c>
      <c r="AE13" s="13" t="s">
        <v>46</v>
      </c>
      <c r="AF13" s="13" t="s">
        <v>47</v>
      </c>
      <c r="AG13" s="12" t="s">
        <v>48</v>
      </c>
    </row>
    <row r="14" customFormat="false" ht="13.5" hidden="false" customHeight="false" outlineLevel="0" collapsed="false">
      <c r="A14" s="30" t="n">
        <v>211.9</v>
      </c>
      <c r="B14" s="9" t="n">
        <f aca="false">IF(ISNUMBER(A14),
    IF(AND(A14=INT(A14), MOD(A14, 10) = 0), 0,
        IF(AND(A14=INT(A14), LEN(A14)=2), 1,
            IF(AND(A14=INT(A14), LEN(A14)=3), 2,
                LEN(A14) - FIND(".", A14) + 2)
        )
    ),
"")</f>
        <v>3</v>
      </c>
      <c r="C14" s="15" t="s">
        <v>88</v>
      </c>
      <c r="D14" s="10" t="str">
        <f aca="false">REPT("   ", B14*2) &amp; C14</f>
        <v>                  Security Fencing</v>
      </c>
      <c r="E14" s="10"/>
      <c r="F14" s="10"/>
      <c r="G14" s="111"/>
      <c r="H14" s="10"/>
      <c r="I14" s="10"/>
      <c r="J14" s="113"/>
      <c r="K14" s="125"/>
      <c r="L14" s="126"/>
      <c r="M14" s="127"/>
      <c r="N14" s="128"/>
      <c r="O14" s="18"/>
      <c r="P14" s="129"/>
      <c r="Q14" s="130"/>
      <c r="R14" s="131"/>
      <c r="S14" s="132"/>
      <c r="T14" s="21"/>
      <c r="U14" s="115"/>
      <c r="V14" s="23"/>
      <c r="W14" s="12"/>
      <c r="X14" s="24"/>
      <c r="Y14" s="24"/>
      <c r="Z14" s="12"/>
      <c r="AA14" s="13"/>
      <c r="AB14" s="13"/>
      <c r="AC14" s="12"/>
      <c r="AD14" s="13"/>
      <c r="AE14" s="13"/>
      <c r="AF14" s="13"/>
      <c r="AG14" s="12"/>
    </row>
    <row r="15" customFormat="false" ht="35.05" hidden="false" customHeight="false" outlineLevel="0" collapsed="false">
      <c r="A15" s="30" t="n">
        <v>211.91</v>
      </c>
      <c r="B15" s="9" t="n">
        <f aca="false">IF(ISNUMBER(A15),
    IF(AND(A15=INT(A15), MOD(A15, 10) = 0), 0,
        IF(AND(A15=INT(A15), LEN(A15)=2), 1,
            IF(AND(A15=INT(A15), LEN(A15)=3), 2,
                LEN(A15) - FIND(".", A15) + 2)
        )
    ),
"")</f>
        <v>4</v>
      </c>
      <c r="C15" s="15" t="s">
        <v>89</v>
      </c>
      <c r="D15" s="10" t="str">
        <f aca="false">REPT("   ", B15*2) &amp; C15</f>
        <v>                        Security Fencing Limited</v>
      </c>
      <c r="E15" s="10" t="s">
        <v>35</v>
      </c>
      <c r="F15" s="10" t="s">
        <v>630</v>
      </c>
      <c r="G15" s="111" t="n">
        <v>1</v>
      </c>
      <c r="H15" s="10"/>
      <c r="I15" s="10"/>
      <c r="J15" s="113"/>
      <c r="K15" s="113" t="n">
        <f aca="false">0.7*273</f>
        <v>191.1</v>
      </c>
      <c r="L15" s="18" t="s">
        <v>638</v>
      </c>
      <c r="M15" s="18" t="s">
        <v>720</v>
      </c>
      <c r="N15" s="114"/>
      <c r="O15" s="18"/>
      <c r="P15" s="116"/>
      <c r="Q15" s="20" t="n">
        <v>2025</v>
      </c>
      <c r="R15" s="18" t="s">
        <v>73</v>
      </c>
      <c r="S15" s="33" t="s">
        <v>87</v>
      </c>
      <c r="T15" s="21"/>
      <c r="U15" s="133"/>
      <c r="V15" s="23"/>
      <c r="W15" s="12" t="s">
        <v>43</v>
      </c>
      <c r="X15" s="24" t="n">
        <f aca="false">0.9*$J15</f>
        <v>0</v>
      </c>
      <c r="Y15" s="24" t="n">
        <f aca="false">1.5*J15</f>
        <v>0</v>
      </c>
      <c r="Z15" s="12" t="s">
        <v>44</v>
      </c>
      <c r="AA15" s="13" t="n">
        <f aca="false">0.9*K15</f>
        <v>171.99</v>
      </c>
      <c r="AB15" s="13" t="n">
        <f aca="false">1.3*K15</f>
        <v>248.43</v>
      </c>
      <c r="AC15" s="12" t="s">
        <v>44</v>
      </c>
      <c r="AD15" s="13" t="s">
        <v>45</v>
      </c>
      <c r="AE15" s="13" t="s">
        <v>46</v>
      </c>
      <c r="AF15" s="13" t="s">
        <v>47</v>
      </c>
      <c r="AG15" s="12" t="s">
        <v>48</v>
      </c>
    </row>
    <row r="16" customFormat="false" ht="35.05" hidden="false" customHeight="false" outlineLevel="0" collapsed="false">
      <c r="A16" s="30" t="n">
        <v>211.92</v>
      </c>
      <c r="B16" s="9" t="n">
        <f aca="false">IF(ISNUMBER(A16),
    IF(AND(A16=INT(A16), MOD(A16, 10) = 0), 0,
        IF(AND(A16=INT(A16), LEN(A16)=2), 1,
            IF(AND(A16=INT(A16), LEN(A16)=3), 2,
                LEN(A16) - FIND(".", A16) + 2)
        )
    ),
"")</f>
        <v>4</v>
      </c>
      <c r="C16" s="15" t="s">
        <v>721</v>
      </c>
      <c r="D16" s="10" t="str">
        <f aca="false">REPT("   ", B16*2) &amp; C16</f>
        <v>                        Security Fencing Controlled</v>
      </c>
      <c r="E16" s="10" t="s">
        <v>35</v>
      </c>
      <c r="F16" s="10" t="s">
        <v>630</v>
      </c>
      <c r="G16" s="111" t="n">
        <v>1</v>
      </c>
      <c r="H16" s="10"/>
      <c r="I16" s="10"/>
      <c r="J16" s="113"/>
      <c r="K16" s="113" t="n">
        <f aca="false">0.7*328</f>
        <v>229.6</v>
      </c>
      <c r="L16" s="18" t="s">
        <v>638</v>
      </c>
      <c r="M16" s="18" t="s">
        <v>722</v>
      </c>
      <c r="N16" s="114"/>
      <c r="O16" s="18"/>
      <c r="P16" s="116"/>
      <c r="Q16" s="20" t="n">
        <v>2025</v>
      </c>
      <c r="R16" s="18" t="s">
        <v>73</v>
      </c>
      <c r="S16" s="33" t="s">
        <v>87</v>
      </c>
      <c r="T16" s="21"/>
      <c r="U16" s="133"/>
      <c r="V16" s="23"/>
      <c r="W16" s="12" t="s">
        <v>43</v>
      </c>
      <c r="X16" s="24" t="n">
        <f aca="false">0.9*$J16</f>
        <v>0</v>
      </c>
      <c r="Y16" s="24" t="n">
        <f aca="false">1.5*J16</f>
        <v>0</v>
      </c>
      <c r="Z16" s="12" t="s">
        <v>44</v>
      </c>
      <c r="AA16" s="13" t="n">
        <f aca="false">0.9*K16</f>
        <v>206.64</v>
      </c>
      <c r="AB16" s="13" t="n">
        <f aca="false">1.3*K16</f>
        <v>298.48</v>
      </c>
      <c r="AC16" s="12" t="s">
        <v>44</v>
      </c>
      <c r="AD16" s="13" t="s">
        <v>45</v>
      </c>
      <c r="AE16" s="13" t="s">
        <v>46</v>
      </c>
      <c r="AF16" s="13" t="s">
        <v>47</v>
      </c>
      <c r="AG16" s="12" t="s">
        <v>48</v>
      </c>
    </row>
    <row r="17" customFormat="false" ht="35.05" hidden="false" customHeight="false" outlineLevel="0" collapsed="false">
      <c r="A17" s="30" t="n">
        <v>211.93</v>
      </c>
      <c r="B17" s="9" t="n">
        <f aca="false">IF(ISNUMBER(A17),
    IF(AND(A17=INT(A17), MOD(A17, 10) = 0), 0,
        IF(AND(A17=INT(A17), LEN(A17)=2), 1,
            IF(AND(A17=INT(A17), LEN(A17)=3), 2,
                LEN(A17) - FIND(".", A17) + 2)
        )
    ),
"")</f>
        <v>4</v>
      </c>
      <c r="C17" s="15" t="s">
        <v>91</v>
      </c>
      <c r="D17" s="10" t="str">
        <f aca="false">REPT("   ", B17*2) &amp; C17</f>
        <v>                        Security Fencing Protected</v>
      </c>
      <c r="E17" s="10" t="s">
        <v>35</v>
      </c>
      <c r="F17" s="10" t="s">
        <v>630</v>
      </c>
      <c r="G17" s="111" t="n">
        <v>1</v>
      </c>
      <c r="H17" s="10"/>
      <c r="I17" s="10"/>
      <c r="J17" s="113"/>
      <c r="K17" s="113" t="n">
        <f aca="false">0.7*15746</f>
        <v>11022.2</v>
      </c>
      <c r="L17" s="18" t="s">
        <v>638</v>
      </c>
      <c r="M17" s="18" t="s">
        <v>723</v>
      </c>
      <c r="N17" s="114"/>
      <c r="O17" s="18"/>
      <c r="P17" s="116"/>
      <c r="Q17" s="20" t="n">
        <v>2025</v>
      </c>
      <c r="R17" s="18" t="s">
        <v>73</v>
      </c>
      <c r="S17" s="33" t="s">
        <v>87</v>
      </c>
      <c r="T17" s="21"/>
      <c r="U17" s="133"/>
      <c r="V17" s="23"/>
      <c r="W17" s="12" t="s">
        <v>43</v>
      </c>
      <c r="X17" s="24" t="n">
        <f aca="false">0.9*$J17</f>
        <v>0</v>
      </c>
      <c r="Y17" s="24" t="n">
        <f aca="false">1.5*J17</f>
        <v>0</v>
      </c>
      <c r="Z17" s="12" t="s">
        <v>44</v>
      </c>
      <c r="AA17" s="13" t="n">
        <f aca="false">0.9*K17</f>
        <v>9919.98</v>
      </c>
      <c r="AB17" s="13" t="n">
        <f aca="false">1.3*K17</f>
        <v>14328.86</v>
      </c>
      <c r="AC17" s="12" t="s">
        <v>44</v>
      </c>
      <c r="AD17" s="13" t="s">
        <v>45</v>
      </c>
      <c r="AE17" s="13" t="s">
        <v>46</v>
      </c>
      <c r="AF17" s="13" t="s">
        <v>47</v>
      </c>
      <c r="AG17" s="12" t="s">
        <v>48</v>
      </c>
    </row>
    <row r="18" customFormat="false" ht="13.5" hidden="false" customHeight="false" outlineLevel="0" collapsed="false">
      <c r="A18" s="30" t="n">
        <v>214</v>
      </c>
      <c r="B18" s="9" t="n">
        <f aca="false">IF(ISNUMBER(A18),
    IF(AND(A18=INT(A18), MOD(A18, 10) = 0), 0,
        IF(AND(A18=INT(A18), LEN(A18)=2), 1,
            IF(AND(A18=INT(A18), LEN(A18)=3), 2,
                LEN(A18) - FIND(".", A18) + 2)
        )
    ),
"")</f>
        <v>2</v>
      </c>
      <c r="C18" s="15" t="s">
        <v>641</v>
      </c>
      <c r="D18" s="10" t="str">
        <f aca="false">REPT("   ", B18*2) &amp; C18</f>
        <v>            Servicing Facilities Structures</v>
      </c>
      <c r="E18" s="10"/>
      <c r="F18" s="10"/>
      <c r="G18" s="111"/>
      <c r="H18" s="10"/>
      <c r="I18" s="10"/>
      <c r="J18" s="113"/>
      <c r="K18" s="113"/>
      <c r="L18" s="114"/>
      <c r="M18" s="117"/>
      <c r="N18" s="114"/>
      <c r="O18" s="114"/>
      <c r="P18" s="116"/>
      <c r="Q18" s="116"/>
      <c r="R18" s="114"/>
      <c r="S18" s="117"/>
      <c r="T18" s="21"/>
      <c r="U18" s="115"/>
      <c r="V18" s="23"/>
      <c r="W18" s="12"/>
      <c r="X18" s="24"/>
      <c r="Y18" s="24"/>
      <c r="Z18" s="12"/>
      <c r="AA18" s="13"/>
      <c r="AB18" s="13"/>
      <c r="AC18" s="12"/>
      <c r="AD18" s="13"/>
      <c r="AE18" s="13"/>
      <c r="AF18" s="13"/>
      <c r="AG18" s="12"/>
    </row>
    <row r="19" customFormat="false" ht="13.5" hidden="false" customHeight="false" outlineLevel="0" collapsed="false">
      <c r="A19" s="30" t="n">
        <v>214.1</v>
      </c>
      <c r="B19" s="9" t="n">
        <f aca="false">IF(ISNUMBER(A19),
    IF(AND(A19=INT(A19), MOD(A19, 10) = 0), 0,
        IF(AND(A19=INT(A19), LEN(A19)=2), 1,
            IF(AND(A19=INT(A19), LEN(A19)=3), 2,
                LEN(A19) - FIND(".", A19) + 2)
        )
    ),
"")</f>
        <v>3</v>
      </c>
      <c r="C19" s="15" t="s">
        <v>724</v>
      </c>
      <c r="D19" s="10" t="str">
        <f aca="false">REPT("   ", B19*2) &amp; C19</f>
        <v>                  Servicing Building</v>
      </c>
      <c r="E19" s="10"/>
      <c r="F19" s="10"/>
      <c r="G19" s="111"/>
      <c r="H19" s="10"/>
      <c r="I19" s="10"/>
      <c r="J19" s="185"/>
      <c r="K19" s="185"/>
      <c r="L19" s="114"/>
      <c r="M19" s="117"/>
      <c r="N19" s="114"/>
      <c r="O19" s="114"/>
      <c r="P19" s="116"/>
      <c r="Q19" s="116"/>
      <c r="R19" s="114"/>
      <c r="S19" s="117"/>
      <c r="T19" s="21"/>
      <c r="U19" s="115"/>
      <c r="V19" s="23"/>
      <c r="W19" s="12"/>
      <c r="X19" s="24"/>
      <c r="Y19" s="24"/>
      <c r="Z19" s="12"/>
      <c r="AA19" s="13"/>
      <c r="AB19" s="13"/>
      <c r="AC19" s="12"/>
      <c r="AD19" s="13"/>
      <c r="AE19" s="13"/>
      <c r="AF19" s="13"/>
      <c r="AG19" s="12"/>
    </row>
    <row r="20" customFormat="false" ht="46.25" hidden="false" customHeight="false" outlineLevel="0" collapsed="false">
      <c r="A20" s="141" t="n">
        <v>214.11</v>
      </c>
      <c r="B20" s="142" t="n">
        <f aca="false">IF(ISNUMBER(A20),
    IF(AND(A20=INT(A20), MOD(A20, 10) = 0), 0,
        IF(AND(A20=INT(A20), LEN(A20)=2), 1,
            IF(AND(A20=INT(A20), LEN(A20)=3), 2,
                LEN(A20) - FIND(".", A20) + 2)
        )
    ),
"")</f>
        <v>4</v>
      </c>
      <c r="C20" s="143" t="s">
        <v>725</v>
      </c>
      <c r="D20" s="144" t="str">
        <f aca="false">REPT("   ", B20*2) &amp; C20</f>
        <v>                        Servicing Hot Cell Building Structure</v>
      </c>
      <c r="E20" s="144" t="s">
        <v>35</v>
      </c>
      <c r="F20" s="144" t="s">
        <v>630</v>
      </c>
      <c r="G20" s="146" t="n">
        <v>1</v>
      </c>
      <c r="H20" s="144"/>
      <c r="I20" s="144"/>
      <c r="J20" s="113"/>
      <c r="K20" s="147" t="n">
        <f aca="false">3476*3.2808^2</f>
        <v>37414.44267264</v>
      </c>
      <c r="L20" s="135" t="s">
        <v>102</v>
      </c>
      <c r="M20" s="148" t="s">
        <v>726</v>
      </c>
      <c r="N20" s="135" t="n">
        <f aca="false">338988/(3.2808^2)</f>
        <v>31493.7816476328</v>
      </c>
      <c r="O20" s="135" t="s">
        <v>104</v>
      </c>
      <c r="P20" s="186" t="n">
        <v>0.951385</v>
      </c>
      <c r="Q20" s="20" t="n">
        <v>2025</v>
      </c>
      <c r="R20" s="114" t="s">
        <v>96</v>
      </c>
      <c r="S20" s="137" t="s">
        <v>727</v>
      </c>
      <c r="T20" s="162"/>
      <c r="U20" s="163"/>
      <c r="V20" s="138"/>
      <c r="W20" s="12" t="s">
        <v>43</v>
      </c>
      <c r="X20" s="24" t="n">
        <f aca="false">0.8*$I20</f>
        <v>0</v>
      </c>
      <c r="Y20" s="24" t="n">
        <f aca="false">2*J20</f>
        <v>0</v>
      </c>
      <c r="Z20" s="12" t="s">
        <v>44</v>
      </c>
      <c r="AA20" s="13" t="n">
        <f aca="false">0.8*K20</f>
        <v>29931.554138112</v>
      </c>
      <c r="AB20" s="13" t="n">
        <f aca="false">2*K20</f>
        <v>74828.88534528</v>
      </c>
      <c r="AC20" s="12" t="s">
        <v>44</v>
      </c>
      <c r="AD20" s="13" t="s">
        <v>45</v>
      </c>
      <c r="AE20" s="13" t="s">
        <v>46</v>
      </c>
      <c r="AF20" s="13" t="s">
        <v>47</v>
      </c>
      <c r="AG20" s="12" t="s">
        <v>48</v>
      </c>
    </row>
    <row r="21" customFormat="false" ht="13.5" hidden="false" customHeight="false" outlineLevel="0" collapsed="false">
      <c r="A21" s="30" t="n">
        <v>214.2</v>
      </c>
      <c r="B21" s="9" t="n">
        <f aca="false">IF(ISNUMBER(A21),
    IF(AND(A21=INT(A21), MOD(A21, 10) = 0), 0,
        IF(AND(A21=INT(A21), LEN(A21)=2), 1,
            IF(AND(A21=INT(A21), LEN(A21)=3), 2,
                LEN(A21) - FIND(".", A21) + 2)
        )
    ),
"")</f>
        <v>3</v>
      </c>
      <c r="C21" s="15" t="s">
        <v>728</v>
      </c>
      <c r="D21" s="10"/>
      <c r="E21" s="10"/>
      <c r="F21" s="10"/>
      <c r="G21" s="111"/>
      <c r="H21" s="10"/>
      <c r="I21" s="10"/>
      <c r="J21" s="185"/>
      <c r="K21" s="113"/>
      <c r="L21" s="114"/>
      <c r="M21" s="117"/>
      <c r="N21" s="114"/>
      <c r="O21" s="114"/>
      <c r="P21" s="116"/>
      <c r="Q21" s="116"/>
      <c r="R21" s="114"/>
      <c r="S21" s="117"/>
      <c r="T21" s="21"/>
      <c r="U21" s="115"/>
      <c r="V21" s="23"/>
      <c r="W21" s="12"/>
      <c r="X21" s="24"/>
      <c r="Y21" s="24"/>
      <c r="Z21" s="12"/>
      <c r="AA21" s="13"/>
      <c r="AB21" s="13"/>
      <c r="AC21" s="12"/>
      <c r="AD21" s="13"/>
      <c r="AE21" s="13"/>
      <c r="AF21" s="13"/>
      <c r="AG21" s="12"/>
    </row>
    <row r="22" customFormat="false" ht="46.25" hidden="false" customHeight="false" outlineLevel="0" collapsed="false">
      <c r="A22" s="141" t="n">
        <v>214.21</v>
      </c>
      <c r="B22" s="142" t="n">
        <f aca="false">IF(ISNUMBER(A22),
    IF(AND(A22=INT(A22), MOD(A22, 10) = 0), 0,
        IF(AND(A22=INT(A22), LEN(A22)=2), 1,
            IF(AND(A22=INT(A22), LEN(A22)=3), 2,
                LEN(A22) - FIND(".", A22) + 2)
        )
    ),
"")</f>
        <v>4</v>
      </c>
      <c r="C22" s="143" t="s">
        <v>729</v>
      </c>
      <c r="D22" s="144" t="str">
        <f aca="false">REPT("   ", B22*2) &amp; C22</f>
        <v>                        Helium Purification and Storage Building Structure</v>
      </c>
      <c r="E22" s="144" t="s">
        <v>35</v>
      </c>
      <c r="F22" s="144" t="s">
        <v>630</v>
      </c>
      <c r="G22" s="146" t="n">
        <v>1</v>
      </c>
      <c r="H22" s="144"/>
      <c r="I22" s="144"/>
      <c r="J22" s="147"/>
      <c r="K22" s="147" t="n">
        <f aca="false">3031*(3.2808^2)</f>
        <v>32624.61902784</v>
      </c>
      <c r="L22" s="135" t="s">
        <v>102</v>
      </c>
      <c r="M22" s="148" t="s">
        <v>730</v>
      </c>
      <c r="N22" s="135" t="n">
        <v>1</v>
      </c>
      <c r="O22" s="135" t="s">
        <v>104</v>
      </c>
      <c r="P22" s="136" t="n">
        <v>1</v>
      </c>
      <c r="Q22" s="20" t="n">
        <v>2025</v>
      </c>
      <c r="R22" s="114" t="s">
        <v>96</v>
      </c>
      <c r="S22" s="137" t="s">
        <v>731</v>
      </c>
      <c r="T22" s="162"/>
      <c r="U22" s="163"/>
      <c r="V22" s="138"/>
      <c r="W22" s="138" t="s">
        <v>43</v>
      </c>
      <c r="X22" s="139" t="n">
        <f aca="false">0.9*$I22</f>
        <v>0</v>
      </c>
      <c r="Y22" s="139" t="n">
        <f aca="false">1.5*J22</f>
        <v>0</v>
      </c>
      <c r="Z22" s="138" t="s">
        <v>44</v>
      </c>
      <c r="AA22" s="140" t="n">
        <f aca="false">0.9*K22</f>
        <v>29362.157125056</v>
      </c>
      <c r="AB22" s="140" t="n">
        <f aca="false">1.3*K22</f>
        <v>42412.004736192</v>
      </c>
      <c r="AC22" s="138" t="s">
        <v>44</v>
      </c>
      <c r="AD22" s="140" t="s">
        <v>45</v>
      </c>
      <c r="AE22" s="140" t="s">
        <v>46</v>
      </c>
      <c r="AF22" s="140" t="s">
        <v>47</v>
      </c>
      <c r="AG22" s="138" t="s">
        <v>48</v>
      </c>
    </row>
    <row r="23" customFormat="false" ht="13.5" hidden="false" customHeight="false" outlineLevel="0" collapsed="false">
      <c r="A23" s="30" t="n">
        <v>214.3</v>
      </c>
      <c r="B23" s="9" t="n">
        <f aca="false">IF(ISNUMBER(A23),
    IF(AND(A23=INT(A23), MOD(A23, 10) = 0), 0,
        IF(AND(A23=INT(A23), LEN(A23)=2), 1,
            IF(AND(A23=INT(A23), LEN(A23)=3), 2,
                LEN(A23) - FIND(".", A23) + 2)
        )
    ),
"")</f>
        <v>3</v>
      </c>
      <c r="C23" s="15" t="s">
        <v>642</v>
      </c>
      <c r="D23" s="10" t="str">
        <f aca="false">REPT("   ", B23*2) &amp; C23</f>
        <v>                  Control Buidlings</v>
      </c>
      <c r="E23" s="10"/>
      <c r="F23" s="10"/>
      <c r="G23" s="111"/>
      <c r="H23" s="10"/>
      <c r="I23" s="10"/>
      <c r="J23" s="134"/>
      <c r="K23" s="113"/>
      <c r="L23" s="18"/>
      <c r="M23" s="15"/>
      <c r="N23" s="114"/>
      <c r="O23" s="18"/>
      <c r="P23" s="116"/>
      <c r="Q23" s="20"/>
      <c r="R23" s="18"/>
      <c r="S23" s="21"/>
      <c r="T23" s="21"/>
      <c r="U23" s="115"/>
      <c r="V23" s="23"/>
      <c r="W23" s="12"/>
      <c r="X23" s="24"/>
      <c r="Y23" s="24"/>
      <c r="Z23" s="12"/>
      <c r="AA23" s="13"/>
      <c r="AB23" s="13"/>
      <c r="AC23" s="12"/>
      <c r="AD23" s="13"/>
      <c r="AE23" s="13"/>
      <c r="AF23" s="13"/>
      <c r="AG23" s="12"/>
    </row>
    <row r="24" customFormat="false" ht="57" hidden="false" customHeight="false" outlineLevel="0" collapsed="false">
      <c r="A24" s="30" t="n">
        <v>214.31</v>
      </c>
      <c r="B24" s="9" t="n">
        <v>4</v>
      </c>
      <c r="C24" s="15" t="s">
        <v>732</v>
      </c>
      <c r="D24" s="10" t="str">
        <f aca="false">REPT("   ", B24*2) &amp; C24</f>
        <v>                        Local Control Building Structure</v>
      </c>
      <c r="E24" s="10" t="s">
        <v>35</v>
      </c>
      <c r="F24" s="10" t="s">
        <v>630</v>
      </c>
      <c r="G24" s="111" t="n">
        <v>1</v>
      </c>
      <c r="H24" s="10"/>
      <c r="I24" s="10"/>
      <c r="J24" s="134"/>
      <c r="K24" s="113" t="n">
        <f aca="false">0.7*2653*(3.2808^2)</f>
        <v>19989.171889344</v>
      </c>
      <c r="L24" s="18" t="s">
        <v>102</v>
      </c>
      <c r="M24" s="15" t="s">
        <v>733</v>
      </c>
      <c r="N24" s="135" t="n">
        <v>1</v>
      </c>
      <c r="O24" s="135" t="s">
        <v>104</v>
      </c>
      <c r="P24" s="136" t="n">
        <v>1</v>
      </c>
      <c r="Q24" s="20" t="n">
        <v>2025</v>
      </c>
      <c r="R24" s="114" t="s">
        <v>96</v>
      </c>
      <c r="S24" s="137" t="s">
        <v>645</v>
      </c>
      <c r="T24" s="21"/>
      <c r="U24" s="115"/>
      <c r="V24" s="23"/>
      <c r="W24" s="138" t="s">
        <v>43</v>
      </c>
      <c r="X24" s="139" t="n">
        <f aca="false">0.9*$I24</f>
        <v>0</v>
      </c>
      <c r="Y24" s="139" t="n">
        <f aca="false">1.5*J24</f>
        <v>0</v>
      </c>
      <c r="Z24" s="138" t="s">
        <v>44</v>
      </c>
      <c r="AA24" s="140" t="n">
        <f aca="false">0.9*K24</f>
        <v>17990.2547004096</v>
      </c>
      <c r="AB24" s="140" t="n">
        <f aca="false">1.3*K24</f>
        <v>25985.9234561472</v>
      </c>
      <c r="AC24" s="138" t="s">
        <v>44</v>
      </c>
      <c r="AD24" s="140" t="s">
        <v>45</v>
      </c>
      <c r="AE24" s="140" t="s">
        <v>46</v>
      </c>
      <c r="AF24" s="140" t="s">
        <v>47</v>
      </c>
      <c r="AG24" s="138" t="s">
        <v>48</v>
      </c>
    </row>
    <row r="25" customFormat="false" ht="57" hidden="false" customHeight="false" outlineLevel="0" collapsed="false">
      <c r="A25" s="30" t="n">
        <v>214.32</v>
      </c>
      <c r="B25" s="9" t="n">
        <v>4</v>
      </c>
      <c r="C25" s="15" t="s">
        <v>734</v>
      </c>
      <c r="D25" s="10" t="str">
        <f aca="false">REPT("   ", B25*2) &amp; C25</f>
        <v>                        Remote Control Center Structure</v>
      </c>
      <c r="E25" s="10" t="s">
        <v>35</v>
      </c>
      <c r="F25" s="10" t="s">
        <v>630</v>
      </c>
      <c r="G25" s="111" t="n">
        <v>1</v>
      </c>
      <c r="H25" s="10"/>
      <c r="I25" s="10"/>
      <c r="J25" s="134"/>
      <c r="K25" s="113" t="n">
        <f aca="false">0.7*2307*(3.2808^2)</f>
        <v>17382.216188736</v>
      </c>
      <c r="L25" s="18" t="s">
        <v>102</v>
      </c>
      <c r="M25" s="15" t="s">
        <v>735</v>
      </c>
      <c r="N25" s="135" t="n">
        <v>1</v>
      </c>
      <c r="O25" s="135" t="s">
        <v>104</v>
      </c>
      <c r="P25" s="136" t="n">
        <v>1</v>
      </c>
      <c r="Q25" s="20" t="n">
        <v>2025</v>
      </c>
      <c r="R25" s="114" t="s">
        <v>96</v>
      </c>
      <c r="S25" s="137" t="s">
        <v>645</v>
      </c>
      <c r="T25" s="21"/>
      <c r="U25" s="115"/>
      <c r="V25" s="23"/>
      <c r="W25" s="138" t="s">
        <v>43</v>
      </c>
      <c r="X25" s="139" t="n">
        <f aca="false">0.9*$I25</f>
        <v>0</v>
      </c>
      <c r="Y25" s="139" t="n">
        <f aca="false">1.5*J25</f>
        <v>0</v>
      </c>
      <c r="Z25" s="138" t="s">
        <v>44</v>
      </c>
      <c r="AA25" s="140" t="n">
        <f aca="false">0.9*K25</f>
        <v>15643.9945698624</v>
      </c>
      <c r="AB25" s="140" t="n">
        <f aca="false">1.3*K25</f>
        <v>22596.8810453568</v>
      </c>
      <c r="AC25" s="138" t="s">
        <v>44</v>
      </c>
      <c r="AD25" s="140" t="n">
        <v>0.1</v>
      </c>
      <c r="AE25" s="140" t="s">
        <v>46</v>
      </c>
      <c r="AF25" s="140" t="s">
        <v>47</v>
      </c>
      <c r="AG25" s="138" t="s">
        <v>48</v>
      </c>
    </row>
    <row r="26" customFormat="false" ht="13.5" hidden="false" customHeight="false" outlineLevel="0" collapsed="false">
      <c r="A26" s="30" t="n">
        <v>214.4</v>
      </c>
      <c r="B26" s="9" t="n">
        <f aca="false">IF(ISNUMBER(A26),
    IF(AND(A26=INT(A26), MOD(A26, 10) = 0), 0,
        IF(AND(A26=INT(A26), LEN(A26)=2), 1,
            IF(AND(A26=INT(A26), LEN(A26)=3), 2,
                LEN(A26) - FIND(".", A26) + 2)
        )
    ),
"")</f>
        <v>3</v>
      </c>
      <c r="C26" s="15" t="s">
        <v>736</v>
      </c>
      <c r="D26" s="10" t="str">
        <f aca="false">REPT("   ", B26*2) &amp; C26</f>
        <v>                  Radioactive Waste Processing Building</v>
      </c>
      <c r="E26" s="10"/>
      <c r="F26" s="10"/>
      <c r="G26" s="111"/>
      <c r="H26" s="10"/>
      <c r="I26" s="10"/>
      <c r="J26" s="134"/>
      <c r="K26" s="113"/>
      <c r="L26" s="114"/>
      <c r="M26" s="117"/>
      <c r="N26" s="114"/>
      <c r="O26" s="114"/>
      <c r="P26" s="116"/>
      <c r="Q26" s="116"/>
      <c r="R26" s="114"/>
      <c r="S26" s="117"/>
      <c r="T26" s="21"/>
      <c r="U26" s="115"/>
      <c r="V26" s="23"/>
      <c r="W26" s="12"/>
      <c r="X26" s="24"/>
      <c r="Y26" s="24"/>
      <c r="Z26" s="12"/>
      <c r="AA26" s="13"/>
      <c r="AB26" s="13"/>
      <c r="AC26" s="12"/>
      <c r="AD26" s="13"/>
      <c r="AE26" s="13"/>
      <c r="AF26" s="13"/>
      <c r="AG26" s="12"/>
    </row>
    <row r="27" customFormat="false" ht="46.25" hidden="false" customHeight="false" outlineLevel="0" collapsed="false">
      <c r="A27" s="30" t="n">
        <v>214.41</v>
      </c>
      <c r="B27" s="9" t="n">
        <f aca="false">IF(ISNUMBER(A27),
    IF(AND(A27=INT(A27), MOD(A27, 10) = 0), 0,
        IF(AND(A27=INT(A27), LEN(A27)=2), 1,
            IF(AND(A27=INT(A27), LEN(A27)=3), 2,
                LEN(A27) - FIND(".", A27) + 2)
        )
    ),
"")</f>
        <v>4</v>
      </c>
      <c r="C27" s="15" t="s">
        <v>737</v>
      </c>
      <c r="D27" s="10" t="str">
        <f aca="false">REPT("   ", B27*2) &amp; C27</f>
        <v>                        Radioactive Waste Processing Building Structure</v>
      </c>
      <c r="E27" s="144" t="s">
        <v>35</v>
      </c>
      <c r="F27" s="144" t="s">
        <v>630</v>
      </c>
      <c r="G27" s="146" t="n">
        <v>1</v>
      </c>
      <c r="H27" s="144"/>
      <c r="I27" s="144"/>
      <c r="J27" s="113"/>
      <c r="K27" s="147" t="n">
        <f aca="false">4354*(3.2808^2)</f>
        <v>46864.92617856</v>
      </c>
      <c r="L27" s="135" t="s">
        <v>102</v>
      </c>
      <c r="M27" s="148" t="s">
        <v>738</v>
      </c>
      <c r="N27" s="135" t="n">
        <v>1</v>
      </c>
      <c r="O27" s="135" t="s">
        <v>104</v>
      </c>
      <c r="P27" s="136" t="n">
        <v>1</v>
      </c>
      <c r="Q27" s="20" t="n">
        <v>2025</v>
      </c>
      <c r="R27" s="114" t="s">
        <v>96</v>
      </c>
      <c r="S27" s="137" t="s">
        <v>731</v>
      </c>
      <c r="T27" s="21"/>
      <c r="U27" s="115"/>
      <c r="V27" s="23"/>
      <c r="W27" s="138" t="s">
        <v>43</v>
      </c>
      <c r="X27" s="139" t="n">
        <f aca="false">0.9*$I27</f>
        <v>0</v>
      </c>
      <c r="Y27" s="139" t="n">
        <f aca="false">1.5*J27</f>
        <v>0</v>
      </c>
      <c r="Z27" s="138" t="s">
        <v>44</v>
      </c>
      <c r="AA27" s="140" t="n">
        <f aca="false">0.9*K27</f>
        <v>42178.433560704</v>
      </c>
      <c r="AB27" s="140" t="n">
        <f aca="false">1.3*K27</f>
        <v>60924.404032128</v>
      </c>
      <c r="AC27" s="138" t="s">
        <v>44</v>
      </c>
      <c r="AD27" s="140" t="n">
        <v>0.1</v>
      </c>
      <c r="AE27" s="140" t="s">
        <v>46</v>
      </c>
      <c r="AF27" s="140" t="s">
        <v>47</v>
      </c>
      <c r="AG27" s="138" t="s">
        <v>48</v>
      </c>
    </row>
    <row r="28" customFormat="false" ht="57.45" hidden="false" customHeight="false" outlineLevel="0" collapsed="false">
      <c r="A28" s="30" t="n">
        <v>214.6</v>
      </c>
      <c r="B28" s="9" t="n">
        <f aca="false">IF(ISNUMBER(A28),
    IF(AND(A28=INT(A28), MOD(A28, 10) = 0), 0,
        IF(AND(A28=INT(A28), LEN(A28)=2), 1,
            IF(AND(A28=INT(A28), LEN(A28)=3), 2,
                LEN(A28) - FIND(".", A28) + 2)
        )
    ),
"")</f>
        <v>3</v>
      </c>
      <c r="C28" s="15" t="s">
        <v>739</v>
      </c>
      <c r="D28" s="10" t="str">
        <f aca="false">REPT("   ", B28*2) &amp; C28</f>
        <v>                  Used Fuel Storage Pads</v>
      </c>
      <c r="E28" s="10" t="s">
        <v>35</v>
      </c>
      <c r="F28" s="10"/>
      <c r="G28" s="111"/>
      <c r="H28" s="10"/>
      <c r="I28" s="10"/>
      <c r="J28" s="134"/>
      <c r="K28" s="113" t="n">
        <v>6171250</v>
      </c>
      <c r="L28" s="18" t="s">
        <v>740</v>
      </c>
      <c r="M28" s="148" t="s">
        <v>741</v>
      </c>
      <c r="N28" s="114" t="n">
        <v>1</v>
      </c>
      <c r="O28" s="18" t="s">
        <v>742</v>
      </c>
      <c r="P28" s="116" t="n">
        <v>1</v>
      </c>
      <c r="Q28" s="20" t="n">
        <v>2009</v>
      </c>
      <c r="R28" s="18" t="s">
        <v>96</v>
      </c>
      <c r="S28" s="21" t="s">
        <v>743</v>
      </c>
      <c r="T28" s="21"/>
      <c r="U28" s="133" t="s">
        <v>744</v>
      </c>
      <c r="V28" s="23"/>
      <c r="W28" s="138" t="s">
        <v>43</v>
      </c>
      <c r="X28" s="139" t="n">
        <f aca="false">0.9*$I28</f>
        <v>0</v>
      </c>
      <c r="Y28" s="139" t="n">
        <f aca="false">1.5*J28</f>
        <v>0</v>
      </c>
      <c r="Z28" s="138" t="s">
        <v>44</v>
      </c>
      <c r="AA28" s="140" t="n">
        <f aca="false">0.9*K28</f>
        <v>5554125</v>
      </c>
      <c r="AB28" s="140" t="n">
        <f aca="false">1.3*K28</f>
        <v>8022625</v>
      </c>
      <c r="AC28" s="138" t="s">
        <v>44</v>
      </c>
      <c r="AD28" s="140" t="n">
        <v>0.1</v>
      </c>
      <c r="AE28" s="140" t="s">
        <v>46</v>
      </c>
      <c r="AF28" s="140" t="s">
        <v>47</v>
      </c>
      <c r="AG28" s="138" t="s">
        <v>48</v>
      </c>
    </row>
    <row r="29" customFormat="false" ht="46.25" hidden="false" customHeight="false" outlineLevel="0" collapsed="false">
      <c r="A29" s="30" t="n">
        <v>214.7</v>
      </c>
      <c r="B29" s="9" t="n">
        <f aca="false">IF(ISNUMBER(A29),
    IF(AND(A29=INT(A29), MOD(A29, 10) = 0), 0,
        IF(AND(A29=INT(A29), LEN(A29)=2), 1,
            IF(AND(A29=INT(A29), LEN(A29)=3), 2,
                LEN(A29) - FIND(".", A29) + 2)
        )
    ),
"")</f>
        <v>3</v>
      </c>
      <c r="C29" s="15" t="s">
        <v>745</v>
      </c>
      <c r="D29" s="10" t="str">
        <f aca="false">REPT("   ", B29*2) &amp; C29</f>
        <v>                  Rad Waste Storage Warehouses</v>
      </c>
      <c r="E29" s="10" t="s">
        <v>35</v>
      </c>
      <c r="F29" s="10"/>
      <c r="G29" s="111"/>
      <c r="H29" s="10"/>
      <c r="I29" s="10"/>
      <c r="J29" s="134"/>
      <c r="K29" s="113" t="n">
        <f aca="false">1171*(3.2808^2)</f>
        <v>12604.23255744</v>
      </c>
      <c r="L29" s="18" t="s">
        <v>102</v>
      </c>
      <c r="M29" s="148" t="s">
        <v>746</v>
      </c>
      <c r="N29" s="114" t="n">
        <v>1</v>
      </c>
      <c r="O29" s="18" t="s">
        <v>104</v>
      </c>
      <c r="P29" s="116" t="n">
        <v>1</v>
      </c>
      <c r="Q29" s="20" t="n">
        <v>2025</v>
      </c>
      <c r="R29" s="18" t="s">
        <v>96</v>
      </c>
      <c r="S29" s="137" t="s">
        <v>731</v>
      </c>
      <c r="T29" s="21"/>
      <c r="U29" s="115"/>
      <c r="V29" s="23"/>
      <c r="W29" s="138" t="s">
        <v>43</v>
      </c>
      <c r="X29" s="139" t="n">
        <f aca="false">0.9*$I29</f>
        <v>0</v>
      </c>
      <c r="Y29" s="139" t="n">
        <f aca="false">1.5*J29</f>
        <v>0</v>
      </c>
      <c r="Z29" s="138" t="s">
        <v>44</v>
      </c>
      <c r="AA29" s="140" t="n">
        <f aca="false">0.9*K29</f>
        <v>11343.809301696</v>
      </c>
      <c r="AB29" s="140" t="n">
        <f aca="false">1.3*K29</f>
        <v>16385.502324672</v>
      </c>
      <c r="AC29" s="138" t="s">
        <v>44</v>
      </c>
      <c r="AD29" s="140" t="n">
        <v>0.1</v>
      </c>
      <c r="AE29" s="140" t="s">
        <v>46</v>
      </c>
      <c r="AF29" s="140" t="s">
        <v>47</v>
      </c>
      <c r="AG29" s="138" t="s">
        <v>48</v>
      </c>
    </row>
    <row r="30" customFormat="false" ht="13.5" hidden="false" customHeight="false" outlineLevel="0" collapsed="false">
      <c r="A30" s="30" t="n">
        <v>215</v>
      </c>
      <c r="B30" s="9" t="n">
        <f aca="false">IF(ISNUMBER(A30),
    IF(AND(A30=INT(A30), MOD(A30, 10) = 0), 0,
        IF(AND(A30=INT(A30), LEN(A30)=2), 1,
            IF(AND(A30=INT(A30), LEN(A30)=3), 2,
                LEN(A30) - FIND(".", A30) + 2)
        )
    ),
"")</f>
        <v>2</v>
      </c>
      <c r="C30" s="15" t="s">
        <v>747</v>
      </c>
      <c r="D30" s="10" t="str">
        <f aca="false">REPT("   ", B30*2) &amp; C30</f>
        <v>            Air Tranport Hangar</v>
      </c>
      <c r="E30" s="10"/>
      <c r="F30" s="10"/>
      <c r="G30" s="111"/>
      <c r="H30" s="10"/>
      <c r="I30" s="10"/>
      <c r="J30" s="134"/>
      <c r="K30" s="113"/>
      <c r="L30" s="18"/>
      <c r="M30" s="148"/>
      <c r="N30" s="114"/>
      <c r="O30" s="18"/>
      <c r="P30" s="116"/>
      <c r="Q30" s="20"/>
      <c r="R30" s="18"/>
      <c r="S30" s="137"/>
      <c r="T30" s="21"/>
      <c r="U30" s="115"/>
      <c r="V30" s="23"/>
      <c r="W30" s="138"/>
      <c r="X30" s="139"/>
      <c r="Y30" s="139"/>
      <c r="Z30" s="138"/>
      <c r="AA30" s="140"/>
      <c r="AB30" s="140"/>
      <c r="AC30" s="138"/>
      <c r="AD30" s="140"/>
      <c r="AE30" s="140"/>
      <c r="AF30" s="140"/>
      <c r="AG30" s="138"/>
    </row>
    <row r="31" customFormat="false" ht="13.5" hidden="false" customHeight="false" outlineLevel="0" collapsed="false">
      <c r="A31" s="30" t="n">
        <v>215.1</v>
      </c>
      <c r="B31" s="9" t="n">
        <f aca="false">IF(ISNUMBER(A31),
    IF(AND(A31=INT(A31), MOD(A31, 10) = 0), 0,
        IF(AND(A31=INT(A31), LEN(A31)=2), 1,
            IF(AND(A31=INT(A31), LEN(A31)=3), 2,
                LEN(A31) - FIND(".", A31) + 2)
        )
    ),
"")</f>
        <v>3</v>
      </c>
      <c r="C31" s="15" t="s">
        <v>748</v>
      </c>
      <c r="D31" s="10" t="str">
        <f aca="false">REPT("   ", B31*2) &amp; C31</f>
        <v>                  Air Transport Hangar</v>
      </c>
      <c r="E31" s="10" t="s">
        <v>35</v>
      </c>
      <c r="F31" s="10"/>
      <c r="G31" s="111"/>
      <c r="H31" s="10"/>
      <c r="I31" s="10"/>
      <c r="J31" s="187" t="n">
        <v>10000000</v>
      </c>
      <c r="K31" s="113"/>
      <c r="L31" s="18"/>
      <c r="M31" s="148"/>
      <c r="N31" s="114"/>
      <c r="O31" s="18"/>
      <c r="P31" s="116"/>
      <c r="Q31" s="20" t="n">
        <v>2024</v>
      </c>
      <c r="R31" s="18" t="s">
        <v>163</v>
      </c>
      <c r="S31" s="137" t="s">
        <v>749</v>
      </c>
      <c r="T31" s="21"/>
      <c r="U31" s="115"/>
      <c r="V31" s="23"/>
      <c r="W31" s="138" t="s">
        <v>43</v>
      </c>
      <c r="X31" s="139" t="n">
        <f aca="false">0.9*$I31</f>
        <v>0</v>
      </c>
      <c r="Y31" s="139" t="n">
        <f aca="false">1.5*J31</f>
        <v>15000000</v>
      </c>
      <c r="Z31" s="138" t="s">
        <v>44</v>
      </c>
      <c r="AA31" s="140" t="n">
        <f aca="false">0.9*K31</f>
        <v>0</v>
      </c>
      <c r="AB31" s="140" t="n">
        <f aca="false">1.3*K31</f>
        <v>0</v>
      </c>
      <c r="AC31" s="138" t="s">
        <v>44</v>
      </c>
      <c r="AD31" s="140" t="n">
        <v>0.1</v>
      </c>
      <c r="AE31" s="140" t="s">
        <v>46</v>
      </c>
      <c r="AF31" s="140" t="s">
        <v>47</v>
      </c>
      <c r="AG31" s="138" t="s">
        <v>48</v>
      </c>
    </row>
    <row r="32" customFormat="false" ht="13.5" hidden="false" customHeight="false" outlineLevel="0" collapsed="false">
      <c r="A32" s="6" t="n">
        <v>22</v>
      </c>
      <c r="B32" s="9" t="n">
        <f aca="false">IF(ISNUMBER(A32),
    IF(AND(A32=INT(A32), MOD(A32, 10) = 0), 0,
        IF(AND(A32=INT(A32), LEN(A32)=2), 1,
            IF(AND(A32=INT(A32), LEN(A32)=3), 2,
                LEN(A32) - FIND(".", A32) + 2)
        )
    ),
"")</f>
        <v>1</v>
      </c>
      <c r="C32" s="37" t="s">
        <v>646</v>
      </c>
      <c r="D32" s="10" t="str">
        <f aca="false">REPT("   ", B32*2) &amp; C32</f>
        <v>      Main Facilities Estimated As Wholes</v>
      </c>
      <c r="E32" s="10"/>
      <c r="F32" s="10"/>
      <c r="G32" s="111"/>
      <c r="H32" s="10"/>
      <c r="I32" s="10"/>
      <c r="J32" s="113"/>
      <c r="K32" s="113"/>
      <c r="L32" s="114"/>
      <c r="M32" s="10"/>
      <c r="N32" s="23"/>
      <c r="O32" s="23"/>
      <c r="P32" s="20"/>
      <c r="Q32" s="20"/>
      <c r="R32" s="23"/>
      <c r="S32" s="26"/>
      <c r="T32" s="23"/>
      <c r="U32" s="23"/>
      <c r="V32" s="23"/>
      <c r="W32" s="12"/>
      <c r="X32" s="24"/>
      <c r="Y32" s="24"/>
      <c r="Z32" s="12"/>
      <c r="AA32" s="13"/>
      <c r="AB32" s="13"/>
      <c r="AC32" s="12"/>
      <c r="AD32" s="13"/>
      <c r="AE32" s="13"/>
      <c r="AF32" s="13"/>
      <c r="AG32" s="12"/>
    </row>
    <row r="33" customFormat="false" ht="46.25" hidden="false" customHeight="false" outlineLevel="0" collapsed="false">
      <c r="A33" s="141" t="n">
        <v>221</v>
      </c>
      <c r="B33" s="142" t="n">
        <v>2</v>
      </c>
      <c r="C33" s="143" t="s">
        <v>750</v>
      </c>
      <c r="D33" s="144" t="str">
        <f aca="false">REPT("   ", B33*2) &amp; C33</f>
        <v>            Reactor Cask Management Yard and Inspection Shop</v>
      </c>
      <c r="E33" s="144" t="s">
        <v>35</v>
      </c>
      <c r="F33" s="144"/>
      <c r="G33" s="146"/>
      <c r="H33" s="144"/>
      <c r="I33" s="144"/>
      <c r="J33" s="113"/>
      <c r="K33" s="147" t="n">
        <f aca="false">0.7*17946522/N33</f>
        <v>41875.218</v>
      </c>
      <c r="L33" s="135"/>
      <c r="M33" s="148" t="s">
        <v>741</v>
      </c>
      <c r="N33" s="135" t="n">
        <v>300</v>
      </c>
      <c r="O33" s="135" t="s">
        <v>649</v>
      </c>
      <c r="P33" s="186" t="n">
        <v>0.25048</v>
      </c>
      <c r="Q33" s="20" t="n">
        <v>2025</v>
      </c>
      <c r="R33" s="114" t="s">
        <v>96</v>
      </c>
      <c r="S33" s="137" t="s">
        <v>668</v>
      </c>
      <c r="T33" s="21"/>
      <c r="U33" s="115"/>
      <c r="V33" s="23"/>
      <c r="W33" s="138" t="s">
        <v>43</v>
      </c>
      <c r="X33" s="139" t="n">
        <f aca="false">0.9*$I33</f>
        <v>0</v>
      </c>
      <c r="Y33" s="139" t="n">
        <f aca="false">1.5*J33</f>
        <v>0</v>
      </c>
      <c r="Z33" s="138" t="s">
        <v>44</v>
      </c>
      <c r="AA33" s="140" t="n">
        <f aca="false">0.9*K33</f>
        <v>37687.6962</v>
      </c>
      <c r="AB33" s="140" t="n">
        <f aca="false">1.3*K33</f>
        <v>54437.7834</v>
      </c>
      <c r="AC33" s="138" t="s">
        <v>44</v>
      </c>
      <c r="AD33" s="140" t="s">
        <v>45</v>
      </c>
      <c r="AE33" s="140" t="s">
        <v>46</v>
      </c>
      <c r="AF33" s="140" t="s">
        <v>47</v>
      </c>
      <c r="AG33" s="138" t="s">
        <v>48</v>
      </c>
    </row>
    <row r="34" customFormat="false" ht="46.25" hidden="false" customHeight="false" outlineLevel="0" collapsed="false">
      <c r="A34" s="141" t="n">
        <v>222</v>
      </c>
      <c r="B34" s="142" t="n">
        <f aca="false">IF(ISNUMBER(A34),
    IF(AND(A34=INT(A34), MOD(A34, 10) = 0), 0,
        IF(AND(A34=INT(A34), LEN(A34)=2), 1,
            IF(AND(A34=INT(A34), LEN(A34)=3), 2,
                LEN(A34) - FIND(".", A34) + 2)
        )
    ),
"")</f>
        <v>2</v>
      </c>
      <c r="C34" s="143" t="s">
        <v>751</v>
      </c>
      <c r="D34" s="144" t="str">
        <f aca="false">REPT("   ", B34*2) &amp; C34</f>
        <v>            Vehicle Depot and Mechanic Shop</v>
      </c>
      <c r="E34" s="144" t="s">
        <v>35</v>
      </c>
      <c r="F34" s="144"/>
      <c r="G34" s="146"/>
      <c r="H34" s="144"/>
      <c r="I34" s="144"/>
      <c r="J34" s="113"/>
      <c r="K34" s="147" t="n">
        <f aca="false">0.7*58097655/N34</f>
        <v>135561.195</v>
      </c>
      <c r="L34" s="135"/>
      <c r="M34" s="148" t="s">
        <v>741</v>
      </c>
      <c r="N34" s="135" t="n">
        <v>300</v>
      </c>
      <c r="O34" s="135" t="s">
        <v>104</v>
      </c>
      <c r="P34" s="149" t="n">
        <v>0.266665</v>
      </c>
      <c r="Q34" s="20" t="n">
        <v>2025</v>
      </c>
      <c r="R34" s="114" t="s">
        <v>96</v>
      </c>
      <c r="S34" s="137" t="s">
        <v>668</v>
      </c>
      <c r="T34" s="21"/>
      <c r="U34" s="115"/>
      <c r="V34" s="23"/>
      <c r="W34" s="138" t="s">
        <v>43</v>
      </c>
      <c r="X34" s="139" t="n">
        <f aca="false">0.9*$I34</f>
        <v>0</v>
      </c>
      <c r="Y34" s="139" t="n">
        <f aca="false">1.5*J34</f>
        <v>0</v>
      </c>
      <c r="Z34" s="138" t="s">
        <v>44</v>
      </c>
      <c r="AA34" s="140" t="n">
        <f aca="false">0.9*K34</f>
        <v>122005.0755</v>
      </c>
      <c r="AB34" s="140" t="n">
        <f aca="false">1.3*K34</f>
        <v>176229.5535</v>
      </c>
      <c r="AC34" s="138" t="s">
        <v>44</v>
      </c>
      <c r="AD34" s="140" t="s">
        <v>45</v>
      </c>
      <c r="AE34" s="140" t="s">
        <v>46</v>
      </c>
      <c r="AF34" s="140" t="s">
        <v>47</v>
      </c>
      <c r="AG34" s="138" t="s">
        <v>48</v>
      </c>
    </row>
    <row r="35" customFormat="false" ht="46.25" hidden="false" customHeight="false" outlineLevel="0" collapsed="false">
      <c r="A35" s="141" t="n">
        <v>224</v>
      </c>
      <c r="B35" s="142" t="n">
        <f aca="false">IF(ISNUMBER(A35),
    IF(AND(A35=INT(A35), MOD(A35, 10) = 0), 0,
        IF(AND(A35=INT(A35), LEN(A35)=2), 1,
            IF(AND(A35=INT(A35), LEN(A35)=3), 2,
                LEN(A35) - FIND(".", A35) + 2)
        )
    ),
"")</f>
        <v>2</v>
      </c>
      <c r="C35" s="143" t="s">
        <v>752</v>
      </c>
      <c r="D35" s="144" t="str">
        <f aca="false">REPT("   ", B35*2) &amp; C35</f>
        <v>            Parts Service Center and Warehouse</v>
      </c>
      <c r="E35" s="144" t="s">
        <v>35</v>
      </c>
      <c r="F35" s="144"/>
      <c r="G35" s="146"/>
      <c r="H35" s="144"/>
      <c r="I35" s="144"/>
      <c r="J35" s="155"/>
      <c r="K35" s="147" t="n">
        <v>3842.71</v>
      </c>
      <c r="L35" s="156" t="s">
        <v>102</v>
      </c>
      <c r="M35" s="148" t="s">
        <v>753</v>
      </c>
      <c r="N35" s="135" t="n">
        <v>1</v>
      </c>
      <c r="O35" s="135" t="s">
        <v>104</v>
      </c>
      <c r="P35" s="136" t="n">
        <v>1</v>
      </c>
      <c r="Q35" s="20" t="n">
        <v>2025</v>
      </c>
      <c r="R35" s="114" t="s">
        <v>96</v>
      </c>
      <c r="S35" s="137"/>
      <c r="T35" s="21"/>
      <c r="U35" s="115"/>
      <c r="V35" s="23"/>
      <c r="W35" s="138" t="s">
        <v>43</v>
      </c>
      <c r="X35" s="139" t="n">
        <f aca="false">0.9*$I35</f>
        <v>0</v>
      </c>
      <c r="Y35" s="139" t="n">
        <f aca="false">1.5*J35</f>
        <v>0</v>
      </c>
      <c r="Z35" s="138" t="s">
        <v>44</v>
      </c>
      <c r="AA35" s="140" t="n">
        <f aca="false">0.9*K35</f>
        <v>3458.439</v>
      </c>
      <c r="AB35" s="140" t="n">
        <f aca="false">1.3*K35</f>
        <v>4995.523</v>
      </c>
      <c r="AC35" s="138" t="s">
        <v>44</v>
      </c>
      <c r="AD35" s="140" t="s">
        <v>45</v>
      </c>
      <c r="AE35" s="140" t="s">
        <v>46</v>
      </c>
      <c r="AF35" s="140" t="s">
        <v>47</v>
      </c>
      <c r="AG35" s="138" t="s">
        <v>48</v>
      </c>
    </row>
    <row r="36" customFormat="false" ht="57" hidden="false" customHeight="false" outlineLevel="0" collapsed="false">
      <c r="A36" s="141" t="n">
        <v>225</v>
      </c>
      <c r="B36" s="142" t="n">
        <f aca="false">IF(ISNUMBER(A36),
    IF(AND(A36=INT(A36), MOD(A36, 10) = 0), 0,
        IF(AND(A36=INT(A36), LEN(A36)=2), 1,
            IF(AND(A36=INT(A36), LEN(A36)=3), 2,
                LEN(A36) - FIND(".", A36) + 2)
        )
    ),
"")</f>
        <v>2</v>
      </c>
      <c r="C36" s="143" t="s">
        <v>654</v>
      </c>
      <c r="D36" s="144" t="str">
        <f aca="false">REPT("   ", B36*2) &amp; C36</f>
        <v>            Administrative Building</v>
      </c>
      <c r="E36" s="144" t="s">
        <v>35</v>
      </c>
      <c r="F36" s="144"/>
      <c r="G36" s="146"/>
      <c r="H36" s="144"/>
      <c r="I36" s="144"/>
      <c r="J36" s="113"/>
      <c r="K36" s="147" t="n">
        <f aca="false">0.7*1968*(3.2808^2)</f>
        <v>14828.002366464</v>
      </c>
      <c r="L36" s="135" t="s">
        <v>102</v>
      </c>
      <c r="M36" s="148" t="s">
        <v>754</v>
      </c>
      <c r="N36" s="135" t="n">
        <v>1</v>
      </c>
      <c r="O36" s="135" t="s">
        <v>104</v>
      </c>
      <c r="P36" s="136" t="n">
        <v>1</v>
      </c>
      <c r="Q36" s="20" t="n">
        <v>2025</v>
      </c>
      <c r="R36" s="114" t="s">
        <v>96</v>
      </c>
      <c r="S36" s="137" t="s">
        <v>645</v>
      </c>
      <c r="T36" s="21"/>
      <c r="U36" s="115"/>
      <c r="V36" s="23"/>
      <c r="W36" s="138" t="s">
        <v>43</v>
      </c>
      <c r="X36" s="139" t="n">
        <f aca="false">0.9*$I36</f>
        <v>0</v>
      </c>
      <c r="Y36" s="139" t="n">
        <f aca="false">1.5*J36</f>
        <v>0</v>
      </c>
      <c r="Z36" s="138" t="s">
        <v>44</v>
      </c>
      <c r="AA36" s="140" t="n">
        <f aca="false">0.9*K36</f>
        <v>13345.2021298176</v>
      </c>
      <c r="AB36" s="140" t="n">
        <f aca="false">1.3*K36</f>
        <v>19276.4030764032</v>
      </c>
      <c r="AC36" s="138" t="s">
        <v>44</v>
      </c>
      <c r="AD36" s="140" t="s">
        <v>45</v>
      </c>
      <c r="AE36" s="140" t="s">
        <v>46</v>
      </c>
      <c r="AF36" s="140" t="s">
        <v>47</v>
      </c>
      <c r="AG36" s="138" t="s">
        <v>48</v>
      </c>
    </row>
    <row r="37" customFormat="false" ht="13.5" hidden="false" customHeight="false" outlineLevel="0" collapsed="false">
      <c r="A37" s="141" t="n">
        <v>23</v>
      </c>
      <c r="B37" s="142" t="n">
        <f aca="false">IF(ISNUMBER(A37),
    IF(AND(A37=INT(A37), MOD(A37, 10) = 0), 0,
        IF(AND(A37=INT(A37), LEN(A37)=2), 1,
            IF(AND(A37=INT(A37), LEN(A37)=3), 2,
                LEN(A37) - FIND(".", A37) + 2)
        )
    ),
"")</f>
        <v>1</v>
      </c>
      <c r="C37" s="157" t="s">
        <v>163</v>
      </c>
      <c r="D37" s="144" t="str">
        <f aca="false">REPT("   ", B37*2) &amp; C37</f>
        <v>      Equipment</v>
      </c>
      <c r="E37" s="144"/>
      <c r="F37" s="144"/>
      <c r="G37" s="146"/>
      <c r="H37" s="144"/>
      <c r="I37" s="156"/>
      <c r="J37" s="147"/>
      <c r="K37" s="158"/>
      <c r="L37" s="138"/>
      <c r="M37" s="159"/>
      <c r="N37" s="138"/>
      <c r="O37" s="138"/>
      <c r="P37" s="140"/>
      <c r="Q37" s="140"/>
      <c r="R37" s="138"/>
      <c r="S37" s="159"/>
      <c r="T37" s="138"/>
      <c r="U37" s="138"/>
      <c r="V37" s="138"/>
      <c r="W37" s="138"/>
      <c r="X37" s="139"/>
      <c r="Y37" s="139"/>
      <c r="Z37" s="138"/>
      <c r="AA37" s="140"/>
      <c r="AB37" s="140"/>
      <c r="AC37" s="138"/>
      <c r="AD37" s="140"/>
      <c r="AE37" s="140"/>
      <c r="AF37" s="140"/>
      <c r="AG37" s="138"/>
    </row>
    <row r="38" customFormat="false" ht="23.85" hidden="false" customHeight="false" outlineLevel="0" collapsed="false">
      <c r="A38" s="30" t="n">
        <v>23.1</v>
      </c>
      <c r="B38" s="9" t="n">
        <v>2</v>
      </c>
      <c r="C38" s="15" t="s">
        <v>755</v>
      </c>
      <c r="D38" s="10" t="str">
        <f aca="false">REPT("   ", B38*2) &amp; C38</f>
        <v>            Servicing Hot Cell</v>
      </c>
      <c r="E38" s="10" t="s">
        <v>35</v>
      </c>
      <c r="F38" s="10" t="s">
        <v>756</v>
      </c>
      <c r="G38" s="111" t="n">
        <v>1</v>
      </c>
      <c r="H38" s="10"/>
      <c r="I38" s="10"/>
      <c r="J38" s="113" t="n">
        <v>1000000000</v>
      </c>
      <c r="K38" s="113"/>
      <c r="L38" s="114"/>
      <c r="M38" s="117"/>
      <c r="N38" s="114"/>
      <c r="O38" s="114"/>
      <c r="P38" s="116"/>
      <c r="Q38" s="20" t="n">
        <v>2024</v>
      </c>
      <c r="R38" s="114" t="s">
        <v>96</v>
      </c>
      <c r="S38" s="117" t="s">
        <v>676</v>
      </c>
      <c r="T38" s="21"/>
      <c r="U38" s="115"/>
      <c r="V38" s="23"/>
      <c r="W38" s="12" t="s">
        <v>43</v>
      </c>
      <c r="X38" s="24" t="n">
        <f aca="false">0.8*$I38</f>
        <v>0</v>
      </c>
      <c r="Y38" s="24" t="n">
        <f aca="false">2*J38</f>
        <v>2000000000</v>
      </c>
      <c r="Z38" s="12" t="s">
        <v>44</v>
      </c>
      <c r="AA38" s="13" t="n">
        <f aca="false">0.8*K38</f>
        <v>0</v>
      </c>
      <c r="AB38" s="13" t="n">
        <f aca="false">2*K38</f>
        <v>0</v>
      </c>
      <c r="AC38" s="12" t="s">
        <v>44</v>
      </c>
      <c r="AD38" s="13" t="s">
        <v>45</v>
      </c>
      <c r="AE38" s="13" t="s">
        <v>46</v>
      </c>
      <c r="AF38" s="13" t="s">
        <v>47</v>
      </c>
      <c r="AG38" s="12" t="s">
        <v>48</v>
      </c>
    </row>
    <row r="39" customFormat="false" ht="57.45" hidden="false" customHeight="false" outlineLevel="0" collapsed="false">
      <c r="A39" s="141" t="n">
        <v>23.2</v>
      </c>
      <c r="B39" s="188" t="n">
        <v>2</v>
      </c>
      <c r="C39" s="143" t="s">
        <v>757</v>
      </c>
      <c r="D39" s="144" t="str">
        <f aca="false">REPT("   ", B39*2) &amp; C39</f>
        <v>            Helium Purification Equipment</v>
      </c>
      <c r="E39" s="144" t="s">
        <v>35</v>
      </c>
      <c r="F39" s="144" t="s">
        <v>630</v>
      </c>
      <c r="G39" s="146" t="n">
        <v>1</v>
      </c>
      <c r="H39" s="144"/>
      <c r="I39" s="144"/>
      <c r="J39" s="147"/>
      <c r="K39" s="147" t="n">
        <f aca="false">((4700000+6000000)/2)/N39</f>
        <v>96300000</v>
      </c>
      <c r="L39" s="135"/>
      <c r="M39" s="148" t="s">
        <v>758</v>
      </c>
      <c r="N39" s="189" t="n">
        <f aca="false">200/3600</f>
        <v>0.0555555555555556</v>
      </c>
      <c r="O39" s="135" t="s">
        <v>344</v>
      </c>
      <c r="P39" s="190" t="n">
        <v>0.6</v>
      </c>
      <c r="Q39" s="20" t="n">
        <v>2024</v>
      </c>
      <c r="R39" s="135" t="s">
        <v>96</v>
      </c>
      <c r="S39" s="137" t="s">
        <v>759</v>
      </c>
      <c r="T39" s="162" t="s">
        <v>760</v>
      </c>
      <c r="U39" s="163" t="s">
        <v>328</v>
      </c>
      <c r="V39" s="138"/>
      <c r="W39" s="138" t="s">
        <v>43</v>
      </c>
      <c r="X39" s="139" t="n">
        <f aca="false">0.9*$I39</f>
        <v>0</v>
      </c>
      <c r="Y39" s="139" t="n">
        <f aca="false">1.5*J39</f>
        <v>0</v>
      </c>
      <c r="Z39" s="138" t="s">
        <v>44</v>
      </c>
      <c r="AA39" s="140" t="n">
        <f aca="false">0.9*K39</f>
        <v>86670000</v>
      </c>
      <c r="AB39" s="140" t="n">
        <f aca="false">1.3*K39</f>
        <v>125190000</v>
      </c>
      <c r="AC39" s="138" t="s">
        <v>44</v>
      </c>
      <c r="AD39" s="140" t="s">
        <v>45</v>
      </c>
      <c r="AE39" s="140" t="s">
        <v>46</v>
      </c>
      <c r="AF39" s="140" t="s">
        <v>47</v>
      </c>
      <c r="AG39" s="138" t="s">
        <v>48</v>
      </c>
    </row>
    <row r="40" customFormat="false" ht="35.05" hidden="false" customHeight="false" outlineLevel="0" collapsed="false">
      <c r="A40" s="30" t="n">
        <v>23.4</v>
      </c>
      <c r="B40" s="9" t="n">
        <v>2</v>
      </c>
      <c r="C40" s="15" t="s">
        <v>761</v>
      </c>
      <c r="D40" s="10" t="str">
        <f aca="false">REPT("   ", B40*2) &amp; C40</f>
        <v>            Radioactive Waste Processing Hot Cell</v>
      </c>
      <c r="E40" s="10" t="s">
        <v>35</v>
      </c>
      <c r="F40" s="10" t="s">
        <v>762</v>
      </c>
      <c r="G40" s="111" t="n">
        <v>1</v>
      </c>
      <c r="H40" s="10"/>
      <c r="I40" s="10"/>
      <c r="J40" s="113" t="n">
        <v>1000000000</v>
      </c>
      <c r="K40" s="113"/>
      <c r="L40" s="18"/>
      <c r="M40" s="15"/>
      <c r="N40" s="114"/>
      <c r="O40" s="18"/>
      <c r="P40" s="116"/>
      <c r="Q40" s="20" t="n">
        <v>2024</v>
      </c>
      <c r="R40" s="18" t="s">
        <v>163</v>
      </c>
      <c r="S40" s="21" t="s">
        <v>676</v>
      </c>
      <c r="T40" s="21"/>
      <c r="U40" s="115"/>
      <c r="V40" s="23" t="s">
        <v>763</v>
      </c>
      <c r="W40" s="12" t="s">
        <v>43</v>
      </c>
      <c r="X40" s="24" t="n">
        <f aca="false">0.8*$I40</f>
        <v>0</v>
      </c>
      <c r="Y40" s="24" t="n">
        <f aca="false">2*J40</f>
        <v>2000000000</v>
      </c>
      <c r="Z40" s="12" t="s">
        <v>44</v>
      </c>
      <c r="AA40" s="13" t="n">
        <f aca="false">0.8*K40</f>
        <v>0</v>
      </c>
      <c r="AB40" s="13" t="n">
        <f aca="false">2*K40</f>
        <v>0</v>
      </c>
      <c r="AC40" s="12" t="s">
        <v>44</v>
      </c>
      <c r="AD40" s="13" t="s">
        <v>45</v>
      </c>
      <c r="AE40" s="13" t="s">
        <v>46</v>
      </c>
      <c r="AF40" s="13" t="s">
        <v>47</v>
      </c>
      <c r="AG40" s="12" t="s">
        <v>48</v>
      </c>
    </row>
    <row r="41" customFormat="false" ht="35.05" hidden="false" customHeight="false" outlineLevel="0" collapsed="false">
      <c r="A41" s="30" t="n">
        <v>23.5</v>
      </c>
      <c r="B41" s="9" t="n">
        <v>2</v>
      </c>
      <c r="C41" s="15" t="s">
        <v>656</v>
      </c>
      <c r="D41" s="10" t="str">
        <f aca="false">REPT("   ", B41*2) &amp; C41</f>
        <v>            Local Integrated Control Rooms</v>
      </c>
      <c r="E41" s="10" t="s">
        <v>35</v>
      </c>
      <c r="F41" s="10" t="s">
        <v>756</v>
      </c>
      <c r="G41" s="111" t="n">
        <v>1</v>
      </c>
      <c r="H41" s="10"/>
      <c r="I41" s="10"/>
      <c r="J41" s="113" t="n">
        <f aca="false">21555270/2</f>
        <v>10777635</v>
      </c>
      <c r="K41" s="113"/>
      <c r="L41" s="18"/>
      <c r="M41" s="15"/>
      <c r="N41" s="114"/>
      <c r="O41" s="18"/>
      <c r="P41" s="116"/>
      <c r="Q41" s="20" t="n">
        <v>1987</v>
      </c>
      <c r="R41" s="18" t="s">
        <v>96</v>
      </c>
      <c r="S41" s="21" t="s">
        <v>764</v>
      </c>
      <c r="T41" s="21" t="s">
        <v>765</v>
      </c>
      <c r="U41" s="133" t="s">
        <v>766</v>
      </c>
      <c r="V41" s="23"/>
      <c r="W41" s="138" t="s">
        <v>43</v>
      </c>
      <c r="X41" s="139" t="n">
        <f aca="false">0.9*$I41</f>
        <v>0</v>
      </c>
      <c r="Y41" s="139" t="n">
        <f aca="false">1.5*J41</f>
        <v>16166452.5</v>
      </c>
      <c r="Z41" s="138" t="s">
        <v>44</v>
      </c>
      <c r="AA41" s="140" t="n">
        <f aca="false">0.9*K41</f>
        <v>0</v>
      </c>
      <c r="AB41" s="140" t="n">
        <f aca="false">1.3*K41</f>
        <v>0</v>
      </c>
      <c r="AC41" s="138" t="s">
        <v>44</v>
      </c>
      <c r="AD41" s="140" t="s">
        <v>45</v>
      </c>
      <c r="AE41" s="140" t="s">
        <v>46</v>
      </c>
      <c r="AF41" s="140" t="s">
        <v>47</v>
      </c>
      <c r="AG41" s="138" t="s">
        <v>48</v>
      </c>
    </row>
    <row r="42" customFormat="false" ht="35.05" hidden="false" customHeight="false" outlineLevel="0" collapsed="false">
      <c r="A42" s="30" t="n">
        <v>23.6</v>
      </c>
      <c r="B42" s="9" t="n">
        <v>2</v>
      </c>
      <c r="C42" s="15" t="s">
        <v>767</v>
      </c>
      <c r="D42" s="10" t="str">
        <f aca="false">REPT("   ", B42*2) &amp; C42</f>
        <v>            Remote Control Rooms</v>
      </c>
      <c r="E42" s="10" t="s">
        <v>35</v>
      </c>
      <c r="F42" s="10" t="s">
        <v>630</v>
      </c>
      <c r="G42" s="111" t="n">
        <v>1</v>
      </c>
      <c r="H42" s="10"/>
      <c r="I42" s="10"/>
      <c r="J42" s="113"/>
      <c r="K42" s="113" t="n">
        <v>100000</v>
      </c>
      <c r="L42" s="18"/>
      <c r="M42" s="10" t="s">
        <v>768</v>
      </c>
      <c r="N42" s="114"/>
      <c r="O42" s="18"/>
      <c r="P42" s="116"/>
      <c r="Q42" s="20" t="n">
        <v>2024</v>
      </c>
      <c r="R42" s="18" t="s">
        <v>96</v>
      </c>
      <c r="S42" s="21" t="s">
        <v>769</v>
      </c>
      <c r="T42" s="21"/>
      <c r="U42" s="115"/>
      <c r="V42" s="23"/>
      <c r="W42" s="138" t="s">
        <v>43</v>
      </c>
      <c r="X42" s="139" t="n">
        <f aca="false">0.9*$I42</f>
        <v>0</v>
      </c>
      <c r="Y42" s="139" t="n">
        <f aca="false">1.5*J42</f>
        <v>0</v>
      </c>
      <c r="Z42" s="138" t="s">
        <v>44</v>
      </c>
      <c r="AA42" s="140" t="n">
        <f aca="false">0.9*K42</f>
        <v>90000</v>
      </c>
      <c r="AB42" s="140" t="n">
        <f aca="false">1.3*K42</f>
        <v>130000</v>
      </c>
      <c r="AC42" s="138" t="s">
        <v>44</v>
      </c>
      <c r="AD42" s="140" t="s">
        <v>45</v>
      </c>
      <c r="AE42" s="140" t="s">
        <v>46</v>
      </c>
      <c r="AF42" s="140" t="s">
        <v>47</v>
      </c>
      <c r="AG42" s="138" t="s">
        <v>48</v>
      </c>
    </row>
    <row r="43" customFormat="false" ht="23.85" hidden="false" customHeight="false" outlineLevel="0" collapsed="false">
      <c r="A43" s="30" t="n">
        <v>23.8</v>
      </c>
      <c r="B43" s="9" t="n">
        <v>2</v>
      </c>
      <c r="C43" s="15" t="s">
        <v>770</v>
      </c>
      <c r="D43" s="10" t="str">
        <f aca="false">REPT("   ", B43*2) &amp; C43</f>
        <v>            Reactor Transport Casks</v>
      </c>
      <c r="E43" s="10" t="s">
        <v>35</v>
      </c>
      <c r="F43" s="10" t="s">
        <v>630</v>
      </c>
      <c r="G43" s="111" t="n">
        <v>1</v>
      </c>
      <c r="H43" s="10"/>
      <c r="I43" s="10"/>
      <c r="J43" s="187" t="n">
        <v>10000000</v>
      </c>
      <c r="K43" s="113"/>
      <c r="L43" s="18"/>
      <c r="M43" s="10" t="s">
        <v>771</v>
      </c>
      <c r="N43" s="114"/>
      <c r="O43" s="18"/>
      <c r="P43" s="116"/>
      <c r="Q43" s="20" t="n">
        <v>2024</v>
      </c>
      <c r="R43" s="18" t="s">
        <v>96</v>
      </c>
      <c r="S43" s="21" t="s">
        <v>676</v>
      </c>
      <c r="T43" s="21"/>
      <c r="U43" s="115"/>
      <c r="V43" s="23"/>
      <c r="W43" s="138" t="s">
        <v>43</v>
      </c>
      <c r="X43" s="139" t="n">
        <f aca="false">0.9*$I43</f>
        <v>0</v>
      </c>
      <c r="Y43" s="139" t="n">
        <f aca="false">1.5*J43</f>
        <v>15000000</v>
      </c>
      <c r="Z43" s="138" t="s">
        <v>44</v>
      </c>
      <c r="AA43" s="140" t="n">
        <f aca="false">0.9*K43</f>
        <v>0</v>
      </c>
      <c r="AB43" s="140" t="n">
        <f aca="false">1.3*K43</f>
        <v>0</v>
      </c>
      <c r="AC43" s="138" t="s">
        <v>44</v>
      </c>
      <c r="AD43" s="140" t="s">
        <v>45</v>
      </c>
      <c r="AE43" s="140" t="s">
        <v>46</v>
      </c>
      <c r="AF43" s="140" t="s">
        <v>47</v>
      </c>
      <c r="AG43" s="138" t="s">
        <v>48</v>
      </c>
    </row>
    <row r="44" customFormat="false" ht="13.5" hidden="false" customHeight="false" outlineLevel="0" collapsed="false">
      <c r="A44" s="6" t="n">
        <v>28</v>
      </c>
      <c r="B44" s="9" t="n">
        <f aca="false">IF(ISNUMBER(A44),
    IF(AND(A44=INT(A44), MOD(A44, 10) = 0), 0,
        IF(AND(A44=INT(A44), LEN(A44)=2), 1,
            IF(AND(A44=INT(A44), LEN(A44)=3), 2,
                LEN(A44) - FIND(".", A44) + 2)
        )
    ),
"")</f>
        <v>1</v>
      </c>
      <c r="C44" s="61" t="s">
        <v>658</v>
      </c>
      <c r="D44" s="10" t="str">
        <f aca="false">REPT("   ", B44*2) &amp; C44</f>
        <v>      Auxiliary Infrastructure Equipment</v>
      </c>
      <c r="E44" s="10"/>
      <c r="F44" s="10"/>
      <c r="G44" s="111"/>
      <c r="H44" s="10"/>
      <c r="I44" s="10"/>
      <c r="J44" s="161"/>
      <c r="K44" s="42"/>
      <c r="L44" s="23"/>
      <c r="M44" s="18"/>
      <c r="N44" s="23"/>
      <c r="O44" s="23"/>
      <c r="P44" s="20"/>
      <c r="Q44" s="20"/>
      <c r="R44" s="23"/>
      <c r="S44" s="26"/>
      <c r="T44" s="26"/>
      <c r="U44" s="23"/>
      <c r="V44" s="23"/>
      <c r="W44" s="12"/>
      <c r="X44" s="24"/>
      <c r="Y44" s="24"/>
      <c r="Z44" s="12"/>
      <c r="AA44" s="13"/>
      <c r="AB44" s="13"/>
      <c r="AC44" s="12"/>
      <c r="AD44" s="13"/>
      <c r="AE44" s="13"/>
      <c r="AF44" s="13"/>
      <c r="AG44" s="12"/>
    </row>
    <row r="45" customFormat="false" ht="57.45" hidden="false" customHeight="false" outlineLevel="0" collapsed="false">
      <c r="A45" s="141" t="n">
        <v>281</v>
      </c>
      <c r="B45" s="142" t="n">
        <f aca="false">IF(ISNUMBER(A45),
    IF(AND(A45=INT(A45), MOD(A45, 10) = 0), 0,
        IF(AND(A45=INT(A45), LEN(A45)=2), 1,
            IF(AND(A45=INT(A45), LEN(A45)=3), 2,
                LEN(A45) - FIND(".", A45) + 2)
        )
    ),
"")</f>
        <v>2</v>
      </c>
      <c r="C45" s="143" t="s">
        <v>659</v>
      </c>
      <c r="D45" s="144" t="str">
        <f aca="false">REPT("   ", B45*2) &amp; C45</f>
        <v>            Emergency Power</v>
      </c>
      <c r="E45" s="144" t="s">
        <v>35</v>
      </c>
      <c r="F45" s="144"/>
      <c r="G45" s="146"/>
      <c r="H45" s="144"/>
      <c r="I45" s="144"/>
      <c r="J45" s="113"/>
      <c r="K45" s="147" t="n">
        <f aca="false">(1450000*5+1500000)/2.5</f>
        <v>3500000</v>
      </c>
      <c r="L45" s="135" t="s">
        <v>50</v>
      </c>
      <c r="M45" s="148" t="s">
        <v>772</v>
      </c>
      <c r="N45" s="135" t="n">
        <v>1</v>
      </c>
      <c r="O45" s="135" t="s">
        <v>52</v>
      </c>
      <c r="P45" s="136" t="n">
        <v>1</v>
      </c>
      <c r="Q45" s="20" t="n">
        <v>2025</v>
      </c>
      <c r="R45" s="114" t="s">
        <v>163</v>
      </c>
      <c r="S45" s="162" t="s">
        <v>661</v>
      </c>
      <c r="T45" s="162"/>
      <c r="U45" s="163"/>
      <c r="V45" s="138"/>
      <c r="W45" s="138" t="s">
        <v>43</v>
      </c>
      <c r="X45" s="139" t="n">
        <f aca="false">0.9*$I45</f>
        <v>0</v>
      </c>
      <c r="Y45" s="139" t="n">
        <f aca="false">1.5*J45</f>
        <v>0</v>
      </c>
      <c r="Z45" s="138" t="s">
        <v>44</v>
      </c>
      <c r="AA45" s="140" t="n">
        <f aca="false">0.9*K45</f>
        <v>3150000</v>
      </c>
      <c r="AB45" s="140" t="n">
        <f aca="false">1.3*K45</f>
        <v>4550000</v>
      </c>
      <c r="AC45" s="138" t="s">
        <v>44</v>
      </c>
      <c r="AD45" s="140" t="s">
        <v>45</v>
      </c>
      <c r="AE45" s="140" t="s">
        <v>46</v>
      </c>
      <c r="AF45" s="140" t="s">
        <v>47</v>
      </c>
      <c r="AG45" s="138" t="s">
        <v>48</v>
      </c>
    </row>
    <row r="46" customFormat="false" ht="46.25" hidden="false" customHeight="false" outlineLevel="0" collapsed="false">
      <c r="A46" s="141" t="n">
        <v>282</v>
      </c>
      <c r="B46" s="142" t="n">
        <f aca="false">IF(ISNUMBER(A46),
    IF(AND(A46=INT(A46), MOD(A46, 10) = 0), 0,
        IF(AND(A46=INT(A46), LEN(A46)=2), 1,
            IF(AND(A46=INT(A46), LEN(A46)=3), 2,
                LEN(A46) - FIND(".", A46) + 2)
        )
    ),
"")</f>
        <v>2</v>
      </c>
      <c r="C46" s="143" t="s">
        <v>773</v>
      </c>
      <c r="D46" s="144" t="str">
        <f aca="false">REPT("   ", B46*2) &amp; C46</f>
        <v>            Service Air Water Building</v>
      </c>
      <c r="E46" s="144" t="s">
        <v>35</v>
      </c>
      <c r="F46" s="144" t="s">
        <v>774</v>
      </c>
      <c r="G46" s="146" t="n">
        <v>1</v>
      </c>
      <c r="H46" s="144"/>
      <c r="I46" s="144"/>
      <c r="J46" s="113" t="n">
        <v>15090300</v>
      </c>
      <c r="K46" s="147"/>
      <c r="L46" s="135"/>
      <c r="M46" s="148"/>
      <c r="N46" s="135"/>
      <c r="O46" s="135"/>
      <c r="P46" s="136"/>
      <c r="Q46" s="20" t="n">
        <v>2025</v>
      </c>
      <c r="R46" s="114" t="s">
        <v>96</v>
      </c>
      <c r="S46" s="137" t="s">
        <v>731</v>
      </c>
      <c r="T46" s="21"/>
      <c r="U46" s="115"/>
      <c r="V46" s="23"/>
      <c r="W46" s="138" t="s">
        <v>43</v>
      </c>
      <c r="X46" s="139" t="n">
        <f aca="false">0.9*$I46</f>
        <v>0</v>
      </c>
      <c r="Y46" s="139" t="n">
        <f aca="false">1.5*J46</f>
        <v>22635450</v>
      </c>
      <c r="Z46" s="138" t="s">
        <v>44</v>
      </c>
      <c r="AA46" s="140" t="n">
        <f aca="false">0.9*K46</f>
        <v>0</v>
      </c>
      <c r="AB46" s="140" t="n">
        <f aca="false">1.3*K46</f>
        <v>0</v>
      </c>
      <c r="AC46" s="138" t="s">
        <v>44</v>
      </c>
      <c r="AD46" s="140" t="s">
        <v>45</v>
      </c>
      <c r="AE46" s="140" t="s">
        <v>46</v>
      </c>
      <c r="AF46" s="140" t="s">
        <v>47</v>
      </c>
      <c r="AG46" s="138" t="s">
        <v>48</v>
      </c>
    </row>
    <row r="47" customFormat="false" ht="57" hidden="false" customHeight="false" outlineLevel="0" collapsed="false">
      <c r="A47" s="141" t="n">
        <v>283</v>
      </c>
      <c r="B47" s="142" t="n">
        <f aca="false">IF(ISNUMBER(A47),
    IF(AND(A47=INT(A47), MOD(A47, 10) = 0), 0,
        IF(AND(A47=INT(A47), LEN(A47)=2), 1,
            IF(AND(A47=INT(A47), LEN(A47)=3), 2,
                LEN(A47) - FIND(".", A47) + 2)
        )
    ),
"")</f>
        <v>2</v>
      </c>
      <c r="C47" s="143" t="s">
        <v>662</v>
      </c>
      <c r="D47" s="144" t="str">
        <f aca="false">REPT("   ", B47*2) &amp; C47</f>
        <v>            Fire Station</v>
      </c>
      <c r="E47" s="144" t="s">
        <v>35</v>
      </c>
      <c r="F47" s="144" t="s">
        <v>775</v>
      </c>
      <c r="G47" s="146" t="n">
        <v>1</v>
      </c>
      <c r="H47" s="144"/>
      <c r="I47" s="144"/>
      <c r="J47" s="113" t="n">
        <f aca="false">0.7*20776500</f>
        <v>14543550</v>
      </c>
      <c r="K47" s="147"/>
      <c r="L47" s="135"/>
      <c r="M47" s="148"/>
      <c r="N47" s="135"/>
      <c r="O47" s="135"/>
      <c r="P47" s="136"/>
      <c r="Q47" s="20" t="n">
        <v>2025</v>
      </c>
      <c r="R47" s="114" t="s">
        <v>96</v>
      </c>
      <c r="S47" s="137" t="s">
        <v>645</v>
      </c>
      <c r="T47" s="21"/>
      <c r="U47" s="115"/>
      <c r="V47" s="23"/>
      <c r="W47" s="138" t="s">
        <v>43</v>
      </c>
      <c r="X47" s="139" t="n">
        <f aca="false">0.9*$I47</f>
        <v>0</v>
      </c>
      <c r="Y47" s="139" t="n">
        <f aca="false">1.5*J47</f>
        <v>21815325</v>
      </c>
      <c r="Z47" s="138" t="s">
        <v>44</v>
      </c>
      <c r="AA47" s="140" t="n">
        <f aca="false">0.9*K47</f>
        <v>0</v>
      </c>
      <c r="AB47" s="140" t="n">
        <f aca="false">1.3*K47</f>
        <v>0</v>
      </c>
      <c r="AC47" s="138" t="s">
        <v>44</v>
      </c>
      <c r="AD47" s="140" t="s">
        <v>45</v>
      </c>
      <c r="AE47" s="140" t="s">
        <v>46</v>
      </c>
      <c r="AF47" s="140" t="s">
        <v>47</v>
      </c>
      <c r="AG47" s="138" t="s">
        <v>48</v>
      </c>
    </row>
    <row r="48" customFormat="false" ht="57" hidden="false" customHeight="false" outlineLevel="0" collapsed="false">
      <c r="A48" s="141" t="n">
        <v>284</v>
      </c>
      <c r="B48" s="142" t="n">
        <f aca="false">IF(ISNUMBER(A48),
    IF(AND(A48=INT(A48), MOD(A48, 10) = 0), 0,
        IF(AND(A48=INT(A48), LEN(A48)=2), 1,
            IF(AND(A48=INT(A48), LEN(A48)=3), 2,
                LEN(A48) - FIND(".", A48) + 2)
        )
    ),
"")</f>
        <v>2</v>
      </c>
      <c r="C48" s="143" t="s">
        <v>664</v>
      </c>
      <c r="D48" s="144" t="str">
        <f aca="false">REPT("   ", B48*2) &amp; C48</f>
        <v>            Security Building</v>
      </c>
      <c r="E48" s="144" t="s">
        <v>35</v>
      </c>
      <c r="F48" s="144"/>
      <c r="G48" s="146"/>
      <c r="H48" s="144"/>
      <c r="I48" s="144"/>
      <c r="J48" s="113"/>
      <c r="K48" s="147" t="n">
        <f aca="false">0.7*2548*(3.2808^2)</f>
        <v>19198.043714304</v>
      </c>
      <c r="L48" s="135" t="s">
        <v>102</v>
      </c>
      <c r="M48" s="148" t="s">
        <v>776</v>
      </c>
      <c r="N48" s="135" t="n">
        <v>1</v>
      </c>
      <c r="O48" s="135" t="s">
        <v>104</v>
      </c>
      <c r="P48" s="136" t="n">
        <v>1</v>
      </c>
      <c r="Q48" s="20" t="n">
        <v>2025</v>
      </c>
      <c r="R48" s="114" t="s">
        <v>96</v>
      </c>
      <c r="S48" s="137" t="s">
        <v>645</v>
      </c>
      <c r="T48" s="21"/>
      <c r="U48" s="115"/>
      <c r="V48" s="23"/>
      <c r="W48" s="138" t="s">
        <v>43</v>
      </c>
      <c r="X48" s="139" t="n">
        <f aca="false">0.9*$I48</f>
        <v>0</v>
      </c>
      <c r="Y48" s="139" t="n">
        <f aca="false">1.5*J48</f>
        <v>0</v>
      </c>
      <c r="Z48" s="138" t="s">
        <v>44</v>
      </c>
      <c r="AA48" s="140" t="n">
        <f aca="false">0.9*K48</f>
        <v>17278.2393428736</v>
      </c>
      <c r="AB48" s="140" t="n">
        <f aca="false">1.3*K48</f>
        <v>24957.4568285952</v>
      </c>
      <c r="AC48" s="138" t="s">
        <v>44</v>
      </c>
      <c r="AD48" s="140" t="s">
        <v>45</v>
      </c>
      <c r="AE48" s="140" t="s">
        <v>46</v>
      </c>
      <c r="AF48" s="140" t="s">
        <v>47</v>
      </c>
      <c r="AG48" s="138" t="s">
        <v>48</v>
      </c>
    </row>
    <row r="49" customFormat="false" ht="46.25" hidden="false" customHeight="false" outlineLevel="0" collapsed="false">
      <c r="A49" s="141" t="n">
        <v>285</v>
      </c>
      <c r="B49" s="142" t="n">
        <f aca="false">IF(ISNUMBER(A49),
    IF(AND(A49=INT(A49), MOD(A49, 10) = 0), 0,
        IF(AND(A49=INT(A49), LEN(A49)=2), 1,
            IF(AND(A49=INT(A49), LEN(A49)=3), 2,
                LEN(A49) - FIND(".", A49) + 2)
        )
    ),
"")</f>
        <v>2</v>
      </c>
      <c r="C49" s="143" t="s">
        <v>666</v>
      </c>
      <c r="D49" s="144" t="str">
        <f aca="false">REPT("   ", B49*2) &amp; C49</f>
        <v>            Switchyard</v>
      </c>
      <c r="E49" s="144" t="s">
        <v>35</v>
      </c>
      <c r="F49" s="144"/>
      <c r="G49" s="146"/>
      <c r="H49" s="144"/>
      <c r="I49" s="144"/>
      <c r="J49" s="113"/>
      <c r="K49" s="147" t="n">
        <f aca="false">0.7*221450153/N49</f>
        <v>516717.023666667</v>
      </c>
      <c r="L49" s="135" t="s">
        <v>50</v>
      </c>
      <c r="M49" s="148" t="s">
        <v>717</v>
      </c>
      <c r="N49" s="135" t="n">
        <v>300</v>
      </c>
      <c r="O49" s="135" t="s">
        <v>52</v>
      </c>
      <c r="P49" s="149" t="n">
        <v>0.9968</v>
      </c>
      <c r="Q49" s="20" t="n">
        <v>2025</v>
      </c>
      <c r="R49" s="114" t="s">
        <v>96</v>
      </c>
      <c r="S49" s="137" t="s">
        <v>668</v>
      </c>
      <c r="T49" s="21"/>
      <c r="U49" s="115"/>
      <c r="V49" s="23"/>
      <c r="W49" s="138" t="s">
        <v>43</v>
      </c>
      <c r="X49" s="139" t="n">
        <f aca="false">0.9*$I49</f>
        <v>0</v>
      </c>
      <c r="Y49" s="139" t="n">
        <f aca="false">1.5*J49</f>
        <v>0</v>
      </c>
      <c r="Z49" s="138" t="s">
        <v>44</v>
      </c>
      <c r="AA49" s="140" t="n">
        <f aca="false">0.9*K49</f>
        <v>465045.3213</v>
      </c>
      <c r="AB49" s="140" t="n">
        <f aca="false">1.3*K49</f>
        <v>671732.130766667</v>
      </c>
      <c r="AC49" s="138" t="s">
        <v>44</v>
      </c>
      <c r="AD49" s="140" t="s">
        <v>45</v>
      </c>
      <c r="AE49" s="140" t="s">
        <v>46</v>
      </c>
      <c r="AF49" s="140" t="s">
        <v>47</v>
      </c>
      <c r="AG49" s="138" t="s">
        <v>48</v>
      </c>
    </row>
    <row r="50" customFormat="false" ht="13.5" hidden="false" customHeight="false" outlineLevel="0" collapsed="false">
      <c r="A50" s="6" t="n">
        <v>286</v>
      </c>
      <c r="B50" s="9" t="n">
        <f aca="false">IF(ISNUMBER(A50),
    IF(AND(A50=INT(A50), MOD(A50, 10) = 0), 0,
        IF(AND(A50=INT(A50), LEN(A50)=2), 1,
            IF(AND(A50=INT(A50), LEN(A50)=3), 2,
                LEN(A50) - FIND(".", A50) + 2)
        )
    ),
"")</f>
        <v>2</v>
      </c>
      <c r="C50" s="61" t="s">
        <v>669</v>
      </c>
      <c r="D50" s="10" t="str">
        <f aca="false">REPT("   ", B50*2) &amp; C50</f>
        <v>            Onsite Transport Equipment</v>
      </c>
      <c r="E50" s="10"/>
      <c r="F50" s="10"/>
      <c r="G50" s="111"/>
      <c r="H50" s="10"/>
      <c r="I50" s="10"/>
      <c r="J50" s="161"/>
      <c r="K50" s="42"/>
      <c r="L50" s="23"/>
      <c r="M50" s="18"/>
      <c r="N50" s="23"/>
      <c r="O50" s="23"/>
      <c r="P50" s="20"/>
      <c r="Q50" s="20"/>
      <c r="R50" s="23"/>
      <c r="S50" s="26"/>
      <c r="T50" s="26"/>
      <c r="U50" s="23"/>
      <c r="V50" s="23"/>
      <c r="W50" s="12"/>
      <c r="X50" s="24"/>
      <c r="Y50" s="24"/>
      <c r="Z50" s="12"/>
      <c r="AA50" s="13"/>
      <c r="AB50" s="13"/>
      <c r="AC50" s="12"/>
      <c r="AD50" s="13"/>
      <c r="AE50" s="13"/>
      <c r="AF50" s="13"/>
      <c r="AG50" s="12"/>
    </row>
    <row r="51" customFormat="false" ht="35.05" hidden="false" customHeight="false" outlineLevel="0" collapsed="false">
      <c r="A51" s="6" t="n">
        <v>286.1</v>
      </c>
      <c r="B51" s="9" t="n">
        <f aca="false">IF(ISNUMBER(A51),
    IF(AND(A51=INT(A51), MOD(A51, 10) = 0), 0,
        IF(AND(A51=INT(A51), LEN(A51)=2), 1,
            IF(AND(A51=INT(A51), LEN(A51)=3), 2,
                LEN(A51) - FIND(".", A51) + 2)
        )
    ),
"")</f>
        <v>3</v>
      </c>
      <c r="C51" s="61" t="s">
        <v>670</v>
      </c>
      <c r="D51" s="10" t="str">
        <f aca="false">REPT("   ", B51*2) &amp; C51</f>
        <v>                  Local Reactor Transport Vehicles</v>
      </c>
      <c r="E51" s="10" t="s">
        <v>35</v>
      </c>
      <c r="F51" s="10" t="s">
        <v>777</v>
      </c>
      <c r="G51" s="111" t="n">
        <v>1</v>
      </c>
      <c r="H51" s="10"/>
      <c r="I51" s="10"/>
      <c r="J51" s="161" t="n">
        <v>938000</v>
      </c>
      <c r="K51" s="42"/>
      <c r="L51" s="23"/>
      <c r="M51" s="18"/>
      <c r="N51" s="23"/>
      <c r="O51" s="23"/>
      <c r="P51" s="20"/>
      <c r="Q51" s="20" t="n">
        <v>2023</v>
      </c>
      <c r="R51" s="23" t="s">
        <v>163</v>
      </c>
      <c r="S51" s="26" t="s">
        <v>672</v>
      </c>
      <c r="T51" s="26" t="s">
        <v>673</v>
      </c>
      <c r="U51" s="23"/>
      <c r="V51" s="23"/>
      <c r="W51" s="12" t="s">
        <v>43</v>
      </c>
      <c r="X51" s="24" t="n">
        <f aca="false">0.9*$J51</f>
        <v>844200</v>
      </c>
      <c r="Y51" s="24" t="n">
        <f aca="false">1.5*J51</f>
        <v>1407000</v>
      </c>
      <c r="Z51" s="12" t="s">
        <v>44</v>
      </c>
      <c r="AA51" s="13" t="n">
        <f aca="false">0.9*K51</f>
        <v>0</v>
      </c>
      <c r="AB51" s="13" t="n">
        <f aca="false">1.3*K51</f>
        <v>0</v>
      </c>
      <c r="AC51" s="12" t="s">
        <v>44</v>
      </c>
      <c r="AD51" s="13" t="s">
        <v>45</v>
      </c>
      <c r="AE51" s="13" t="s">
        <v>46</v>
      </c>
      <c r="AF51" s="13" t="s">
        <v>47</v>
      </c>
      <c r="AG51" s="12" t="s">
        <v>48</v>
      </c>
    </row>
    <row r="52" customFormat="false" ht="23.85" hidden="false" customHeight="false" outlineLevel="0" collapsed="false">
      <c r="A52" s="6" t="n">
        <v>286.2</v>
      </c>
      <c r="B52" s="9" t="n">
        <f aca="false">IF(ISNUMBER(A52),
    IF(AND(A52=INT(A52), MOD(A52, 10) = 0), 0,
        IF(AND(A52=INT(A52), LEN(A52)=2), 1,
            IF(AND(A52=INT(A52), LEN(A52)=3), 2,
                LEN(A52) - FIND(".", A52) + 2)
        )
    ),
"")</f>
        <v>3</v>
      </c>
      <c r="C52" s="61" t="s">
        <v>674</v>
      </c>
      <c r="D52" s="10" t="str">
        <f aca="false">REPT("   ", B52*2) &amp; C52</f>
        <v>                  Utility Vehicles</v>
      </c>
      <c r="E52" s="10" t="s">
        <v>35</v>
      </c>
      <c r="F52" s="10" t="s">
        <v>778</v>
      </c>
      <c r="G52" s="111" t="n">
        <v>1</v>
      </c>
      <c r="H52" s="10"/>
      <c r="I52" s="10"/>
      <c r="J52" s="161" t="n">
        <v>50000</v>
      </c>
      <c r="K52" s="42"/>
      <c r="L52" s="23"/>
      <c r="M52" s="18"/>
      <c r="N52" s="23"/>
      <c r="O52" s="23"/>
      <c r="P52" s="20"/>
      <c r="Q52" s="20" t="n">
        <v>2024</v>
      </c>
      <c r="R52" s="23" t="s">
        <v>163</v>
      </c>
      <c r="S52" s="26" t="s">
        <v>676</v>
      </c>
      <c r="T52" s="26"/>
      <c r="U52" s="23"/>
      <c r="V52" s="23"/>
      <c r="W52" s="12" t="s">
        <v>43</v>
      </c>
      <c r="X52" s="24" t="n">
        <f aca="false">0.9*$J52</f>
        <v>45000</v>
      </c>
      <c r="Y52" s="24" t="n">
        <f aca="false">1.5*J52</f>
        <v>75000</v>
      </c>
      <c r="Z52" s="12" t="s">
        <v>44</v>
      </c>
      <c r="AA52" s="13" t="n">
        <f aca="false">0.9*K52</f>
        <v>0</v>
      </c>
      <c r="AB52" s="13" t="n">
        <f aca="false">1.3*K52</f>
        <v>0</v>
      </c>
      <c r="AC52" s="12" t="s">
        <v>44</v>
      </c>
      <c r="AD52" s="13" t="s">
        <v>45</v>
      </c>
      <c r="AE52" s="13" t="s">
        <v>46</v>
      </c>
      <c r="AF52" s="13" t="s">
        <v>47</v>
      </c>
      <c r="AG52" s="12" t="s">
        <v>48</v>
      </c>
    </row>
    <row r="53" customFormat="false" ht="13.5" hidden="false" customHeight="false" outlineLevel="0" collapsed="false">
      <c r="A53" s="6" t="n">
        <v>287</v>
      </c>
      <c r="B53" s="9" t="n">
        <f aca="false">IF(ISNUMBER(A53),
    IF(AND(A53=INT(A53), MOD(A53, 10) = 0), 0,
        IF(AND(A53=INT(A53), LEN(A53)=2), 1,
            IF(AND(A53=INT(A53), LEN(A53)=3), 2,
                LEN(A53) - FIND(".", A53) + 2)
        )
    ),
"")</f>
        <v>2</v>
      </c>
      <c r="C53" s="61" t="s">
        <v>779</v>
      </c>
      <c r="D53" s="10" t="str">
        <f aca="false">REPT("   ", B53*2) &amp; C53</f>
        <v>            Offsite Transport Equipment</v>
      </c>
      <c r="E53" s="10"/>
      <c r="F53" s="10"/>
      <c r="G53" s="111"/>
      <c r="H53" s="10"/>
      <c r="I53" s="10"/>
      <c r="J53" s="161"/>
      <c r="K53" s="42"/>
      <c r="L53" s="23"/>
      <c r="M53" s="18"/>
      <c r="N53" s="23"/>
      <c r="O53" s="23"/>
      <c r="P53" s="20"/>
      <c r="Q53" s="20"/>
      <c r="R53" s="23"/>
      <c r="S53" s="26"/>
      <c r="T53" s="26"/>
      <c r="U53" s="191"/>
      <c r="V53" s="23"/>
      <c r="W53" s="12"/>
      <c r="X53" s="24"/>
      <c r="Y53" s="24"/>
      <c r="Z53" s="12"/>
      <c r="AA53" s="13"/>
      <c r="AB53" s="13"/>
      <c r="AC53" s="12"/>
      <c r="AD53" s="13"/>
      <c r="AE53" s="13"/>
      <c r="AF53" s="13"/>
      <c r="AG53" s="12"/>
    </row>
    <row r="54" customFormat="false" ht="23.85" hidden="false" customHeight="false" outlineLevel="0" collapsed="false">
      <c r="A54" s="6" t="n">
        <v>287.1</v>
      </c>
      <c r="B54" s="9" t="n">
        <f aca="false">IF(ISNUMBER(A54),
    IF(AND(A54=INT(A54), MOD(A54, 10) = 0), 0,
        IF(AND(A54=INT(A54), LEN(A54)=2), 1,
            IF(AND(A54=INT(A54), LEN(A54)=3), 2,
                LEN(A54) - FIND(".", A54) + 2)
        )
    ),
"")</f>
        <v>3</v>
      </c>
      <c r="C54" s="61" t="s">
        <v>780</v>
      </c>
      <c r="D54" s="10" t="str">
        <f aca="false">REPT("   ", B54*2) &amp; C54</f>
        <v>                  Reactor Transport Vehicles</v>
      </c>
      <c r="E54" s="10" t="s">
        <v>35</v>
      </c>
      <c r="F54" s="10" t="s">
        <v>781</v>
      </c>
      <c r="G54" s="111" t="n">
        <v>1</v>
      </c>
      <c r="H54" s="10"/>
      <c r="I54" s="10"/>
      <c r="J54" s="161" t="n">
        <v>1000000</v>
      </c>
      <c r="K54" s="42"/>
      <c r="L54" s="23"/>
      <c r="M54" s="18"/>
      <c r="N54" s="23"/>
      <c r="O54" s="23"/>
      <c r="P54" s="20"/>
      <c r="Q54" s="20" t="n">
        <v>2024</v>
      </c>
      <c r="R54" s="23" t="s">
        <v>163</v>
      </c>
      <c r="S54" s="26" t="s">
        <v>676</v>
      </c>
      <c r="T54" s="26"/>
      <c r="U54" s="191"/>
      <c r="V54" s="23"/>
      <c r="W54" s="12" t="s">
        <v>43</v>
      </c>
      <c r="X54" s="24" t="n">
        <f aca="false">0.9*$J54</f>
        <v>900000</v>
      </c>
      <c r="Y54" s="24" t="n">
        <f aca="false">1.5*J54</f>
        <v>1500000</v>
      </c>
      <c r="Z54" s="12" t="s">
        <v>44</v>
      </c>
      <c r="AA54" s="13" t="n">
        <f aca="false">0.9*K54</f>
        <v>0</v>
      </c>
      <c r="AB54" s="13" t="n">
        <f aca="false">1.3*K54</f>
        <v>0</v>
      </c>
      <c r="AC54" s="12" t="s">
        <v>44</v>
      </c>
      <c r="AD54" s="13" t="s">
        <v>45</v>
      </c>
      <c r="AE54" s="13" t="s">
        <v>46</v>
      </c>
      <c r="AF54" s="13" t="s">
        <v>47</v>
      </c>
      <c r="AG54" s="12" t="s">
        <v>48</v>
      </c>
    </row>
    <row r="55" customFormat="false" ht="23.85" hidden="false" customHeight="false" outlineLevel="0" collapsed="false">
      <c r="A55" s="6" t="n">
        <v>287.2</v>
      </c>
      <c r="B55" s="9" t="n">
        <f aca="false">IF(ISNUMBER(A55),
    IF(AND(A55=INT(A55), MOD(A55, 10) = 0), 0,
        IF(AND(A55=INT(A55), LEN(A55)=2), 1,
            IF(AND(A55=INT(A55), LEN(A55)=3), 2,
                LEN(A55) - FIND(".", A55) + 2)
        )
    ),
"")</f>
        <v>3</v>
      </c>
      <c r="C55" s="61" t="s">
        <v>782</v>
      </c>
      <c r="D55" s="10" t="str">
        <f aca="false">REPT("   ", B55*2) &amp; C55</f>
        <v>                  Helium Transport Trucks</v>
      </c>
      <c r="E55" s="10" t="s">
        <v>35</v>
      </c>
      <c r="F55" s="10" t="s">
        <v>783</v>
      </c>
      <c r="G55" s="111" t="n">
        <v>1</v>
      </c>
      <c r="H55" s="10"/>
      <c r="I55" s="10"/>
      <c r="J55" s="161" t="n">
        <v>500000</v>
      </c>
      <c r="K55" s="42"/>
      <c r="L55" s="23"/>
      <c r="M55" s="18"/>
      <c r="N55" s="23"/>
      <c r="O55" s="23"/>
      <c r="P55" s="20"/>
      <c r="Q55" s="20" t="n">
        <v>2024</v>
      </c>
      <c r="R55" s="23" t="s">
        <v>163</v>
      </c>
      <c r="S55" s="26" t="s">
        <v>676</v>
      </c>
      <c r="T55" s="26"/>
      <c r="U55" s="191"/>
      <c r="V55" s="23"/>
      <c r="W55" s="12" t="s">
        <v>43</v>
      </c>
      <c r="X55" s="24" t="n">
        <f aca="false">0.9*$J55</f>
        <v>450000</v>
      </c>
      <c r="Y55" s="24" t="n">
        <f aca="false">1.5*J55</f>
        <v>750000</v>
      </c>
      <c r="Z55" s="12" t="s">
        <v>44</v>
      </c>
      <c r="AA55" s="13" t="n">
        <f aca="false">0.9*K55</f>
        <v>0</v>
      </c>
      <c r="AB55" s="13" t="n">
        <f aca="false">1.3*K55</f>
        <v>0</v>
      </c>
      <c r="AC55" s="12" t="s">
        <v>44</v>
      </c>
      <c r="AD55" s="13" t="s">
        <v>45</v>
      </c>
      <c r="AE55" s="13" t="s">
        <v>46</v>
      </c>
      <c r="AF55" s="13" t="s">
        <v>47</v>
      </c>
      <c r="AG55" s="12" t="s">
        <v>48</v>
      </c>
    </row>
    <row r="56" customFormat="false" ht="23.85" hidden="false" customHeight="false" outlineLevel="0" collapsed="false">
      <c r="A56" s="6" t="n">
        <v>287.3</v>
      </c>
      <c r="B56" s="9" t="n">
        <f aca="false">IF(ISNUMBER(A56),
    IF(AND(A56=INT(A56), MOD(A56, 10) = 0), 0,
        IF(AND(A56=INT(A56), LEN(A56)=2), 1,
            IF(AND(A56=INT(A56), LEN(A56)=3), 2,
                LEN(A56) - FIND(".", A56) + 2)
        )
    ),
"")</f>
        <v>3</v>
      </c>
      <c r="C56" s="61" t="s">
        <v>784</v>
      </c>
      <c r="D56" s="10" t="str">
        <f aca="false">REPT("   ", B56*2) &amp; C56</f>
        <v>                  Water Tanker Trucks</v>
      </c>
      <c r="E56" s="10" t="s">
        <v>35</v>
      </c>
      <c r="F56" s="10" t="s">
        <v>785</v>
      </c>
      <c r="G56" s="111" t="n">
        <v>1</v>
      </c>
      <c r="H56" s="10"/>
      <c r="I56" s="10"/>
      <c r="J56" s="161" t="n">
        <v>300000</v>
      </c>
      <c r="K56" s="42"/>
      <c r="L56" s="23"/>
      <c r="M56" s="18"/>
      <c r="N56" s="23"/>
      <c r="O56" s="23"/>
      <c r="P56" s="20"/>
      <c r="Q56" s="20" t="n">
        <v>2024</v>
      </c>
      <c r="R56" s="23" t="s">
        <v>163</v>
      </c>
      <c r="S56" s="26" t="s">
        <v>676</v>
      </c>
      <c r="T56" s="26"/>
      <c r="U56" s="191"/>
      <c r="V56" s="23"/>
      <c r="W56" s="12" t="s">
        <v>43</v>
      </c>
      <c r="X56" s="24" t="n">
        <f aca="false">0.9*$J56</f>
        <v>270000</v>
      </c>
      <c r="Y56" s="24" t="n">
        <f aca="false">1.5*J56</f>
        <v>450000</v>
      </c>
      <c r="Z56" s="12" t="s">
        <v>44</v>
      </c>
      <c r="AA56" s="13" t="n">
        <f aca="false">0.9*K56</f>
        <v>0</v>
      </c>
      <c r="AB56" s="13" t="n">
        <f aca="false">1.3*K56</f>
        <v>0</v>
      </c>
      <c r="AC56" s="12" t="s">
        <v>44</v>
      </c>
      <c r="AD56" s="13" t="s">
        <v>45</v>
      </c>
      <c r="AE56" s="13" t="s">
        <v>46</v>
      </c>
      <c r="AF56" s="13" t="s">
        <v>47</v>
      </c>
      <c r="AG56" s="12" t="s">
        <v>48</v>
      </c>
    </row>
    <row r="57" customFormat="false" ht="23.85" hidden="false" customHeight="false" outlineLevel="0" collapsed="false">
      <c r="A57" s="6" t="n">
        <v>287.4</v>
      </c>
      <c r="B57" s="9" t="n">
        <f aca="false">IF(ISNUMBER(A57),
    IF(AND(A57=INT(A57), MOD(A57, 10) = 0), 0,
        IF(AND(A57=INT(A57), LEN(A57)=2), 1,
            IF(AND(A57=INT(A57), LEN(A57)=3), 2,
                LEN(A57) - FIND(".", A57) + 2)
        )
    ),
"")</f>
        <v>3</v>
      </c>
      <c r="C57" s="61" t="s">
        <v>786</v>
      </c>
      <c r="D57" s="10" t="str">
        <f aca="false">REPT("   ", B57*2) &amp; C57</f>
        <v>                  Maintenance Trucks</v>
      </c>
      <c r="E57" s="10" t="s">
        <v>35</v>
      </c>
      <c r="F57" s="10" t="s">
        <v>787</v>
      </c>
      <c r="G57" s="111" t="n">
        <v>1</v>
      </c>
      <c r="H57" s="10"/>
      <c r="I57" s="10"/>
      <c r="J57" s="161" t="n">
        <v>500000</v>
      </c>
      <c r="K57" s="42"/>
      <c r="L57" s="23"/>
      <c r="M57" s="18"/>
      <c r="N57" s="23"/>
      <c r="O57" s="23"/>
      <c r="P57" s="20"/>
      <c r="Q57" s="20" t="n">
        <v>2024</v>
      </c>
      <c r="R57" s="23" t="s">
        <v>163</v>
      </c>
      <c r="S57" s="26" t="s">
        <v>676</v>
      </c>
      <c r="T57" s="26"/>
      <c r="U57" s="191"/>
      <c r="V57" s="23"/>
      <c r="W57" s="12" t="s">
        <v>43</v>
      </c>
      <c r="X57" s="24" t="n">
        <f aca="false">0.9*$J57</f>
        <v>450000</v>
      </c>
      <c r="Y57" s="24" t="n">
        <f aca="false">1.5*J57</f>
        <v>750000</v>
      </c>
      <c r="Z57" s="12" t="s">
        <v>44</v>
      </c>
      <c r="AA57" s="13" t="n">
        <f aca="false">0.9*K57</f>
        <v>0</v>
      </c>
      <c r="AB57" s="13" t="n">
        <f aca="false">1.3*K57</f>
        <v>0</v>
      </c>
      <c r="AC57" s="12" t="s">
        <v>44</v>
      </c>
      <c r="AD57" s="13" t="s">
        <v>45</v>
      </c>
      <c r="AE57" s="13" t="s">
        <v>46</v>
      </c>
      <c r="AF57" s="13" t="s">
        <v>47</v>
      </c>
      <c r="AG57" s="12" t="s">
        <v>48</v>
      </c>
    </row>
    <row r="58" customFormat="false" ht="13.5" hidden="false" customHeight="false" outlineLevel="0" collapsed="false">
      <c r="A58" s="6" t="n">
        <v>287.5</v>
      </c>
      <c r="B58" s="9" t="n">
        <f aca="false">IF(ISNUMBER(A58),
    IF(AND(A58=INT(A58), MOD(A58, 10) = 0), 0,
        IF(AND(A58=INT(A58), LEN(A58)=2), 1,
            IF(AND(A58=INT(A58), LEN(A58)=3), 2,
                LEN(A58) - FIND(".", A58) + 2)
        )
    ),
"")</f>
        <v>3</v>
      </c>
      <c r="C58" s="61" t="s">
        <v>788</v>
      </c>
      <c r="D58" s="10" t="str">
        <f aca="false">REPT("   ", B58*2) &amp; C58</f>
        <v>                  Air Transport Equipment</v>
      </c>
      <c r="E58" s="10"/>
      <c r="F58" s="10"/>
      <c r="G58" s="111"/>
      <c r="H58" s="10"/>
      <c r="I58" s="10"/>
      <c r="J58" s="161"/>
      <c r="K58" s="42"/>
      <c r="L58" s="23"/>
      <c r="M58" s="18"/>
      <c r="N58" s="23"/>
      <c r="O58" s="23"/>
      <c r="P58" s="20"/>
      <c r="Q58" s="20"/>
      <c r="R58" s="23"/>
      <c r="S58" s="26"/>
      <c r="T58" s="26"/>
      <c r="U58" s="191"/>
      <c r="V58" s="23"/>
      <c r="W58" s="12"/>
      <c r="X58" s="24"/>
      <c r="Y58" s="24"/>
      <c r="Z58" s="12"/>
      <c r="AA58" s="13"/>
      <c r="AB58" s="13"/>
      <c r="AC58" s="12"/>
      <c r="AD58" s="13"/>
      <c r="AE58" s="13"/>
      <c r="AF58" s="13"/>
      <c r="AG58" s="12"/>
    </row>
    <row r="59" customFormat="false" ht="13.5" hidden="false" customHeight="false" outlineLevel="0" collapsed="false">
      <c r="A59" s="6" t="n">
        <v>287.51</v>
      </c>
      <c r="B59" s="9" t="n">
        <f aca="false">IF(ISNUMBER(A59),
    IF(AND(A59=INT(A59), MOD(A59, 10) = 0), 0,
        IF(AND(A59=INT(A59), LEN(A59)=2), 1,
            IF(AND(A59=INT(A59), LEN(A59)=3), 2,
                LEN(A59) - FIND(".", A59) + 2)
        )
    ),
"")</f>
        <v>4</v>
      </c>
      <c r="C59" s="61" t="s">
        <v>789</v>
      </c>
      <c r="D59" s="10" t="str">
        <f aca="false">REPT("   ", B59*2) &amp; C59</f>
        <v>                        Heavy Lift Helicopters</v>
      </c>
      <c r="E59" s="10" t="s">
        <v>35</v>
      </c>
      <c r="F59" s="10" t="s">
        <v>790</v>
      </c>
      <c r="G59" s="111" t="n">
        <v>1</v>
      </c>
      <c r="H59" s="10"/>
      <c r="I59" s="10"/>
      <c r="J59" s="161" t="n">
        <v>50000000</v>
      </c>
      <c r="K59" s="42"/>
      <c r="L59" s="23"/>
      <c r="M59" s="18"/>
      <c r="N59" s="23"/>
      <c r="O59" s="23"/>
      <c r="P59" s="20"/>
      <c r="Q59" s="20" t="n">
        <v>2024</v>
      </c>
      <c r="R59" s="23" t="s">
        <v>163</v>
      </c>
      <c r="S59" s="26" t="s">
        <v>749</v>
      </c>
      <c r="T59" s="26"/>
      <c r="U59" s="191"/>
      <c r="V59" s="23"/>
      <c r="W59" s="12" t="s">
        <v>43</v>
      </c>
      <c r="X59" s="24" t="n">
        <f aca="false">0.9*$J59</f>
        <v>45000000</v>
      </c>
      <c r="Y59" s="24" t="n">
        <f aca="false">1.5*J59</f>
        <v>75000000</v>
      </c>
      <c r="Z59" s="12" t="s">
        <v>44</v>
      </c>
      <c r="AA59" s="13" t="n">
        <f aca="false">0.9*K59</f>
        <v>0</v>
      </c>
      <c r="AB59" s="13" t="n">
        <f aca="false">1.3*K59</f>
        <v>0</v>
      </c>
      <c r="AC59" s="12" t="s">
        <v>44</v>
      </c>
      <c r="AD59" s="13" t="s">
        <v>45</v>
      </c>
      <c r="AE59" s="13" t="s">
        <v>46</v>
      </c>
      <c r="AF59" s="13" t="s">
        <v>47</v>
      </c>
      <c r="AG59" s="12" t="s">
        <v>48</v>
      </c>
    </row>
    <row r="60" customFormat="false" ht="13.5" hidden="false" customHeight="false" outlineLevel="0" collapsed="false">
      <c r="A60" s="6" t="n">
        <v>287.52</v>
      </c>
      <c r="B60" s="9" t="n">
        <f aca="false">IF(ISNUMBER(A60),
    IF(AND(A60=INT(A60), MOD(A60, 10) = 0), 0,
        IF(AND(A60=INT(A60), LEN(A60)=2), 1,
            IF(AND(A60=INT(A60), LEN(A60)=3), 2,
                LEN(A60) - FIND(".", A60) + 2)
        )
    ),
"")</f>
        <v>4</v>
      </c>
      <c r="C60" s="61" t="s">
        <v>791</v>
      </c>
      <c r="D60" s="10" t="str">
        <f aca="false">REPT("   ", B60*2) &amp; C60</f>
        <v>                        Aircraft Maintenance Equipment</v>
      </c>
      <c r="E60" s="10" t="s">
        <v>35</v>
      </c>
      <c r="F60" s="10" t="s">
        <v>630</v>
      </c>
      <c r="G60" s="111" t="n">
        <v>1</v>
      </c>
      <c r="H60" s="10"/>
      <c r="I60" s="10"/>
      <c r="J60" s="161" t="n">
        <v>1000000</v>
      </c>
      <c r="K60" s="42"/>
      <c r="L60" s="23"/>
      <c r="M60" s="18"/>
      <c r="N60" s="23"/>
      <c r="O60" s="23"/>
      <c r="P60" s="20"/>
      <c r="Q60" s="20" t="n">
        <v>2024</v>
      </c>
      <c r="R60" s="23" t="s">
        <v>163</v>
      </c>
      <c r="S60" s="26" t="s">
        <v>749</v>
      </c>
      <c r="T60" s="26"/>
      <c r="U60" s="191"/>
      <c r="V60" s="23"/>
      <c r="W60" s="12" t="s">
        <v>43</v>
      </c>
      <c r="X60" s="24" t="n">
        <f aca="false">0.9*$J60</f>
        <v>900000</v>
      </c>
      <c r="Y60" s="24" t="n">
        <f aca="false">1.5*J60</f>
        <v>1500000</v>
      </c>
      <c r="Z60" s="12" t="s">
        <v>44</v>
      </c>
      <c r="AA60" s="13" t="n">
        <f aca="false">0.9*K60</f>
        <v>0</v>
      </c>
      <c r="AB60" s="13" t="n">
        <f aca="false">1.3*K60</f>
        <v>0</v>
      </c>
      <c r="AC60" s="12" t="s">
        <v>44</v>
      </c>
      <c r="AD60" s="13" t="s">
        <v>45</v>
      </c>
      <c r="AE60" s="13" t="s">
        <v>46</v>
      </c>
      <c r="AF60" s="13" t="s">
        <v>47</v>
      </c>
      <c r="AG60" s="12" t="s">
        <v>48</v>
      </c>
    </row>
    <row r="61" customFormat="false" ht="13.5" hidden="false" customHeight="false" outlineLevel="0" collapsed="false">
      <c r="A61" s="6" t="n">
        <v>288</v>
      </c>
      <c r="B61" s="9" t="n">
        <f aca="false">IF(ISNUMBER(A61),
    IF(AND(A61=INT(A61), MOD(A61, 10) = 0), 0,
        IF(AND(A61=INT(A61), LEN(A61)=2), 1,
            IF(AND(A61=INT(A61), LEN(A61)=3), 2,
                LEN(A61) - FIND(".", A61) + 2)
        )
    ),
"")</f>
        <v>2</v>
      </c>
      <c r="C61" s="61" t="s">
        <v>677</v>
      </c>
      <c r="D61" s="10" t="str">
        <f aca="false">REPT("   ", B61*2) &amp; C61</f>
        <v>            Dispered Infrastructure</v>
      </c>
      <c r="E61" s="10"/>
      <c r="F61" s="10"/>
      <c r="G61" s="111"/>
      <c r="H61" s="10"/>
      <c r="I61" s="10"/>
      <c r="J61" s="164"/>
      <c r="K61" s="42"/>
      <c r="L61" s="165"/>
      <c r="M61" s="18"/>
      <c r="N61" s="23"/>
      <c r="O61" s="23"/>
      <c r="P61" s="20"/>
      <c r="Q61" s="20"/>
      <c r="R61" s="23"/>
      <c r="S61" s="166" t="s">
        <v>678</v>
      </c>
      <c r="T61" s="26"/>
      <c r="U61" s="167"/>
      <c r="V61" s="168"/>
      <c r="W61" s="12"/>
      <c r="X61" s="24"/>
      <c r="Y61" s="24"/>
      <c r="Z61" s="12"/>
      <c r="AA61" s="13"/>
      <c r="AB61" s="13"/>
      <c r="AC61" s="12"/>
      <c r="AD61" s="13"/>
      <c r="AE61" s="13"/>
      <c r="AF61" s="13"/>
      <c r="AG61" s="12"/>
    </row>
    <row r="62" customFormat="false" ht="46.25" hidden="false" customHeight="false" outlineLevel="0" collapsed="false">
      <c r="A62" s="6" t="n">
        <v>288.1</v>
      </c>
      <c r="B62" s="9" t="n">
        <v>3</v>
      </c>
      <c r="C62" s="61" t="s">
        <v>679</v>
      </c>
      <c r="D62" s="10" t="str">
        <f aca="false">REPT("   ", B62*2) &amp; C62</f>
        <v>                  Communication</v>
      </c>
      <c r="E62" s="10" t="s">
        <v>35</v>
      </c>
      <c r="F62" s="10"/>
      <c r="G62" s="111"/>
      <c r="H62" s="10"/>
      <c r="I62" s="10"/>
      <c r="J62" s="161"/>
      <c r="K62" s="169" t="n">
        <f aca="false">12575250/N62</f>
        <v>11774.5786516854</v>
      </c>
      <c r="L62" s="23" t="s">
        <v>36</v>
      </c>
      <c r="M62" s="170" t="s">
        <v>718</v>
      </c>
      <c r="N62" s="23" t="n">
        <v>1068</v>
      </c>
      <c r="O62" s="23" t="s">
        <v>38</v>
      </c>
      <c r="P62" s="20"/>
      <c r="Q62" s="20" t="n">
        <v>2025</v>
      </c>
      <c r="R62" s="23" t="s">
        <v>163</v>
      </c>
      <c r="S62" s="33" t="s">
        <v>681</v>
      </c>
      <c r="T62" s="26"/>
      <c r="U62" s="167"/>
      <c r="V62" s="168"/>
      <c r="W62" s="12" t="s">
        <v>43</v>
      </c>
      <c r="X62" s="24" t="n">
        <f aca="false">0.9*$J62</f>
        <v>0</v>
      </c>
      <c r="Y62" s="24" t="n">
        <f aca="false">1.5*J62</f>
        <v>0</v>
      </c>
      <c r="Z62" s="12" t="s">
        <v>44</v>
      </c>
      <c r="AA62" s="13" t="n">
        <f aca="false">0.9*K62</f>
        <v>10597.1207865169</v>
      </c>
      <c r="AB62" s="13" t="n">
        <f aca="false">1.3*K62</f>
        <v>15306.952247191</v>
      </c>
      <c r="AC62" s="12" t="s">
        <v>44</v>
      </c>
      <c r="AD62" s="13" t="s">
        <v>45</v>
      </c>
      <c r="AE62" s="13" t="s">
        <v>46</v>
      </c>
      <c r="AF62" s="13" t="s">
        <v>47</v>
      </c>
      <c r="AG62" s="12" t="s">
        <v>48</v>
      </c>
    </row>
    <row r="63" customFormat="false" ht="35.05" hidden="false" customHeight="false" outlineLevel="0" collapsed="false">
      <c r="A63" s="6" t="n">
        <v>288.2</v>
      </c>
      <c r="B63" s="9" t="n">
        <v>3</v>
      </c>
      <c r="C63" s="61" t="s">
        <v>682</v>
      </c>
      <c r="D63" s="10" t="str">
        <f aca="false">REPT("   ", B63*2) &amp; C63</f>
        <v>                  Security Cameras</v>
      </c>
      <c r="E63" s="10" t="s">
        <v>35</v>
      </c>
      <c r="F63" s="10" t="s">
        <v>792</v>
      </c>
      <c r="G63" s="111" t="n">
        <v>1</v>
      </c>
      <c r="H63" s="10"/>
      <c r="I63" s="10"/>
      <c r="J63" s="171" t="n">
        <v>28431</v>
      </c>
      <c r="K63" s="42"/>
      <c r="L63" s="23"/>
      <c r="M63" s="18"/>
      <c r="N63" s="23"/>
      <c r="O63" s="23"/>
      <c r="P63" s="20"/>
      <c r="Q63" s="20" t="n">
        <v>2025</v>
      </c>
      <c r="R63" s="23" t="s">
        <v>163</v>
      </c>
      <c r="S63" s="33" t="s">
        <v>684</v>
      </c>
      <c r="T63" s="26"/>
      <c r="U63" s="167"/>
      <c r="V63" s="168"/>
      <c r="W63" s="12" t="s">
        <v>43</v>
      </c>
      <c r="X63" s="24" t="n">
        <f aca="false">0.9*$J63</f>
        <v>25587.9</v>
      </c>
      <c r="Y63" s="24" t="n">
        <f aca="false">1.5*J63</f>
        <v>42646.5</v>
      </c>
      <c r="Z63" s="12" t="s">
        <v>44</v>
      </c>
      <c r="AA63" s="13" t="n">
        <f aca="false">0.9*K63</f>
        <v>0</v>
      </c>
      <c r="AB63" s="13" t="n">
        <f aca="false">1.3*K63</f>
        <v>0</v>
      </c>
      <c r="AC63" s="12" t="s">
        <v>44</v>
      </c>
      <c r="AD63" s="13" t="s">
        <v>45</v>
      </c>
      <c r="AE63" s="13" t="s">
        <v>46</v>
      </c>
      <c r="AF63" s="13" t="s">
        <v>47</v>
      </c>
      <c r="AG63" s="12" t="s">
        <v>48</v>
      </c>
    </row>
    <row r="64" customFormat="false" ht="35.05" hidden="false" customHeight="false" outlineLevel="0" collapsed="false">
      <c r="A64" s="6" t="n">
        <v>288.3</v>
      </c>
      <c r="B64" s="9" t="n">
        <v>3</v>
      </c>
      <c r="C64" s="61" t="s">
        <v>685</v>
      </c>
      <c r="D64" s="10" t="str">
        <f aca="false">REPT("   ", B64*2) &amp; C64</f>
        <v>                  Motion Detectors</v>
      </c>
      <c r="E64" s="10" t="s">
        <v>35</v>
      </c>
      <c r="F64" s="10" t="s">
        <v>793</v>
      </c>
      <c r="G64" s="111" t="n">
        <v>1</v>
      </c>
      <c r="H64" s="10"/>
      <c r="I64" s="10"/>
      <c r="J64" s="171" t="n">
        <v>24057</v>
      </c>
      <c r="K64" s="42"/>
      <c r="L64" s="23"/>
      <c r="M64" s="18"/>
      <c r="N64" s="23"/>
      <c r="O64" s="23"/>
      <c r="P64" s="20"/>
      <c r="Q64" s="20" t="n">
        <v>2025</v>
      </c>
      <c r="R64" s="23" t="s">
        <v>163</v>
      </c>
      <c r="S64" s="33" t="s">
        <v>684</v>
      </c>
      <c r="T64" s="26"/>
      <c r="U64" s="167"/>
      <c r="V64" s="168"/>
      <c r="W64" s="12" t="s">
        <v>43</v>
      </c>
      <c r="X64" s="24" t="n">
        <f aca="false">0.9*$J64</f>
        <v>21651.3</v>
      </c>
      <c r="Y64" s="24" t="n">
        <f aca="false">1.5*J64</f>
        <v>36085.5</v>
      </c>
      <c r="Z64" s="12" t="s">
        <v>44</v>
      </c>
      <c r="AA64" s="13" t="n">
        <f aca="false">0.9*K64</f>
        <v>0</v>
      </c>
      <c r="AB64" s="13" t="n">
        <f aca="false">1.3*K64</f>
        <v>0</v>
      </c>
      <c r="AC64" s="12" t="s">
        <v>44</v>
      </c>
      <c r="AD64" s="13" t="s">
        <v>45</v>
      </c>
      <c r="AE64" s="13" t="s">
        <v>46</v>
      </c>
      <c r="AF64" s="13" t="s">
        <v>47</v>
      </c>
      <c r="AG64" s="12" t="s">
        <v>48</v>
      </c>
    </row>
    <row r="65" customFormat="false" ht="35.05" hidden="false" customHeight="false" outlineLevel="0" collapsed="false">
      <c r="A65" s="6" t="n">
        <v>288.4</v>
      </c>
      <c r="B65" s="9" t="n">
        <v>3</v>
      </c>
      <c r="C65" s="61" t="s">
        <v>687</v>
      </c>
      <c r="D65" s="10" t="str">
        <f aca="false">REPT("   ", B65*2) &amp; C65</f>
        <v>                  Guard Station</v>
      </c>
      <c r="E65" s="10" t="s">
        <v>35</v>
      </c>
      <c r="F65" s="10" t="s">
        <v>794</v>
      </c>
      <c r="G65" s="111" t="n">
        <v>1</v>
      </c>
      <c r="H65" s="10"/>
      <c r="I65" s="10"/>
      <c r="J65" s="172" t="n">
        <v>6774250</v>
      </c>
      <c r="K65" s="42"/>
      <c r="L65" s="23"/>
      <c r="M65" s="18"/>
      <c r="N65" s="23"/>
      <c r="O65" s="23"/>
      <c r="P65" s="20"/>
      <c r="Q65" s="20" t="n">
        <v>2025</v>
      </c>
      <c r="R65" s="23" t="s">
        <v>163</v>
      </c>
      <c r="S65" s="33" t="s">
        <v>684</v>
      </c>
      <c r="T65" s="26"/>
      <c r="U65" s="167"/>
      <c r="V65" s="168"/>
      <c r="W65" s="12" t="s">
        <v>43</v>
      </c>
      <c r="X65" s="24" t="n">
        <f aca="false">0.9*$J65</f>
        <v>6096825</v>
      </c>
      <c r="Y65" s="24" t="n">
        <f aca="false">1.5*J65</f>
        <v>10161375</v>
      </c>
      <c r="Z65" s="12" t="s">
        <v>44</v>
      </c>
      <c r="AA65" s="13" t="n">
        <f aca="false">0.9*K65</f>
        <v>0</v>
      </c>
      <c r="AB65" s="13" t="n">
        <f aca="false">1.3*K65</f>
        <v>0</v>
      </c>
      <c r="AC65" s="12" t="s">
        <v>44</v>
      </c>
      <c r="AD65" s="13" t="s">
        <v>45</v>
      </c>
      <c r="AE65" s="13" t="s">
        <v>46</v>
      </c>
      <c r="AF65" s="13" t="s">
        <v>47</v>
      </c>
      <c r="AG65" s="12" t="s">
        <v>48</v>
      </c>
    </row>
    <row r="66" customFormat="false" ht="35.05" hidden="false" customHeight="false" outlineLevel="0" collapsed="false">
      <c r="A66" s="6" t="n">
        <v>288.5</v>
      </c>
      <c r="B66" s="9" t="n">
        <v>3</v>
      </c>
      <c r="C66" s="61" t="s">
        <v>795</v>
      </c>
      <c r="D66" s="10" t="str">
        <f aca="false">REPT("   ", B66*2) &amp; C66</f>
        <v>                  Radiation Monitors</v>
      </c>
      <c r="E66" s="10" t="s">
        <v>35</v>
      </c>
      <c r="F66" s="10" t="s">
        <v>796</v>
      </c>
      <c r="G66" s="111" t="n">
        <v>1</v>
      </c>
      <c r="H66" s="10"/>
      <c r="I66" s="10"/>
      <c r="J66" s="161" t="n">
        <v>656100</v>
      </c>
      <c r="K66" s="42"/>
      <c r="L66" s="23"/>
      <c r="M66" s="18"/>
      <c r="N66" s="23"/>
      <c r="O66" s="23"/>
      <c r="P66" s="20"/>
      <c r="Q66" s="20" t="n">
        <v>2025</v>
      </c>
      <c r="R66" s="23" t="s">
        <v>163</v>
      </c>
      <c r="S66" s="33" t="s">
        <v>684</v>
      </c>
      <c r="T66" s="26"/>
      <c r="U66" s="167"/>
      <c r="V66" s="168"/>
      <c r="W66" s="12" t="s">
        <v>43</v>
      </c>
      <c r="X66" s="24" t="n">
        <f aca="false">0.9*$J66</f>
        <v>590490</v>
      </c>
      <c r="Y66" s="24" t="n">
        <f aca="false">1.5*J66</f>
        <v>984150</v>
      </c>
      <c r="Z66" s="12" t="s">
        <v>44</v>
      </c>
      <c r="AA66" s="13" t="n">
        <f aca="false">0.9*K66</f>
        <v>0</v>
      </c>
      <c r="AB66" s="13" t="n">
        <f aca="false">1.3*K66</f>
        <v>0</v>
      </c>
      <c r="AC66" s="12" t="s">
        <v>44</v>
      </c>
      <c r="AD66" s="13" t="s">
        <v>45</v>
      </c>
      <c r="AE66" s="13" t="s">
        <v>46</v>
      </c>
      <c r="AF66" s="13" t="s">
        <v>47</v>
      </c>
      <c r="AG66" s="12" t="s">
        <v>48</v>
      </c>
    </row>
    <row r="67" customFormat="false" ht="13.5" hidden="false" customHeight="false" outlineLevel="0" collapsed="false">
      <c r="A67" s="4" t="n">
        <v>30</v>
      </c>
      <c r="B67" s="9" t="n">
        <f aca="false">IF(ISNUMBER(A67),
    IF(AND(A67=INT(A67), MOD(A67, 10) = 0), 0,
        IF(AND(A67=INT(A67), LEN(A67)=2), 1,
            IF(AND(A67=INT(A67), LEN(A67)=3), 2,
                LEN(A67) - FIND(".", A67) + 2)
        )
    ),
"")</f>
        <v>0</v>
      </c>
      <c r="C67" s="37" t="s">
        <v>392</v>
      </c>
      <c r="D67" s="10" t="str">
        <f aca="false">REPT("   ", B67*2) &amp; C67</f>
        <v>Capitalized Indirect Services Cost</v>
      </c>
      <c r="E67" s="10"/>
      <c r="F67" s="10"/>
      <c r="G67" s="111"/>
      <c r="H67" s="10"/>
      <c r="I67" s="10"/>
      <c r="J67" s="173"/>
      <c r="K67" s="27"/>
      <c r="L67" s="4"/>
      <c r="M67" s="4"/>
      <c r="N67" s="4"/>
      <c r="O67" s="4"/>
      <c r="P67" s="28"/>
      <c r="Q67" s="20"/>
      <c r="R67" s="23"/>
      <c r="S67" s="4"/>
      <c r="T67" s="4"/>
      <c r="U67" s="4"/>
      <c r="V67" s="4"/>
      <c r="W67" s="12"/>
      <c r="X67" s="24"/>
      <c r="Y67" s="24"/>
      <c r="Z67" s="12"/>
      <c r="AA67" s="13"/>
      <c r="AB67" s="13"/>
      <c r="AC67" s="12"/>
      <c r="AD67" s="13"/>
      <c r="AE67" s="13"/>
      <c r="AF67" s="13"/>
      <c r="AG67" s="12"/>
    </row>
    <row r="68" customFormat="false" ht="13.5" hidden="false" customHeight="false" outlineLevel="0" collapsed="false">
      <c r="A68" s="6" t="n">
        <v>40</v>
      </c>
      <c r="B68" s="9" t="n">
        <f aca="false">IF(ISNUMBER(A68),
    IF(AND(A68=INT(A68), MOD(A68, 10) = 0), 0,
        IF(AND(A68=INT(A68), LEN(A68)=2), 1,
            IF(AND(A68=INT(A68), LEN(A68)=3), 2,
                LEN(A68) - FIND(".", A68) + 2)
        )
    ),
"")</f>
        <v>0</v>
      </c>
      <c r="C68" s="37" t="s">
        <v>399</v>
      </c>
      <c r="D68" s="10" t="str">
        <f aca="false">REPT("   ", B68*2) &amp; C68</f>
        <v>Capitalized training costs</v>
      </c>
      <c r="E68" s="10"/>
      <c r="F68" s="10"/>
      <c r="G68" s="111"/>
      <c r="H68" s="10"/>
      <c r="I68" s="10"/>
      <c r="J68" s="161"/>
      <c r="K68" s="27"/>
      <c r="L68" s="4"/>
      <c r="M68" s="4"/>
      <c r="N68" s="4"/>
      <c r="O68" s="4"/>
      <c r="P68" s="28"/>
      <c r="Q68" s="28"/>
      <c r="R68" s="4"/>
      <c r="S68" s="4"/>
      <c r="T68" s="4"/>
      <c r="U68" s="4"/>
      <c r="V68" s="4"/>
      <c r="W68" s="12"/>
      <c r="X68" s="24"/>
      <c r="Y68" s="24"/>
      <c r="Z68" s="12"/>
      <c r="AA68" s="13"/>
      <c r="AB68" s="13"/>
      <c r="AC68" s="12"/>
      <c r="AD68" s="13"/>
      <c r="AE68" s="13"/>
      <c r="AF68" s="13"/>
      <c r="AG68" s="12"/>
    </row>
    <row r="69" customFormat="false" ht="13.5" hidden="false" customHeight="false" outlineLevel="0" collapsed="false">
      <c r="A69" s="6" t="n">
        <v>41</v>
      </c>
      <c r="B69" s="9" t="n">
        <f aca="false">IF(ISNUMBER(A69),
    IF(AND(A69=INT(A69), MOD(A69, 10) = 0), 0,
        IF(AND(A69=INT(A69), LEN(A69)=2), 1,
            IF(AND(A69=INT(A69), LEN(A69)=3), 2,
                LEN(A69) - FIND(".", A69) + 2)
        )
    ),
"")</f>
        <v>1</v>
      </c>
      <c r="C69" s="37" t="s">
        <v>400</v>
      </c>
      <c r="D69" s="10" t="str">
        <f aca="false">REPT("   ", B69*2) &amp; C69</f>
        <v>      staff recruitment and training</v>
      </c>
      <c r="E69" s="10" t="s">
        <v>35</v>
      </c>
      <c r="F69" s="10" t="s">
        <v>630</v>
      </c>
      <c r="G69" s="111" t="n">
        <v>1</v>
      </c>
      <c r="H69" s="10"/>
      <c r="I69" s="10"/>
      <c r="J69" s="113" t="n">
        <v>300000</v>
      </c>
      <c r="K69" s="42"/>
      <c r="L69" s="23"/>
      <c r="M69" s="26"/>
      <c r="N69" s="23"/>
      <c r="O69" s="23"/>
      <c r="P69" s="20"/>
      <c r="Q69" s="20" t="n">
        <v>2024</v>
      </c>
      <c r="R69" s="23" t="s">
        <v>53</v>
      </c>
      <c r="S69" s="26"/>
      <c r="T69" s="23"/>
      <c r="U69" s="23"/>
      <c r="V69" s="23"/>
      <c r="W69" s="12" t="s">
        <v>43</v>
      </c>
      <c r="X69" s="24" t="n">
        <f aca="false">0.9*$J69</f>
        <v>270000</v>
      </c>
      <c r="Y69" s="24" t="n">
        <f aca="false">1.5*J69</f>
        <v>450000</v>
      </c>
      <c r="Z69" s="12" t="s">
        <v>44</v>
      </c>
      <c r="AA69" s="13" t="n">
        <f aca="false">0.9*K69</f>
        <v>0</v>
      </c>
      <c r="AB69" s="13" t="n">
        <f aca="false">1.3*K69</f>
        <v>0</v>
      </c>
      <c r="AC69" s="12" t="s">
        <v>44</v>
      </c>
      <c r="AD69" s="13" t="s">
        <v>45</v>
      </c>
      <c r="AE69" s="13" t="s">
        <v>46</v>
      </c>
      <c r="AF69" s="13" t="s">
        <v>47</v>
      </c>
      <c r="AG69" s="12" t="s">
        <v>48</v>
      </c>
    </row>
    <row r="70" customFormat="false" ht="13.5" hidden="false" customHeight="false" outlineLevel="0" collapsed="false">
      <c r="A70" s="4" t="n">
        <v>60</v>
      </c>
      <c r="B70" s="9" t="n">
        <f aca="false">IF(ISNUMBER(A70),
    IF(AND(A70=INT(A70), MOD(A70, 10) = 0), 0,
        IF(AND(A70=INT(A70), LEN(A70)=2), 1,
            IF(AND(A70=INT(A70), LEN(A70)=3), 2,
                LEN(A70) - FIND(".", A70) + 2)
        )
    ),
"")</f>
        <v>0</v>
      </c>
      <c r="C70" s="37" t="s">
        <v>403</v>
      </c>
      <c r="D70" s="10" t="str">
        <f aca="false">REPT("   ", B70*2) &amp; C70</f>
        <v>Capitalized Financial Costs </v>
      </c>
      <c r="E70" s="10"/>
      <c r="F70" s="10"/>
      <c r="G70" s="111"/>
      <c r="H70" s="10"/>
      <c r="I70" s="10"/>
      <c r="J70" s="112"/>
      <c r="K70" s="11"/>
      <c r="L70" s="9"/>
      <c r="M70" s="5"/>
      <c r="N70" s="9"/>
      <c r="O70" s="9"/>
      <c r="P70" s="11"/>
      <c r="Q70" s="11"/>
      <c r="R70" s="9"/>
      <c r="S70" s="5"/>
      <c r="T70" s="9"/>
      <c r="U70" s="9"/>
      <c r="V70" s="9"/>
      <c r="W70" s="12"/>
      <c r="X70" s="24"/>
      <c r="Y70" s="24"/>
      <c r="Z70" s="12"/>
      <c r="AA70" s="13"/>
      <c r="AB70" s="13"/>
      <c r="AC70" s="12"/>
      <c r="AD70" s="13"/>
      <c r="AE70" s="13"/>
      <c r="AF70" s="13"/>
      <c r="AG70" s="12"/>
    </row>
    <row r="71" customFormat="false" ht="13.5" hidden="false" customHeight="false" outlineLevel="0" collapsed="false">
      <c r="A71" s="6" t="n">
        <v>62</v>
      </c>
      <c r="B71" s="9" t="n">
        <f aca="false">IF(ISNUMBER(A71),
    IF(AND(A71=INT(A71), MOD(A71, 10) = 0), 0,
        IF(AND(A71=INT(A71), LEN(A71)=2), 1,
            IF(AND(A71=INT(A71), LEN(A71)=3), 2,
                LEN(A71) - FIND(".", A71) + 2)
        )
    ),
"")</f>
        <v>1</v>
      </c>
      <c r="C71" s="37" t="s">
        <v>404</v>
      </c>
      <c r="D71" s="10" t="str">
        <f aca="false">REPT("   ", B71*2) &amp; C71</f>
        <v>      Interest</v>
      </c>
      <c r="E71" s="10"/>
      <c r="F71" s="10"/>
      <c r="G71" s="111"/>
      <c r="H71" s="10"/>
      <c r="I71" s="10"/>
      <c r="J71" s="113"/>
      <c r="K71" s="42"/>
      <c r="L71" s="23"/>
      <c r="M71" s="26"/>
      <c r="N71" s="23"/>
      <c r="O71" s="23"/>
      <c r="P71" s="20"/>
      <c r="Q71" s="20"/>
      <c r="R71" s="23"/>
      <c r="S71" s="26"/>
      <c r="T71" s="23"/>
      <c r="U71" s="23"/>
      <c r="V71" s="23"/>
      <c r="W71" s="12"/>
      <c r="X71" s="24"/>
      <c r="Y71" s="24"/>
      <c r="Z71" s="12"/>
      <c r="AA71" s="13"/>
      <c r="AB71" s="13"/>
      <c r="AC71" s="12"/>
      <c r="AD71" s="13"/>
      <c r="AE71" s="13"/>
      <c r="AF71" s="13"/>
      <c r="AG71" s="12"/>
    </row>
    <row r="72" customFormat="false" ht="13.5" hidden="false" customHeight="false" outlineLevel="0" collapsed="false">
      <c r="A72" s="6" t="n">
        <v>70</v>
      </c>
      <c r="B72" s="9" t="n">
        <f aca="false">IF(ISNUMBER(A72),
    IF(AND(A72=INT(A72), MOD(A72, 10) = 0), 0,
        IF(AND(A72=INT(A72), LEN(A72)=2), 1,
            IF(AND(A72=INT(A72), LEN(A72)=3), 2,
                LEN(A72) - FIND(".", A72) + 2)
        )
    ),
"")</f>
        <v>0</v>
      </c>
      <c r="C72" s="63" t="s">
        <v>405</v>
      </c>
      <c r="D72" s="10" t="str">
        <f aca="false">REPT("   ", B72*2) &amp; C72</f>
        <v>Annualized O&amp;M Cost </v>
      </c>
      <c r="E72" s="10"/>
      <c r="F72" s="10"/>
      <c r="G72" s="111"/>
      <c r="H72" s="10"/>
      <c r="I72" s="10"/>
      <c r="J72" s="113"/>
      <c r="K72" s="42"/>
      <c r="L72" s="23"/>
      <c r="M72" s="26"/>
      <c r="N72" s="23"/>
      <c r="O72" s="23"/>
      <c r="P72" s="20"/>
      <c r="Q72" s="20"/>
      <c r="R72" s="23"/>
      <c r="S72" s="26"/>
      <c r="T72" s="26"/>
      <c r="U72" s="23"/>
      <c r="V72" s="23"/>
      <c r="W72" s="12"/>
      <c r="X72" s="24"/>
      <c r="Y72" s="24"/>
      <c r="Z72" s="12"/>
      <c r="AA72" s="13"/>
      <c r="AB72" s="13"/>
      <c r="AC72" s="12"/>
      <c r="AD72" s="13"/>
      <c r="AE72" s="13"/>
      <c r="AF72" s="13"/>
      <c r="AG72" s="12"/>
    </row>
    <row r="73" customFormat="false" ht="13.5" hidden="false" customHeight="false" outlineLevel="0" collapsed="false">
      <c r="A73" s="6" t="n">
        <v>71</v>
      </c>
      <c r="B73" s="9" t="n">
        <f aca="false">IF(ISNUMBER(A73),
    IF(AND(A73=INT(A73), MOD(A73, 10) = 0), 0,
        IF(AND(A73=INT(A73), LEN(A73)=2), 1,
            IF(AND(A73=INT(A73), LEN(A73)=3), 2,
                LEN(A73) - FIND(".", A73) + 2)
        )
    ),
"")</f>
        <v>1</v>
      </c>
      <c r="C73" s="37" t="s">
        <v>406</v>
      </c>
      <c r="D73" s="10" t="str">
        <f aca="false">REPT("   ", B73*2) &amp; C73</f>
        <v>      O&amp;M Staff</v>
      </c>
      <c r="E73" s="10"/>
      <c r="F73" s="10"/>
      <c r="G73" s="111"/>
      <c r="H73" s="10"/>
      <c r="I73" s="10"/>
      <c r="J73" s="113"/>
      <c r="K73" s="42"/>
      <c r="L73" s="23"/>
      <c r="M73" s="26"/>
      <c r="N73" s="23"/>
      <c r="O73" s="23"/>
      <c r="P73" s="20"/>
      <c r="Q73" s="20"/>
      <c r="R73" s="23"/>
      <c r="S73" s="26"/>
      <c r="T73" s="26"/>
      <c r="U73" s="23"/>
      <c r="V73" s="23"/>
      <c r="W73" s="12"/>
      <c r="X73" s="24"/>
      <c r="Y73" s="24"/>
      <c r="Z73" s="12"/>
      <c r="AA73" s="13"/>
      <c r="AB73" s="13"/>
      <c r="AC73" s="12"/>
      <c r="AD73" s="13"/>
      <c r="AE73" s="13"/>
      <c r="AF73" s="13"/>
      <c r="AG73" s="12"/>
    </row>
    <row r="74" customFormat="false" ht="68.65" hidden="false" customHeight="false" outlineLevel="0" collapsed="false">
      <c r="A74" s="30" t="n">
        <v>711</v>
      </c>
      <c r="B74" s="9" t="n">
        <f aca="false">IF(ISNUMBER(A74),
    IF(AND(A74=INT(A74), MOD(A74, 10) = 0), 0,
        IF(AND(A74=INT(A74), LEN(A74)=2), 1,
            IF(AND(A74=INT(A74), LEN(A74)=3), 2,
                LEN(A74) - FIND(".", A74) + 2)
        )
    ),
"")</f>
        <v>2</v>
      </c>
      <c r="C74" s="37" t="s">
        <v>407</v>
      </c>
      <c r="D74" s="10" t="str">
        <f aca="false">REPT("   ", B74*2) &amp; C74</f>
        <v>            Operators </v>
      </c>
      <c r="E74" s="10" t="s">
        <v>290</v>
      </c>
      <c r="F74" s="10"/>
      <c r="G74" s="111" t="n">
        <v>1</v>
      </c>
      <c r="H74" s="10"/>
      <c r="I74" s="10"/>
      <c r="J74" s="113"/>
      <c r="K74" s="42" t="n">
        <v>178500</v>
      </c>
      <c r="L74" s="23" t="s">
        <v>797</v>
      </c>
      <c r="M74" s="26" t="s">
        <v>798</v>
      </c>
      <c r="N74" s="23"/>
      <c r="O74" s="23"/>
      <c r="P74" s="20" t="n">
        <v>1</v>
      </c>
      <c r="Q74" s="20" t="n">
        <v>2024</v>
      </c>
      <c r="R74" s="23" t="s">
        <v>53</v>
      </c>
      <c r="S74" s="26"/>
      <c r="T74" s="26" t="s">
        <v>410</v>
      </c>
      <c r="U74" s="23"/>
      <c r="V74" s="23"/>
      <c r="W74" s="12" t="s">
        <v>43</v>
      </c>
      <c r="X74" s="24" t="n">
        <f aca="false">0.9*$J74</f>
        <v>0</v>
      </c>
      <c r="Y74" s="24" t="n">
        <f aca="false">1.5*J74</f>
        <v>0</v>
      </c>
      <c r="Z74" s="12" t="s">
        <v>44</v>
      </c>
      <c r="AA74" s="13" t="n">
        <f aca="false">0.9*K74</f>
        <v>160650</v>
      </c>
      <c r="AB74" s="13" t="n">
        <f aca="false">1.3*K74</f>
        <v>232050</v>
      </c>
      <c r="AC74" s="12" t="s">
        <v>44</v>
      </c>
      <c r="AD74" s="13" t="s">
        <v>45</v>
      </c>
      <c r="AE74" s="13" t="s">
        <v>46</v>
      </c>
      <c r="AF74" s="13" t="s">
        <v>47</v>
      </c>
      <c r="AG74" s="12" t="s">
        <v>48</v>
      </c>
    </row>
    <row r="75" customFormat="false" ht="68.65" hidden="false" customHeight="false" outlineLevel="0" collapsed="false">
      <c r="A75" s="30" t="n">
        <v>712</v>
      </c>
      <c r="B75" s="9" t="n">
        <f aca="false">IF(ISNUMBER(A75),
    IF(AND(A75=INT(A75), MOD(A75, 10) = 0), 0,
        IF(AND(A75=INT(A75), LEN(A75)=2), 1,
            IF(AND(A75=INT(A75), LEN(A75)=3), 2,
                LEN(A75) - FIND(".", A75) + 2)
        )
    ),
"")</f>
        <v>2</v>
      </c>
      <c r="C75" s="37" t="s">
        <v>411</v>
      </c>
      <c r="D75" s="10" t="str">
        <f aca="false">REPT("   ", B75*2) &amp; C75</f>
        <v>            Remote Monitoring Technicians </v>
      </c>
      <c r="E75" s="10" t="s">
        <v>290</v>
      </c>
      <c r="F75" s="10" t="s">
        <v>414</v>
      </c>
      <c r="G75" s="111" t="n">
        <v>1</v>
      </c>
      <c r="H75" s="10"/>
      <c r="I75" s="10"/>
      <c r="J75" s="113"/>
      <c r="K75" s="42" t="n">
        <v>178500</v>
      </c>
      <c r="L75" s="23" t="s">
        <v>408</v>
      </c>
      <c r="M75" s="10" t="s">
        <v>768</v>
      </c>
      <c r="N75" s="23"/>
      <c r="O75" s="23"/>
      <c r="P75" s="23" t="n">
        <v>1</v>
      </c>
      <c r="Q75" s="20" t="n">
        <v>2024</v>
      </c>
      <c r="R75" s="23" t="s">
        <v>53</v>
      </c>
      <c r="S75" s="26"/>
      <c r="T75" s="26" t="s">
        <v>410</v>
      </c>
      <c r="U75" s="23"/>
      <c r="V75" s="23"/>
      <c r="W75" s="12" t="s">
        <v>43</v>
      </c>
      <c r="X75" s="24" t="n">
        <f aca="false">0.9*$J75</f>
        <v>0</v>
      </c>
      <c r="Y75" s="24" t="n">
        <f aca="false">1.5*J75</f>
        <v>0</v>
      </c>
      <c r="Z75" s="12" t="s">
        <v>44</v>
      </c>
      <c r="AA75" s="13" t="n">
        <f aca="false">0.9*K75</f>
        <v>160650</v>
      </c>
      <c r="AB75" s="13" t="n">
        <f aca="false">1.3*K75</f>
        <v>232050</v>
      </c>
      <c r="AC75" s="12" t="s">
        <v>44</v>
      </c>
      <c r="AD75" s="13" t="s">
        <v>45</v>
      </c>
      <c r="AE75" s="13" t="s">
        <v>46</v>
      </c>
      <c r="AF75" s="13" t="s">
        <v>47</v>
      </c>
      <c r="AG75" s="12" t="s">
        <v>48</v>
      </c>
    </row>
    <row r="76" customFormat="false" ht="68.65" hidden="false" customHeight="false" outlineLevel="0" collapsed="false">
      <c r="A76" s="30" t="n">
        <v>713</v>
      </c>
      <c r="B76" s="9" t="n">
        <f aca="false">IF(ISNUMBER(A76),
    IF(AND(A76=INT(A76), MOD(A76, 10) = 0), 0,
        IF(AND(A76=INT(A76), LEN(A76)=2), 1,
            IF(AND(A76=INT(A76), LEN(A76)=3), 2,
                LEN(A76) - FIND(".", A76) + 2)
        )
    ),
"")</f>
        <v>2</v>
      </c>
      <c r="C76" s="37" t="s">
        <v>415</v>
      </c>
      <c r="D76" s="10" t="str">
        <f aca="false">REPT("   ", B76*2) &amp; C76</f>
        <v>            Security Staff </v>
      </c>
      <c r="E76" s="10" t="s">
        <v>290</v>
      </c>
      <c r="F76" s="10" t="s">
        <v>799</v>
      </c>
      <c r="G76" s="111" t="n">
        <v>1</v>
      </c>
      <c r="H76" s="10"/>
      <c r="I76" s="10"/>
      <c r="J76" s="113"/>
      <c r="K76" s="42" t="n">
        <v>178500</v>
      </c>
      <c r="L76" s="23" t="s">
        <v>408</v>
      </c>
      <c r="M76" s="26" t="s">
        <v>800</v>
      </c>
      <c r="N76" s="23"/>
      <c r="O76" s="23"/>
      <c r="P76" s="23" t="n">
        <v>1</v>
      </c>
      <c r="Q76" s="20" t="n">
        <v>2024</v>
      </c>
      <c r="R76" s="23" t="s">
        <v>53</v>
      </c>
      <c r="S76" s="26"/>
      <c r="T76" s="26" t="s">
        <v>410</v>
      </c>
      <c r="U76" s="174"/>
      <c r="V76" s="23"/>
      <c r="W76" s="12" t="s">
        <v>43</v>
      </c>
      <c r="X76" s="24" t="n">
        <f aca="false">0.9*$J76</f>
        <v>0</v>
      </c>
      <c r="Y76" s="24" t="n">
        <f aca="false">1.5*J76</f>
        <v>0</v>
      </c>
      <c r="Z76" s="12" t="s">
        <v>44</v>
      </c>
      <c r="AA76" s="13" t="n">
        <f aca="false">0.9*K76</f>
        <v>160650</v>
      </c>
      <c r="AB76" s="13" t="n">
        <f aca="false">1.3*K76</f>
        <v>232050</v>
      </c>
      <c r="AC76" s="12" t="s">
        <v>44</v>
      </c>
      <c r="AD76" s="13" t="s">
        <v>45</v>
      </c>
      <c r="AE76" s="13" t="s">
        <v>46</v>
      </c>
      <c r="AF76" s="13" t="s">
        <v>47</v>
      </c>
      <c r="AG76" s="12" t="s">
        <v>48</v>
      </c>
    </row>
    <row r="77" customFormat="false" ht="68.65" hidden="false" customHeight="false" outlineLevel="0" collapsed="false">
      <c r="A77" s="30" t="n">
        <v>714</v>
      </c>
      <c r="B77" s="9" t="n">
        <f aca="false">IF(ISNUMBER(A77),
    IF(AND(A77=INT(A77), MOD(A77, 10) = 0), 0,
        IF(AND(A77=INT(A77), LEN(A77)=2), 1,
            IF(AND(A77=INT(A77), LEN(A77)=3), 2,
                LEN(A77) - FIND(".", A77) + 2)
        )
    ),
"")</f>
        <v>2</v>
      </c>
      <c r="C77" s="37" t="s">
        <v>696</v>
      </c>
      <c r="D77" s="10" t="str">
        <f aca="false">REPT("   ", B77*2) &amp; C77</f>
        <v>            Maintenance Staff</v>
      </c>
      <c r="E77" s="10" t="s">
        <v>290</v>
      </c>
      <c r="F77" s="10" t="s">
        <v>799</v>
      </c>
      <c r="G77" s="111" t="n">
        <v>1</v>
      </c>
      <c r="H77" s="10"/>
      <c r="I77" s="10"/>
      <c r="J77" s="113"/>
      <c r="K77" s="42" t="n">
        <v>178500</v>
      </c>
      <c r="L77" s="23" t="s">
        <v>408</v>
      </c>
      <c r="M77" s="26" t="s">
        <v>801</v>
      </c>
      <c r="N77" s="23"/>
      <c r="O77" s="23"/>
      <c r="P77" s="23" t="n">
        <v>1</v>
      </c>
      <c r="Q77" s="20" t="n">
        <v>2024</v>
      </c>
      <c r="R77" s="23" t="s">
        <v>53</v>
      </c>
      <c r="S77" s="26"/>
      <c r="T77" s="26" t="s">
        <v>410</v>
      </c>
      <c r="U77" s="174"/>
      <c r="V77" s="23"/>
      <c r="W77" s="12" t="s">
        <v>43</v>
      </c>
      <c r="X77" s="24" t="n">
        <f aca="false">0.9*$J77</f>
        <v>0</v>
      </c>
      <c r="Y77" s="24" t="n">
        <f aca="false">1.5*J77</f>
        <v>0</v>
      </c>
      <c r="Z77" s="12" t="s">
        <v>44</v>
      </c>
      <c r="AA77" s="13" t="n">
        <f aca="false">0.9*K77</f>
        <v>160650</v>
      </c>
      <c r="AB77" s="13" t="n">
        <f aca="false">1.3*K77</f>
        <v>232050</v>
      </c>
      <c r="AC77" s="12" t="s">
        <v>44</v>
      </c>
      <c r="AD77" s="13" t="s">
        <v>45</v>
      </c>
      <c r="AE77" s="13" t="s">
        <v>46</v>
      </c>
      <c r="AF77" s="13" t="s">
        <v>47</v>
      </c>
      <c r="AG77" s="12" t="s">
        <v>48</v>
      </c>
    </row>
    <row r="78" customFormat="false" ht="23.85" hidden="false" customHeight="false" outlineLevel="0" collapsed="false">
      <c r="A78" s="30" t="n">
        <v>715</v>
      </c>
      <c r="B78" s="9" t="n">
        <f aca="false">IF(ISNUMBER(A78),
    IF(AND(A78=INT(A78), MOD(A78, 10) = 0), 0,
        IF(AND(A78=INT(A78), LEN(A78)=2), 1,
            IF(AND(A78=INT(A78), LEN(A78)=3), 2,
                LEN(A78) - FIND(".", A78) + 2)
        )
    ),
"")</f>
        <v>2</v>
      </c>
      <c r="C78" s="37" t="s">
        <v>802</v>
      </c>
      <c r="D78" s="10" t="str">
        <f aca="false">REPT("   ", B78*2) &amp; C78</f>
        <v>            Engineering Staff</v>
      </c>
      <c r="E78" s="10" t="s">
        <v>290</v>
      </c>
      <c r="F78" s="10"/>
      <c r="G78" s="111"/>
      <c r="H78" s="10"/>
      <c r="I78" s="10"/>
      <c r="J78" s="113"/>
      <c r="K78" s="42" t="n">
        <v>200000</v>
      </c>
      <c r="L78" s="23" t="s">
        <v>408</v>
      </c>
      <c r="M78" s="175" t="s">
        <v>803</v>
      </c>
      <c r="N78" s="23"/>
      <c r="O78" s="23"/>
      <c r="P78" s="23"/>
      <c r="Q78" s="20" t="n">
        <v>2024</v>
      </c>
      <c r="R78" s="23" t="s">
        <v>53</v>
      </c>
      <c r="S78" s="26"/>
      <c r="T78" s="26"/>
      <c r="U78" s="174"/>
      <c r="V78" s="23"/>
      <c r="W78" s="12" t="s">
        <v>43</v>
      </c>
      <c r="X78" s="24" t="n">
        <f aca="false">0.9*$J78</f>
        <v>0</v>
      </c>
      <c r="Y78" s="24" t="n">
        <f aca="false">1.5*J78</f>
        <v>0</v>
      </c>
      <c r="Z78" s="12" t="s">
        <v>44</v>
      </c>
      <c r="AA78" s="13" t="n">
        <f aca="false">0.9*K78</f>
        <v>180000</v>
      </c>
      <c r="AB78" s="13" t="n">
        <f aca="false">1.3*K78</f>
        <v>260000</v>
      </c>
      <c r="AC78" s="12" t="s">
        <v>44</v>
      </c>
      <c r="AD78" s="13" t="s">
        <v>45</v>
      </c>
      <c r="AE78" s="13" t="s">
        <v>46</v>
      </c>
      <c r="AF78" s="13" t="s">
        <v>47</v>
      </c>
      <c r="AG78" s="12" t="s">
        <v>48</v>
      </c>
    </row>
    <row r="79" customFormat="false" ht="13.8" hidden="false" customHeight="false" outlineLevel="0" collapsed="false">
      <c r="A79" s="30" t="n">
        <v>716</v>
      </c>
      <c r="B79" s="9" t="n">
        <f aca="false">IF(ISNUMBER(A79),
    IF(AND(A79=INT(A79), MOD(A79, 10) = 0), 0,
        IF(AND(A79=INT(A79), LEN(A79)=2), 1,
            IF(AND(A79=INT(A79), LEN(A79)=3), 2,
                LEN(A79) - FIND(".", A79) + 2)
        )
    ),
"")</f>
        <v>2</v>
      </c>
      <c r="C79" s="37" t="s">
        <v>700</v>
      </c>
      <c r="D79" s="10" t="str">
        <f aca="false">REPT("   ", B79*2) &amp; C79</f>
        <v>            Continuing Education and Staff Retraining</v>
      </c>
      <c r="E79" s="10"/>
      <c r="F79" s="10"/>
      <c r="G79" s="111"/>
      <c r="H79" s="10"/>
      <c r="I79" s="10"/>
      <c r="J79" s="173"/>
      <c r="K79" s="42"/>
      <c r="L79" s="23"/>
      <c r="M79" s="26"/>
      <c r="N79" s="23"/>
      <c r="O79" s="23"/>
      <c r="P79" s="23"/>
      <c r="Q79" s="20"/>
      <c r="R79" s="23" t="s">
        <v>53</v>
      </c>
      <c r="S79" s="26"/>
      <c r="T79" s="26"/>
      <c r="U79" s="174"/>
      <c r="V79" s="23"/>
      <c r="W79" s="12" t="s">
        <v>43</v>
      </c>
      <c r="X79" s="24" t="n">
        <f aca="false">0.9*$J79</f>
        <v>0</v>
      </c>
      <c r="Y79" s="24" t="n">
        <f aca="false">1.5*J79</f>
        <v>0</v>
      </c>
      <c r="Z79" s="12"/>
      <c r="AA79" s="13" t="n">
        <f aca="false">0.9*K79</f>
        <v>0</v>
      </c>
      <c r="AB79" s="13" t="n">
        <f aca="false">1.3*K79</f>
        <v>0</v>
      </c>
      <c r="AC79" s="12"/>
      <c r="AD79" s="13"/>
      <c r="AE79" s="13"/>
      <c r="AF79" s="13"/>
      <c r="AG79" s="12"/>
    </row>
    <row r="80" customFormat="false" ht="13.8" hidden="false" customHeight="false" outlineLevel="0" collapsed="false">
      <c r="A80" s="30" t="n">
        <v>717</v>
      </c>
      <c r="B80" s="9" t="n">
        <f aca="false">IF(ISNUMBER(A80),
    IF(AND(A80=INT(A80), MOD(A80, 10) = 0), 0,
        IF(AND(A80=INT(A80), LEN(A80)=2), 1,
            IF(AND(A80=INT(A80), LEN(A80)=3), 2,
                LEN(A80) - FIND(".", A80) + 2)
        )
    ),
"")</f>
        <v>2</v>
      </c>
      <c r="C80" s="37" t="s">
        <v>701</v>
      </c>
      <c r="D80" s="10" t="str">
        <f aca="false">REPT("   ", B80*2) &amp; C80</f>
        <v>            Management Staff</v>
      </c>
      <c r="E80" s="10"/>
      <c r="F80" s="10"/>
      <c r="G80" s="111"/>
      <c r="H80" s="10"/>
      <c r="I80" s="10"/>
      <c r="J80" s="173"/>
      <c r="K80" s="42"/>
      <c r="L80" s="23"/>
      <c r="M80" s="26"/>
      <c r="N80" s="23"/>
      <c r="O80" s="23"/>
      <c r="P80" s="23"/>
      <c r="Q80" s="20"/>
      <c r="R80" s="23" t="s">
        <v>53</v>
      </c>
      <c r="S80" s="26"/>
      <c r="T80" s="26"/>
      <c r="U80" s="174"/>
      <c r="V80" s="23"/>
      <c r="W80" s="12" t="s">
        <v>43</v>
      </c>
      <c r="X80" s="24" t="n">
        <f aca="false">0.9*$J80</f>
        <v>0</v>
      </c>
      <c r="Y80" s="24" t="n">
        <f aca="false">1.5*J80</f>
        <v>0</v>
      </c>
      <c r="Z80" s="12"/>
      <c r="AA80" s="13" t="n">
        <f aca="false">0.9*K80</f>
        <v>0</v>
      </c>
      <c r="AB80" s="13" t="n">
        <f aca="false">1.3*K80</f>
        <v>0</v>
      </c>
      <c r="AC80" s="12"/>
      <c r="AD80" s="13"/>
      <c r="AE80" s="13"/>
      <c r="AF80" s="13"/>
      <c r="AG80" s="12"/>
    </row>
    <row r="81" customFormat="false" ht="13.8" hidden="false" customHeight="false" outlineLevel="0" collapsed="false">
      <c r="A81" s="6" t="n">
        <v>74</v>
      </c>
      <c r="B81" s="9" t="n">
        <f aca="false">IF(ISNUMBER(A81),
    IF(AND(A81=INT(A81), MOD(A81, 10) = 0), 0,
        IF(AND(A81=INT(A81), LEN(A81)=2), 1,
            IF(AND(A81=INT(A81), LEN(A81)=3), 2,
                LEN(A81) - FIND(".", A81) + 2)
        )
    ),
"")</f>
        <v>1</v>
      </c>
      <c r="C81" s="37" t="s">
        <v>704</v>
      </c>
      <c r="D81" s="10" t="str">
        <f aca="false">REPT("   ", B81*2) &amp; C81</f>
        <v>      Fixed O&amp;M Utilities and Materials </v>
      </c>
      <c r="E81" s="10"/>
      <c r="F81" s="10"/>
      <c r="G81" s="111"/>
      <c r="H81" s="10"/>
      <c r="I81" s="10"/>
      <c r="J81" s="113"/>
      <c r="K81" s="42"/>
      <c r="L81" s="23"/>
      <c r="M81" s="26"/>
      <c r="N81" s="23"/>
      <c r="O81" s="23"/>
      <c r="P81" s="20"/>
      <c r="Q81" s="20"/>
      <c r="R81" s="23"/>
      <c r="S81" s="26"/>
      <c r="T81" s="44"/>
      <c r="U81" s="174"/>
      <c r="V81" s="23"/>
      <c r="W81" s="12"/>
      <c r="X81" s="24"/>
      <c r="Y81" s="24"/>
      <c r="Z81" s="12"/>
      <c r="AA81" s="13"/>
      <c r="AB81" s="13"/>
      <c r="AC81" s="12"/>
      <c r="AD81" s="13"/>
      <c r="AE81" s="13"/>
      <c r="AF81" s="13"/>
      <c r="AG81" s="12"/>
    </row>
    <row r="82" customFormat="false" ht="13.8" hidden="false" customHeight="false" outlineLevel="0" collapsed="false">
      <c r="A82" s="6" t="n">
        <v>741</v>
      </c>
      <c r="B82" s="9" t="n">
        <f aca="false">IF(ISNUMBER(A82),
    IF(AND(A82=INT(A82), MOD(A82, 10) = 0), 0,
        IF(AND(A82=INT(A82), LEN(A82)=2), 1,
            IF(AND(A82=INT(A82), LEN(A82)=3), 2,
                LEN(A82) - FIND(".", A82) + 2)
        )
    ),
"")</f>
        <v>2</v>
      </c>
      <c r="C82" s="37" t="s">
        <v>804</v>
      </c>
      <c r="D82" s="10" t="str">
        <f aca="false">REPT("   ", B82*2) &amp; C82</f>
        <v>            Operating Chemicals and Lubricants</v>
      </c>
      <c r="E82" s="10"/>
      <c r="F82" s="10"/>
      <c r="G82" s="111"/>
      <c r="H82" s="10"/>
      <c r="I82" s="10"/>
      <c r="J82" s="173"/>
      <c r="K82" s="42"/>
      <c r="L82" s="23"/>
      <c r="M82" s="26"/>
      <c r="N82" s="23"/>
      <c r="O82" s="23"/>
      <c r="P82" s="20"/>
      <c r="Q82" s="20"/>
      <c r="R82" s="23"/>
      <c r="S82" s="26"/>
      <c r="T82" s="44"/>
      <c r="U82" s="174"/>
      <c r="V82" s="23"/>
      <c r="W82" s="12" t="s">
        <v>43</v>
      </c>
      <c r="X82" s="24" t="n">
        <f aca="false">0.9*$J82</f>
        <v>0</v>
      </c>
      <c r="Y82" s="24" t="n">
        <f aca="false">1.5*J82</f>
        <v>0</v>
      </c>
      <c r="Z82" s="12"/>
      <c r="AA82" s="13" t="n">
        <f aca="false">0.9*K82</f>
        <v>0</v>
      </c>
      <c r="AB82" s="13" t="n">
        <f aca="false">1.3*K82</f>
        <v>0</v>
      </c>
      <c r="AC82" s="12"/>
      <c r="AD82" s="13"/>
      <c r="AE82" s="13"/>
      <c r="AF82" s="13"/>
      <c r="AG82" s="12"/>
    </row>
    <row r="83" customFormat="false" ht="13.8" hidden="false" customHeight="false" outlineLevel="0" collapsed="false">
      <c r="A83" s="6" t="n">
        <v>742</v>
      </c>
      <c r="B83" s="9" t="n">
        <f aca="false">IF(ISNUMBER(A83),
    IF(AND(A83=INT(A83), MOD(A83, 10) = 0), 0,
        IF(AND(A83=INT(A83), LEN(A83)=2), 1,
            IF(AND(A83=INT(A83), LEN(A83)=3), 2,
                LEN(A83) - FIND(".", A83) + 2)
        )
    ),
"")</f>
        <v>2</v>
      </c>
      <c r="C83" s="37" t="s">
        <v>805</v>
      </c>
      <c r="D83" s="10" t="str">
        <f aca="false">REPT("   ", B83*2) &amp; C83</f>
        <v>            Spare Parts</v>
      </c>
      <c r="E83" s="10"/>
      <c r="F83" s="10"/>
      <c r="G83" s="111"/>
      <c r="H83" s="10"/>
      <c r="I83" s="10"/>
      <c r="J83" s="173"/>
      <c r="K83" s="42"/>
      <c r="L83" s="23"/>
      <c r="M83" s="26"/>
      <c r="N83" s="23"/>
      <c r="O83" s="23"/>
      <c r="P83" s="20"/>
      <c r="Q83" s="20"/>
      <c r="R83" s="23"/>
      <c r="S83" s="26"/>
      <c r="T83" s="44"/>
      <c r="U83" s="174"/>
      <c r="V83" s="23"/>
      <c r="W83" s="12" t="s">
        <v>43</v>
      </c>
      <c r="X83" s="24" t="n">
        <f aca="false">0.9*$J83</f>
        <v>0</v>
      </c>
      <c r="Y83" s="24" t="n">
        <f aca="false">1.5*J83</f>
        <v>0</v>
      </c>
      <c r="Z83" s="12"/>
      <c r="AA83" s="13" t="n">
        <f aca="false">0.9*K83</f>
        <v>0</v>
      </c>
      <c r="AB83" s="13" t="n">
        <f aca="false">1.3*K83</f>
        <v>0</v>
      </c>
      <c r="AC83" s="12"/>
      <c r="AD83" s="13"/>
      <c r="AE83" s="13"/>
      <c r="AF83" s="13"/>
      <c r="AG83" s="12"/>
    </row>
    <row r="84" customFormat="false" ht="23.85" hidden="false" customHeight="false" outlineLevel="0" collapsed="false">
      <c r="A84" s="6" t="n">
        <v>743</v>
      </c>
      <c r="B84" s="9" t="n">
        <f aca="false">IF(ISNUMBER(A84),
    IF(AND(A84=INT(A84), MOD(A84, 10) = 0), 0,
        IF(AND(A84=INT(A84), LEN(A84)=2), 1,
            IF(AND(A84=INT(A84), LEN(A84)=3), 2,
                LEN(A84) - FIND(".", A84) + 2)
        )
    ),
"")</f>
        <v>2</v>
      </c>
      <c r="C84" s="37" t="s">
        <v>707</v>
      </c>
      <c r="D84" s="10" t="str">
        <f aca="false">REPT("   ", B84*2) &amp; C84</f>
        <v>            Utilities except electricity, Supplies, and Consumables</v>
      </c>
      <c r="E84" s="10"/>
      <c r="F84" s="10"/>
      <c r="G84" s="111"/>
      <c r="H84" s="10"/>
      <c r="I84" s="10"/>
      <c r="J84" s="173"/>
      <c r="K84" s="42"/>
      <c r="L84" s="23"/>
      <c r="M84" s="26"/>
      <c r="N84" s="23"/>
      <c r="O84" s="23"/>
      <c r="P84" s="20"/>
      <c r="Q84" s="20"/>
      <c r="R84" s="23"/>
      <c r="S84" s="26"/>
      <c r="T84" s="44"/>
      <c r="U84" s="174"/>
      <c r="V84" s="23"/>
      <c r="W84" s="12" t="s">
        <v>43</v>
      </c>
      <c r="X84" s="24" t="n">
        <f aca="false">0.9*$J84</f>
        <v>0</v>
      </c>
      <c r="Y84" s="24" t="n">
        <f aca="false">1.5*J84</f>
        <v>0</v>
      </c>
      <c r="Z84" s="12"/>
      <c r="AA84" s="13" t="n">
        <f aca="false">0.9*K84</f>
        <v>0</v>
      </c>
      <c r="AB84" s="13" t="n">
        <f aca="false">1.3*K84</f>
        <v>0</v>
      </c>
      <c r="AC84" s="12"/>
      <c r="AD84" s="13"/>
      <c r="AE84" s="13"/>
      <c r="AF84" s="13"/>
      <c r="AG84" s="12"/>
    </row>
    <row r="85" customFormat="false" ht="23.85" hidden="false" customHeight="false" outlineLevel="0" collapsed="false">
      <c r="A85" s="6" t="n">
        <v>744</v>
      </c>
      <c r="B85" s="9" t="n">
        <f aca="false">IF(ISNUMBER(A85),
    IF(AND(A85=INT(A85), MOD(A85, 10) = 0), 0,
        IF(AND(A85=INT(A85), LEN(A85)=2), 1,
            IF(AND(A85=INT(A85), LEN(A85)=3), 2,
                LEN(A85) - FIND(".", A85) + 2)
        )
    ),
"")</f>
        <v>2</v>
      </c>
      <c r="C85" s="37" t="s">
        <v>708</v>
      </c>
      <c r="D85" s="10" t="str">
        <f aca="false">REPT("   ", B85*2) &amp; C85</f>
        <v>            Electricity</v>
      </c>
      <c r="E85" s="10" t="s">
        <v>290</v>
      </c>
      <c r="F85" s="10" t="s">
        <v>630</v>
      </c>
      <c r="G85" s="111" t="n">
        <v>1</v>
      </c>
      <c r="H85" s="10"/>
      <c r="I85" s="10"/>
      <c r="J85" s="113"/>
      <c r="K85" s="42" t="n">
        <v>90</v>
      </c>
      <c r="L85" s="23" t="s">
        <v>450</v>
      </c>
      <c r="M85" s="10" t="s">
        <v>806</v>
      </c>
      <c r="N85" s="23"/>
      <c r="O85" s="23"/>
      <c r="P85" s="20" t="n">
        <v>1</v>
      </c>
      <c r="Q85" s="20" t="n">
        <v>2025</v>
      </c>
      <c r="R85" s="23" t="s">
        <v>39</v>
      </c>
      <c r="S85" s="26"/>
      <c r="T85" s="44"/>
      <c r="U85" s="174"/>
      <c r="V85" s="23"/>
      <c r="W85" s="12" t="s">
        <v>43</v>
      </c>
      <c r="X85" s="24" t="n">
        <f aca="false">0.9*$J85</f>
        <v>0</v>
      </c>
      <c r="Y85" s="24" t="n">
        <f aca="false">1.5*J85</f>
        <v>0</v>
      </c>
      <c r="Z85" s="12" t="s">
        <v>44</v>
      </c>
      <c r="AA85" s="13" t="n">
        <f aca="false">0.9*K85</f>
        <v>81</v>
      </c>
      <c r="AB85" s="13" t="n">
        <f aca="false">1.3*K85</f>
        <v>117</v>
      </c>
      <c r="AC85" s="12" t="s">
        <v>44</v>
      </c>
      <c r="AD85" s="13" t="s">
        <v>45</v>
      </c>
      <c r="AE85" s="13" t="s">
        <v>46</v>
      </c>
      <c r="AF85" s="13" t="s">
        <v>47</v>
      </c>
      <c r="AG85" s="12" t="s">
        <v>48</v>
      </c>
    </row>
    <row r="86" customFormat="false" ht="13.8" hidden="false" customHeight="false" outlineLevel="0" collapsed="false">
      <c r="A86" s="6" t="n">
        <v>747.1</v>
      </c>
      <c r="B86" s="9" t="n">
        <f aca="false">IF(ISNUMBER(A86),
    IF(AND(A86=INT(A86), MOD(A86, 10) = 0), 0,
        IF(AND(A86=INT(A86), LEN(A86)=2), 1,
            IF(AND(A86=INT(A86), LEN(A86)=3), 2,
                LEN(A86) - FIND(".", A86) + 2)
        )
    ),
"")</f>
        <v>3</v>
      </c>
      <c r="C86" s="37" t="s">
        <v>712</v>
      </c>
      <c r="D86" s="10" t="str">
        <f aca="false">REPT("   ", B86*2) &amp; C86</f>
        <v>                  Annualized Transportation Costs</v>
      </c>
      <c r="E86" s="10"/>
      <c r="F86" s="10"/>
      <c r="G86" s="111"/>
      <c r="H86" s="10"/>
      <c r="I86" s="10"/>
      <c r="J86" s="173"/>
      <c r="K86" s="42"/>
      <c r="L86" s="23"/>
      <c r="M86" s="26"/>
      <c r="N86" s="23"/>
      <c r="O86" s="23"/>
      <c r="P86" s="20"/>
      <c r="Q86" s="20"/>
      <c r="R86" s="23"/>
      <c r="S86" s="26"/>
      <c r="T86" s="44"/>
      <c r="U86" s="174"/>
      <c r="V86" s="23"/>
      <c r="W86" s="12" t="s">
        <v>43</v>
      </c>
      <c r="X86" s="24" t="n">
        <f aca="false">0.8*$I86</f>
        <v>0</v>
      </c>
      <c r="Y86" s="24" t="n">
        <f aca="false">2*J86</f>
        <v>0</v>
      </c>
      <c r="Z86" s="12"/>
      <c r="AA86" s="13" t="n">
        <f aca="false">0.8*K86</f>
        <v>0</v>
      </c>
      <c r="AB86" s="13" t="n">
        <f aca="false">2*K86</f>
        <v>0</v>
      </c>
      <c r="AC86" s="12"/>
      <c r="AD86" s="13"/>
      <c r="AE86" s="13"/>
      <c r="AF86" s="13"/>
      <c r="AG86" s="12"/>
    </row>
    <row r="87" customFormat="false" ht="13.8" hidden="false" customHeight="false" outlineLevel="0" collapsed="false">
      <c r="A87" s="6" t="n">
        <v>747.2</v>
      </c>
      <c r="B87" s="9" t="n">
        <f aca="false">IF(ISNUMBER(A87),
    IF(AND(A87=INT(A87), MOD(A87, 10) = 0), 0,
        IF(AND(A87=INT(A87), LEN(A87)=2), 1,
            IF(AND(A87=INT(A87), LEN(A87)=3), 2,
                LEN(A87) - FIND(".", A87) + 2)
        )
    ),
"")</f>
        <v>3</v>
      </c>
      <c r="C87" s="37" t="s">
        <v>807</v>
      </c>
      <c r="D87" s="10" t="str">
        <f aca="false">REPT("   ", B87*2) &amp; C87</f>
        <v>                  Annualized Cask Replacements</v>
      </c>
      <c r="E87" s="10"/>
      <c r="F87" s="10"/>
      <c r="G87" s="111"/>
      <c r="H87" s="10"/>
      <c r="I87" s="10"/>
      <c r="J87" s="113"/>
      <c r="K87" s="42"/>
      <c r="L87" s="23"/>
      <c r="M87" s="26"/>
      <c r="N87" s="23"/>
      <c r="O87" s="23"/>
      <c r="P87" s="20"/>
      <c r="Q87" s="20"/>
      <c r="R87" s="23"/>
      <c r="S87" s="26"/>
      <c r="T87" s="44"/>
      <c r="U87" s="174"/>
      <c r="V87" s="23"/>
      <c r="W87" s="12"/>
      <c r="X87" s="24"/>
      <c r="Y87" s="24"/>
      <c r="Z87" s="12"/>
      <c r="AA87" s="13"/>
      <c r="AB87" s="13"/>
      <c r="AC87" s="12"/>
      <c r="AD87" s="13"/>
      <c r="AE87" s="13"/>
      <c r="AF87" s="13"/>
      <c r="AG87" s="12"/>
    </row>
    <row r="88" customFormat="false" ht="35.05" hidden="false" customHeight="false" outlineLevel="0" collapsed="false">
      <c r="A88" s="6" t="n">
        <v>747.21</v>
      </c>
      <c r="B88" s="9" t="n">
        <f aca="false">IF(ISNUMBER(A88),
    IF(AND(A88=INT(A88), MOD(A88, 10) = 0), 0,
        IF(AND(A88=INT(A88), LEN(A88)=2), 1,
            IF(AND(A88=INT(A88), LEN(A88)=3), 2,
                LEN(A88) - FIND(".", A88) + 2)
        )
    ),
"")</f>
        <v>4</v>
      </c>
      <c r="C88" s="37" t="s">
        <v>808</v>
      </c>
      <c r="D88" s="10" t="str">
        <f aca="false">REPT("   ", B88*2) &amp; C88</f>
        <v>                        Used Fuel Cask</v>
      </c>
      <c r="E88" s="10" t="s">
        <v>35</v>
      </c>
      <c r="F88" s="10" t="s">
        <v>809</v>
      </c>
      <c r="G88" s="111" t="n">
        <v>1</v>
      </c>
      <c r="H88" s="10"/>
      <c r="I88" s="10"/>
      <c r="J88" s="113" t="n">
        <v>1159000</v>
      </c>
      <c r="K88" s="42"/>
      <c r="L88" s="23"/>
      <c r="M88" s="26"/>
      <c r="N88" s="23"/>
      <c r="O88" s="23"/>
      <c r="P88" s="20"/>
      <c r="Q88" s="20" t="n">
        <v>2023</v>
      </c>
      <c r="R88" s="23" t="s">
        <v>163</v>
      </c>
      <c r="S88" s="26" t="s">
        <v>810</v>
      </c>
      <c r="T88" s="44"/>
      <c r="U88" s="174"/>
      <c r="V88" s="23" t="s">
        <v>811</v>
      </c>
      <c r="W88" s="12" t="s">
        <v>43</v>
      </c>
      <c r="X88" s="24" t="n">
        <v>1008000</v>
      </c>
      <c r="Y88" s="24" t="n">
        <v>1310000</v>
      </c>
      <c r="Z88" s="12" t="s">
        <v>44</v>
      </c>
      <c r="AA88" s="13" t="n">
        <f aca="false">0.8*K88</f>
        <v>0</v>
      </c>
      <c r="AB88" s="13" t="n">
        <f aca="false">2*K88</f>
        <v>0</v>
      </c>
      <c r="AC88" s="12" t="s">
        <v>44</v>
      </c>
      <c r="AD88" s="13" t="s">
        <v>45</v>
      </c>
      <c r="AE88" s="13" t="s">
        <v>46</v>
      </c>
      <c r="AF88" s="13" t="s">
        <v>47</v>
      </c>
      <c r="AG88" s="12" t="s">
        <v>48</v>
      </c>
    </row>
    <row r="89" customFormat="false" ht="35.05" hidden="false" customHeight="false" outlineLevel="0" collapsed="false">
      <c r="A89" s="6" t="n">
        <v>747.22</v>
      </c>
      <c r="B89" s="9" t="n">
        <f aca="false">IF(ISNUMBER(A89),
    IF(AND(A89=INT(A89), MOD(A89, 10) = 0), 0,
        IF(AND(A89=INT(A89), LEN(A89)=2), 1,
            IF(AND(A89=INT(A89), LEN(A89)=3), 2,
                LEN(A89) - FIND(".", A89) + 2)
        )
    ),
"")</f>
        <v>4</v>
      </c>
      <c r="C89" s="37" t="s">
        <v>812</v>
      </c>
      <c r="D89" s="10" t="str">
        <f aca="false">REPT("   ", B89*2) &amp; C89</f>
        <v>                        Reactor Transport Cask</v>
      </c>
      <c r="E89" s="10" t="s">
        <v>35</v>
      </c>
      <c r="F89" s="10" t="s">
        <v>813</v>
      </c>
      <c r="G89" s="111" t="n">
        <v>1</v>
      </c>
      <c r="H89" s="10"/>
      <c r="I89" s="10"/>
      <c r="J89" s="113" t="n">
        <f aca="false">J43</f>
        <v>10000000</v>
      </c>
      <c r="K89" s="42"/>
      <c r="L89" s="23"/>
      <c r="M89" s="26"/>
      <c r="N89" s="23"/>
      <c r="O89" s="23"/>
      <c r="P89" s="20"/>
      <c r="Q89" s="20" t="n">
        <f aca="false">Q43</f>
        <v>2024</v>
      </c>
      <c r="R89" s="20" t="str">
        <f aca="false">R43</f>
        <v>Lab and Mat and Equip</v>
      </c>
      <c r="S89" s="20" t="str">
        <f aca="false">S43</f>
        <v>assumption</v>
      </c>
      <c r="T89" s="20" t="n">
        <f aca="false">T43</f>
        <v>0</v>
      </c>
      <c r="U89" s="20" t="n">
        <f aca="false">U43</f>
        <v>0</v>
      </c>
      <c r="V89" s="20" t="n">
        <f aca="false">V43</f>
        <v>0</v>
      </c>
      <c r="W89" s="20" t="str">
        <f aca="false">W43</f>
        <v>No Learning</v>
      </c>
      <c r="X89" s="192" t="n">
        <f aca="false">X43</f>
        <v>0</v>
      </c>
      <c r="Y89" s="192" t="n">
        <f aca="false">Y43</f>
        <v>15000000</v>
      </c>
      <c r="Z89" s="20" t="str">
        <f aca="false">Z43</f>
        <v>Lognormal</v>
      </c>
      <c r="AA89" s="20" t="n">
        <f aca="false">AA43</f>
        <v>0</v>
      </c>
      <c r="AB89" s="20" t="n">
        <f aca="false">AB43</f>
        <v>0</v>
      </c>
      <c r="AC89" s="20" t="str">
        <f aca="false">AC43</f>
        <v>Lognormal</v>
      </c>
      <c r="AD89" s="20" t="str">
        <f aca="false">AD43</f>
        <v>0.1</v>
      </c>
      <c r="AE89" s="20" t="str">
        <f aca="false">AE43</f>
        <v>1</v>
      </c>
      <c r="AF89" s="20" t="str">
        <f aca="false">AF43</f>
        <v>0</v>
      </c>
      <c r="AG89" s="20" t="str">
        <f aca="false">AG43</f>
        <v>Truncated Normal</v>
      </c>
    </row>
    <row r="90" customFormat="false" ht="35.05" hidden="false" customHeight="false" outlineLevel="0" collapsed="false">
      <c r="A90" s="6" t="n">
        <v>747.23</v>
      </c>
      <c r="B90" s="9" t="n">
        <f aca="false">IF(ISNUMBER(A90),
    IF(AND(A90=INT(A90), MOD(A90, 10) = 0), 0,
        IF(AND(A90=INT(A90), LEN(A90)=2), 1,
            IF(AND(A90=INT(A90), LEN(A90)=3), 2,
                LEN(A90) - FIND(".", A90) + 2)
        )
    ),
"")</f>
        <v>4</v>
      </c>
      <c r="C90" s="37" t="s">
        <v>814</v>
      </c>
      <c r="D90" s="10" t="str">
        <f aca="false">REPT("   ", B90*2) &amp; C90</f>
        <v>                        Radwaste Storage Cask</v>
      </c>
      <c r="E90" s="10" t="s">
        <v>35</v>
      </c>
      <c r="F90" s="10" t="s">
        <v>815</v>
      </c>
      <c r="G90" s="111" t="n">
        <v>1</v>
      </c>
      <c r="H90" s="10"/>
      <c r="I90" s="10"/>
      <c r="J90" s="113" t="n">
        <v>1159000</v>
      </c>
      <c r="K90" s="42"/>
      <c r="L90" s="23"/>
      <c r="M90" s="26"/>
      <c r="N90" s="23"/>
      <c r="O90" s="23"/>
      <c r="P90" s="20"/>
      <c r="Q90" s="20" t="n">
        <v>2023</v>
      </c>
      <c r="R90" s="23" t="s">
        <v>163</v>
      </c>
      <c r="S90" s="26" t="s">
        <v>810</v>
      </c>
      <c r="T90" s="44"/>
      <c r="U90" s="174"/>
      <c r="V90" s="23" t="s">
        <v>811</v>
      </c>
      <c r="W90" s="12" t="s">
        <v>43</v>
      </c>
      <c r="X90" s="24" t="n">
        <v>1008000</v>
      </c>
      <c r="Y90" s="24" t="n">
        <v>1310000</v>
      </c>
      <c r="Z90" s="12" t="s">
        <v>44</v>
      </c>
      <c r="AA90" s="13" t="n">
        <f aca="false">0.8*K90</f>
        <v>0</v>
      </c>
      <c r="AB90" s="13" t="n">
        <f aca="false">2*K90</f>
        <v>0</v>
      </c>
      <c r="AC90" s="12" t="s">
        <v>44</v>
      </c>
      <c r="AD90" s="13" t="s">
        <v>45</v>
      </c>
      <c r="AE90" s="13" t="s">
        <v>46</v>
      </c>
      <c r="AF90" s="13" t="s">
        <v>47</v>
      </c>
      <c r="AG90" s="12" t="s">
        <v>48</v>
      </c>
    </row>
    <row r="91" customFormat="false" ht="13.8" hidden="false" customHeight="false" outlineLevel="0" collapsed="false">
      <c r="A91" s="6" t="n">
        <v>747.24</v>
      </c>
      <c r="B91" s="9" t="n">
        <f aca="false">IF(ISNUMBER(A91),IF(AND(A91=INT(A91),MOD(A91,10)=0),0,IF(AND(A91=INT(A91),LEN(A91)=2),1,IF(AND(A91=INT(A91),LEN(A91)=3),2,LEN(A91)-FIND(".",A91)+2))),"")</f>
        <v>4</v>
      </c>
      <c r="C91" s="37" t="s">
        <v>816</v>
      </c>
      <c r="D91" s="10" t="str">
        <f aca="false">REPT("   ",B91*2)&amp;C91</f>
        <v>                        Used Fuel Storage Additional Overpacks</v>
      </c>
      <c r="E91" s="10" t="s">
        <v>35</v>
      </c>
      <c r="F91" s="10"/>
      <c r="G91" s="111"/>
      <c r="H91" s="10"/>
      <c r="I91" s="10"/>
      <c r="J91" s="113"/>
      <c r="K91" s="42" t="n">
        <v>200000</v>
      </c>
      <c r="L91" s="23" t="s">
        <v>740</v>
      </c>
      <c r="M91" s="26" t="s">
        <v>741</v>
      </c>
      <c r="N91" s="23" t="n">
        <v>1</v>
      </c>
      <c r="O91" s="23" t="s">
        <v>742</v>
      </c>
      <c r="P91" s="20" t="n">
        <v>1</v>
      </c>
      <c r="Q91" s="20" t="n">
        <v>2009</v>
      </c>
      <c r="R91" s="23" t="s">
        <v>163</v>
      </c>
      <c r="S91" s="26"/>
      <c r="T91" s="44"/>
      <c r="U91" s="174"/>
      <c r="V91" s="23"/>
      <c r="W91" s="12" t="s">
        <v>43</v>
      </c>
      <c r="X91" s="24" t="n">
        <v>0</v>
      </c>
      <c r="Y91" s="24" t="n">
        <v>0</v>
      </c>
      <c r="Z91" s="12" t="s">
        <v>44</v>
      </c>
      <c r="AA91" s="13" t="n">
        <f aca="false">0.8*K91</f>
        <v>160000</v>
      </c>
      <c r="AB91" s="13" t="n">
        <f aca="false">2*K91</f>
        <v>400000</v>
      </c>
      <c r="AC91" s="12" t="s">
        <v>44</v>
      </c>
      <c r="AD91" s="13" t="n">
        <v>0.1</v>
      </c>
      <c r="AE91" s="13" t="n">
        <v>1</v>
      </c>
      <c r="AF91" s="13" t="n">
        <v>0</v>
      </c>
      <c r="AG91" s="12" t="s">
        <v>48</v>
      </c>
    </row>
    <row r="92" customFormat="false" ht="46.25" hidden="false" customHeight="false" outlineLevel="0" collapsed="false">
      <c r="A92" s="6" t="n">
        <v>747.3</v>
      </c>
      <c r="B92" s="9" t="n">
        <f aca="false">IF(ISNUMBER(A92),
    IF(AND(A92=INT(A92), MOD(A92, 10) = 0), 0,
        IF(AND(A92=INT(A92), LEN(A92)=2), 1,
            IF(AND(A92=INT(A92), LEN(A92)=3), 2,
                LEN(A92) - FIND(".", A92) + 2)
        )
    ),
"")</f>
        <v>3</v>
      </c>
      <c r="C92" s="37" t="s">
        <v>713</v>
      </c>
      <c r="D92" s="10" t="str">
        <f aca="false">REPT("   ", B92*2) &amp; C92</f>
        <v>                  Annualized Helium Replenishment</v>
      </c>
      <c r="E92" s="10" t="s">
        <v>35</v>
      </c>
      <c r="F92" s="175" t="s">
        <v>630</v>
      </c>
      <c r="G92" s="111" t="n">
        <v>1</v>
      </c>
      <c r="H92" s="10"/>
      <c r="I92" s="10"/>
      <c r="J92" s="113"/>
      <c r="K92" s="42" t="n">
        <v>170</v>
      </c>
      <c r="L92" s="23" t="s">
        <v>196</v>
      </c>
      <c r="M92" s="26" t="s">
        <v>817</v>
      </c>
      <c r="N92" s="23"/>
      <c r="O92" s="23" t="s">
        <v>198</v>
      </c>
      <c r="P92" s="20"/>
      <c r="Q92" s="20" t="n">
        <v>2024</v>
      </c>
      <c r="R92" s="23" t="s">
        <v>163</v>
      </c>
      <c r="S92" s="26" t="s">
        <v>327</v>
      </c>
      <c r="T92" s="44" t="s">
        <v>327</v>
      </c>
      <c r="U92" s="174" t="s">
        <v>328</v>
      </c>
      <c r="V92" s="23" t="s">
        <v>329</v>
      </c>
      <c r="W92" s="12" t="s">
        <v>43</v>
      </c>
      <c r="X92" s="24" t="n">
        <v>0</v>
      </c>
      <c r="Y92" s="24" t="n">
        <v>0</v>
      </c>
      <c r="Z92" s="12" t="s">
        <v>44</v>
      </c>
      <c r="AA92" s="13" t="n">
        <f aca="false">0.9*K91</f>
        <v>153</v>
      </c>
      <c r="AB92" s="13" t="n">
        <f aca="false">1.3*K91</f>
        <v>221</v>
      </c>
      <c r="AC92" s="12" t="s">
        <v>44</v>
      </c>
      <c r="AD92" s="13" t="s">
        <v>45</v>
      </c>
      <c r="AE92" s="13" t="s">
        <v>46</v>
      </c>
      <c r="AF92" s="13" t="s">
        <v>47</v>
      </c>
      <c r="AG92" s="12" t="s">
        <v>48</v>
      </c>
    </row>
    <row r="93" customFormat="false" ht="13.8" hidden="false" customHeight="false" outlineLevel="0" collapsed="false">
      <c r="A93" s="6" t="n">
        <v>747.4</v>
      </c>
      <c r="B93" s="9" t="n">
        <f aca="false">IF(ISNUMBER(A93),
    IF(AND(A93=INT(A93), MOD(A93, 10) = 0), 0,
        IF(AND(A93=INT(A93), LEN(A93)=2), 1,
            IF(AND(A93=INT(A93), LEN(A93)=3), 2,
                LEN(A93) - FIND(".", A93) + 2)
        )
    ),
"")</f>
        <v>3</v>
      </c>
      <c r="C93" s="37" t="s">
        <v>715</v>
      </c>
      <c r="D93" s="10" t="str">
        <f aca="false">REPT("   ", B93*2) &amp; C93</f>
        <v>                  Annualized Other Supplies and Utilities</v>
      </c>
      <c r="E93" s="10"/>
      <c r="F93" s="10"/>
      <c r="G93" s="111"/>
      <c r="H93" s="10"/>
      <c r="I93" s="10"/>
      <c r="J93" s="173"/>
      <c r="K93" s="42"/>
      <c r="L93" s="23"/>
      <c r="M93" s="26"/>
      <c r="N93" s="23"/>
      <c r="O93" s="23"/>
      <c r="P93" s="20"/>
      <c r="Q93" s="20"/>
      <c r="R93" s="23"/>
      <c r="S93" s="26"/>
      <c r="T93" s="44"/>
      <c r="U93" s="174"/>
      <c r="V93" s="23"/>
      <c r="W93" s="12"/>
      <c r="X93" s="24"/>
      <c r="Y93" s="24"/>
      <c r="Z93" s="12"/>
      <c r="AA93" s="13"/>
      <c r="AB93" s="13"/>
      <c r="AC93" s="12"/>
      <c r="AD93" s="13"/>
      <c r="AE93" s="13"/>
      <c r="AF93" s="13"/>
      <c r="AG93" s="12"/>
    </row>
    <row r="94" customFormat="false" ht="13.8" hidden="false" customHeight="false" outlineLevel="0" collapsed="false">
      <c r="A94" s="6" t="n">
        <v>747.5</v>
      </c>
      <c r="B94" s="9" t="n">
        <f aca="false">IF(ISNUMBER(A94),
    IF(AND(A94=INT(A94), MOD(A94, 10) = 0), 0,
        IF(AND(A94=INT(A94), LEN(A94)=2), 1,
            IF(AND(A94=INT(A94), LEN(A94)=3), 2,
                LEN(A94) - FIND(".", A94) + 2)
        )
    ),
"")</f>
        <v>3</v>
      </c>
      <c r="C94" s="37" t="s">
        <v>818</v>
      </c>
      <c r="D94" s="10" t="str">
        <f aca="false">REPT("   ", B94*2) &amp; C94</f>
        <v>                  Servicing Vehicle O&amp;M</v>
      </c>
      <c r="E94" s="10"/>
      <c r="F94" s="10"/>
      <c r="G94" s="111"/>
      <c r="H94" s="10"/>
      <c r="I94" s="10"/>
      <c r="J94" s="173"/>
      <c r="K94" s="42"/>
      <c r="L94" s="23"/>
      <c r="M94" s="26"/>
      <c r="N94" s="23"/>
      <c r="O94" s="23"/>
      <c r="P94" s="20"/>
      <c r="Q94" s="20"/>
      <c r="R94" s="23"/>
      <c r="S94" s="26"/>
      <c r="T94" s="44"/>
      <c r="U94" s="174"/>
      <c r="V94" s="23"/>
      <c r="W94" s="12"/>
      <c r="X94" s="24"/>
      <c r="Y94" s="24"/>
      <c r="Z94" s="12"/>
      <c r="AA94" s="13"/>
      <c r="AB94" s="13"/>
      <c r="AC94" s="12"/>
      <c r="AD94" s="13"/>
      <c r="AE94" s="13"/>
      <c r="AF94" s="13"/>
      <c r="AG94" s="12"/>
    </row>
    <row r="95" customFormat="false" ht="23.85" hidden="false" customHeight="false" outlineLevel="0" collapsed="false">
      <c r="A95" s="6" t="n">
        <v>747.51</v>
      </c>
      <c r="B95" s="9" t="n">
        <f aca="false">IF(ISNUMBER(A95),
    IF(AND(A95=INT(A95), MOD(A95, 10) = 0), 0,
        IF(AND(A95=INT(A95), LEN(A95)=2), 1,
            IF(AND(A95=INT(A95), LEN(A95)=3), 2,
                LEN(A95) - FIND(".", A95) + 2)
        )
    ),
"")</f>
        <v>4</v>
      </c>
      <c r="C95" s="61" t="s">
        <v>819</v>
      </c>
      <c r="D95" s="10" t="str">
        <f aca="false">REPT("   ", B95*2) &amp; C95</f>
        <v>                        Reactor Transport Vehicles O&amp;M</v>
      </c>
      <c r="E95" s="10" t="s">
        <v>35</v>
      </c>
      <c r="F95" s="10" t="s">
        <v>781</v>
      </c>
      <c r="G95" s="111" t="n">
        <v>1</v>
      </c>
      <c r="H95" s="10"/>
      <c r="I95" s="10"/>
      <c r="J95" s="173" t="n">
        <f aca="false">36*200000+1000000</f>
        <v>8200000</v>
      </c>
      <c r="K95" s="42"/>
      <c r="L95" s="23"/>
      <c r="M95" s="26"/>
      <c r="N95" s="23"/>
      <c r="O95" s="23"/>
      <c r="P95" s="20"/>
      <c r="Q95" s="20" t="n">
        <v>2024</v>
      </c>
      <c r="R95" s="23" t="s">
        <v>73</v>
      </c>
      <c r="S95" s="26"/>
      <c r="T95" s="44"/>
      <c r="U95" s="174"/>
      <c r="V95" s="23"/>
      <c r="W95" s="12" t="s">
        <v>43</v>
      </c>
      <c r="X95" s="24" t="n">
        <f aca="false">0.9*$J94</f>
        <v>0</v>
      </c>
      <c r="Y95" s="24" t="n">
        <f aca="false">1.5*J94</f>
        <v>0</v>
      </c>
      <c r="Z95" s="12" t="s">
        <v>44</v>
      </c>
      <c r="AA95" s="13" t="n">
        <f aca="false">0.9*K94</f>
        <v>0</v>
      </c>
      <c r="AB95" s="13" t="n">
        <f aca="false">1.3*K94</f>
        <v>0</v>
      </c>
      <c r="AC95" s="12" t="s">
        <v>44</v>
      </c>
      <c r="AD95" s="13" t="s">
        <v>45</v>
      </c>
      <c r="AE95" s="13" t="s">
        <v>46</v>
      </c>
      <c r="AF95" s="13" t="s">
        <v>47</v>
      </c>
      <c r="AG95" s="12" t="s">
        <v>48</v>
      </c>
    </row>
    <row r="96" customFormat="false" ht="23.85" hidden="false" customHeight="false" outlineLevel="0" collapsed="false">
      <c r="A96" s="6" t="n">
        <v>747.52</v>
      </c>
      <c r="B96" s="9" t="n">
        <f aca="false">IF(ISNUMBER(A96),
    IF(AND(A96=INT(A96), MOD(A96, 10) = 0), 0,
        IF(AND(A96=INT(A96), LEN(A96)=2), 1,
            IF(AND(A96=INT(A96), LEN(A96)=3), 2,
                LEN(A96) - FIND(".", A96) + 2)
        )
    ),
"")</f>
        <v>4</v>
      </c>
      <c r="C96" s="61" t="s">
        <v>820</v>
      </c>
      <c r="D96" s="10" t="str">
        <f aca="false">REPT("   ", B96*2) &amp; C96</f>
        <v>                        Helium Transport Trucks O&amp;M</v>
      </c>
      <c r="E96" s="10" t="s">
        <v>35</v>
      </c>
      <c r="F96" s="10" t="s">
        <v>783</v>
      </c>
      <c r="G96" s="111" t="n">
        <v>1</v>
      </c>
      <c r="H96" s="10"/>
      <c r="I96" s="10"/>
      <c r="J96" s="173" t="n">
        <f aca="false">4*200000+500000</f>
        <v>1300000</v>
      </c>
      <c r="K96" s="42"/>
      <c r="L96" s="23"/>
      <c r="M96" s="26"/>
      <c r="N96" s="23"/>
      <c r="O96" s="23"/>
      <c r="P96" s="20"/>
      <c r="Q96" s="20" t="n">
        <v>2024</v>
      </c>
      <c r="R96" s="23" t="s">
        <v>73</v>
      </c>
      <c r="S96" s="26"/>
      <c r="T96" s="44"/>
      <c r="U96" s="174"/>
      <c r="V96" s="23"/>
      <c r="W96" s="12" t="s">
        <v>43</v>
      </c>
      <c r="X96" s="24" t="n">
        <f aca="false">0.9*$J95</f>
        <v>7380000</v>
      </c>
      <c r="Y96" s="24" t="n">
        <f aca="false">1.5*J95</f>
        <v>12300000</v>
      </c>
      <c r="Z96" s="12" t="s">
        <v>44</v>
      </c>
      <c r="AA96" s="13" t="n">
        <f aca="false">0.9*K95</f>
        <v>0</v>
      </c>
      <c r="AB96" s="13" t="n">
        <f aca="false">1.3*K95</f>
        <v>0</v>
      </c>
      <c r="AC96" s="12" t="s">
        <v>44</v>
      </c>
      <c r="AD96" s="13" t="s">
        <v>45</v>
      </c>
      <c r="AE96" s="13" t="s">
        <v>46</v>
      </c>
      <c r="AF96" s="13" t="s">
        <v>47</v>
      </c>
      <c r="AG96" s="12" t="s">
        <v>48</v>
      </c>
    </row>
    <row r="97" customFormat="false" ht="23.85" hidden="false" customHeight="false" outlineLevel="0" collapsed="false">
      <c r="A97" s="6" t="n">
        <v>747.53</v>
      </c>
      <c r="B97" s="9" t="n">
        <f aca="false">IF(ISNUMBER(A97),
    IF(AND(A97=INT(A97), MOD(A97, 10) = 0), 0,
        IF(AND(A97=INT(A97), LEN(A97)=2), 1,
            IF(AND(A97=INT(A97), LEN(A97)=3), 2,
                LEN(A97) - FIND(".", A97) + 2)
        )
    ),
"")</f>
        <v>4</v>
      </c>
      <c r="C97" s="61" t="s">
        <v>821</v>
      </c>
      <c r="D97" s="10" t="str">
        <f aca="false">REPT("   ", B97*2) &amp; C97</f>
        <v>                        Water Tanker Trucks O&amp;M</v>
      </c>
      <c r="E97" s="10" t="s">
        <v>35</v>
      </c>
      <c r="F97" s="10" t="s">
        <v>785</v>
      </c>
      <c r="G97" s="111" t="n">
        <v>1</v>
      </c>
      <c r="H97" s="10"/>
      <c r="I97" s="10"/>
      <c r="J97" s="173" t="n">
        <f aca="false">4*200000+400000</f>
        <v>1200000</v>
      </c>
      <c r="K97" s="42"/>
      <c r="L97" s="23"/>
      <c r="M97" s="26"/>
      <c r="N97" s="23"/>
      <c r="O97" s="23"/>
      <c r="P97" s="20"/>
      <c r="Q97" s="20" t="n">
        <v>2024</v>
      </c>
      <c r="R97" s="23" t="s">
        <v>73</v>
      </c>
      <c r="S97" s="26"/>
      <c r="T97" s="44"/>
      <c r="U97" s="174"/>
      <c r="V97" s="23"/>
      <c r="W97" s="12" t="s">
        <v>43</v>
      </c>
      <c r="X97" s="24" t="n">
        <f aca="false">0.9*$J96</f>
        <v>1170000</v>
      </c>
      <c r="Y97" s="24" t="n">
        <f aca="false">1.5*J96</f>
        <v>1950000</v>
      </c>
      <c r="Z97" s="12" t="s">
        <v>44</v>
      </c>
      <c r="AA97" s="13" t="n">
        <f aca="false">0.9*K96</f>
        <v>0</v>
      </c>
      <c r="AB97" s="13" t="n">
        <f aca="false">1.3*K96</f>
        <v>0</v>
      </c>
      <c r="AC97" s="12" t="s">
        <v>44</v>
      </c>
      <c r="AD97" s="13" t="s">
        <v>45</v>
      </c>
      <c r="AE97" s="13" t="s">
        <v>46</v>
      </c>
      <c r="AF97" s="13" t="s">
        <v>47</v>
      </c>
      <c r="AG97" s="12" t="s">
        <v>48</v>
      </c>
    </row>
    <row r="98" customFormat="false" ht="23.85" hidden="false" customHeight="false" outlineLevel="0" collapsed="false">
      <c r="A98" s="6" t="n">
        <v>747.54</v>
      </c>
      <c r="B98" s="9" t="n">
        <f aca="false">IF(ISNUMBER(A98),
    IF(AND(A98=INT(A98), MOD(A98, 10) = 0), 0,
        IF(AND(A98=INT(A98), LEN(A98)=2), 1,
            IF(AND(A98=INT(A98), LEN(A98)=3), 2,
                LEN(A98) - FIND(".", A98) + 2)
        )
    ),
"")</f>
        <v>4</v>
      </c>
      <c r="C98" s="61" t="s">
        <v>822</v>
      </c>
      <c r="D98" s="10" t="str">
        <f aca="false">REPT("   ", B98*2) &amp; C98</f>
        <v>                        Maintenance Trucks O&amp;M</v>
      </c>
      <c r="E98" s="10" t="s">
        <v>35</v>
      </c>
      <c r="F98" s="10" t="s">
        <v>787</v>
      </c>
      <c r="G98" s="111" t="n">
        <v>1</v>
      </c>
      <c r="H98" s="10"/>
      <c r="I98" s="10"/>
      <c r="J98" s="173" t="n">
        <f aca="false">10*2*200000+1000000</f>
        <v>5000000</v>
      </c>
      <c r="K98" s="42"/>
      <c r="L98" s="23"/>
      <c r="M98" s="26"/>
      <c r="N98" s="23"/>
      <c r="O98" s="23"/>
      <c r="P98" s="20"/>
      <c r="Q98" s="20" t="n">
        <v>2024</v>
      </c>
      <c r="R98" s="23" t="s">
        <v>73</v>
      </c>
      <c r="S98" s="26"/>
      <c r="T98" s="44"/>
      <c r="U98" s="174"/>
      <c r="V98" s="23"/>
      <c r="W98" s="12" t="s">
        <v>43</v>
      </c>
      <c r="X98" s="24" t="n">
        <f aca="false">0.9*$J97</f>
        <v>1080000</v>
      </c>
      <c r="Y98" s="24" t="n">
        <f aca="false">1.5*J97</f>
        <v>1800000</v>
      </c>
      <c r="Z98" s="12" t="s">
        <v>44</v>
      </c>
      <c r="AA98" s="13" t="n">
        <f aca="false">0.9*K97</f>
        <v>0</v>
      </c>
      <c r="AB98" s="13" t="n">
        <f aca="false">1.3*K97</f>
        <v>0</v>
      </c>
      <c r="AC98" s="12" t="s">
        <v>44</v>
      </c>
      <c r="AD98" s="13" t="s">
        <v>45</v>
      </c>
      <c r="AE98" s="13" t="s">
        <v>46</v>
      </c>
      <c r="AF98" s="13" t="s">
        <v>47</v>
      </c>
      <c r="AG98" s="12" t="s">
        <v>48</v>
      </c>
    </row>
    <row r="99" customFormat="false" ht="13.5" hidden="false" customHeight="false" outlineLevel="0" collapsed="false">
      <c r="A99" s="6" t="n">
        <v>75</v>
      </c>
      <c r="B99" s="9" t="n">
        <f aca="false">IF(ISNUMBER(A99),
    IF(AND(A99=INT(A99), MOD(A99, 10) = 0), 0,
        IF(AND(A99=INT(A99), LEN(A99)=2), 1,
            IF(AND(A99=INT(A99), LEN(A99)=3), 2,
                LEN(A99) - FIND(".", A99) + 2)
        )
    ),
"")</f>
        <v>1</v>
      </c>
      <c r="C99" s="37" t="s">
        <v>424</v>
      </c>
      <c r="D99" s="10" t="str">
        <f aca="false">REPT("   ", B99*2) &amp; C99</f>
        <v>      Capital Plant Expenditures</v>
      </c>
      <c r="E99" s="10"/>
      <c r="F99" s="10"/>
      <c r="G99" s="180"/>
      <c r="H99" s="181"/>
      <c r="I99" s="181"/>
      <c r="J99" s="182"/>
      <c r="K99" s="183"/>
      <c r="L99" s="184"/>
      <c r="M99" s="184"/>
      <c r="N99" s="184"/>
      <c r="O99" s="184"/>
      <c r="P99" s="183"/>
      <c r="Q99" s="184"/>
      <c r="R99" s="184"/>
      <c r="S99" s="184"/>
      <c r="T99" s="184"/>
      <c r="U99" s="184"/>
      <c r="V99" s="184"/>
      <c r="W99" s="184"/>
      <c r="X99" s="183"/>
      <c r="Y99" s="183"/>
      <c r="Z99" s="184"/>
      <c r="AA99" s="183"/>
      <c r="AB99" s="183"/>
      <c r="AC99" s="184"/>
      <c r="AD99" s="183"/>
      <c r="AE99" s="183"/>
      <c r="AF99" s="183"/>
      <c r="AG99" s="184"/>
    </row>
    <row r="100" customFormat="false" ht="13.5" hidden="false" customHeight="false" outlineLevel="0" collapsed="false">
      <c r="A100" s="6" t="n">
        <v>78</v>
      </c>
      <c r="B100" s="9" t="n">
        <f aca="false">#N/A</f>
        <v>1</v>
      </c>
      <c r="C100" s="37" t="s">
        <v>444</v>
      </c>
      <c r="D100" s="10" t="str">
        <f aca="false">#N/A</f>
        <v>      Annualized Decommissioning Cost</v>
      </c>
      <c r="E100" s="10"/>
      <c r="F100" s="10"/>
      <c r="G100" s="180"/>
      <c r="H100" s="181"/>
      <c r="I100" s="181"/>
      <c r="J100" s="182"/>
      <c r="K100" s="183"/>
      <c r="L100" s="184"/>
      <c r="M100" s="184"/>
      <c r="N100" s="184"/>
      <c r="O100" s="184"/>
      <c r="P100" s="183"/>
      <c r="Q100" s="184"/>
      <c r="R100" s="184"/>
      <c r="S100" s="184"/>
      <c r="T100" s="184"/>
      <c r="U100" s="184"/>
      <c r="V100" s="184"/>
      <c r="W100" s="184"/>
      <c r="X100" s="183"/>
      <c r="Y100" s="183"/>
      <c r="Z100" s="184"/>
      <c r="AA100" s="183"/>
      <c r="AB100" s="183"/>
      <c r="AC100" s="184"/>
      <c r="AD100" s="183"/>
      <c r="AE100" s="183"/>
      <c r="AF100" s="183"/>
      <c r="AG100" s="184"/>
    </row>
  </sheetData>
  <mergeCells count="7">
    <mergeCell ref="T3:T4"/>
    <mergeCell ref="U3:U4"/>
    <mergeCell ref="T5:T6"/>
    <mergeCell ref="U5:U6"/>
    <mergeCell ref="S11:S12"/>
    <mergeCell ref="T11:T12"/>
    <mergeCell ref="U11:U12"/>
  </mergeCells>
  <conditionalFormatting sqref="W94:AG98">
    <cfRule type="expression" priority="2" aboveAverage="0" equalAverage="0" bottom="0" percent="0" rank="0" text="" dxfId="368">
      <formula>$B94=0</formula>
    </cfRule>
  </conditionalFormatting>
  <conditionalFormatting sqref="W90">
    <cfRule type="expression" priority="3" aboveAverage="0" equalAverage="0" bottom="0" percent="0" rank="0" text="" dxfId="369">
      <formula>$B90=0</formula>
    </cfRule>
  </conditionalFormatting>
  <conditionalFormatting sqref="W88">
    <cfRule type="expression" priority="4" aboveAverage="0" equalAverage="0" bottom="0" percent="0" rank="0" text="" dxfId="370">
      <formula>$B88=0</formula>
    </cfRule>
  </conditionalFormatting>
  <conditionalFormatting sqref="W86">
    <cfRule type="expression" priority="5" aboveAverage="0" equalAverage="0" bottom="0" percent="0" rank="0" text="" dxfId="371">
      <formula>$B86=0</formula>
    </cfRule>
  </conditionalFormatting>
  <conditionalFormatting sqref="W82:AG85">
    <cfRule type="expression" priority="6" aboveAverage="0" equalAverage="0" bottom="0" percent="0" rank="0" text="" dxfId="372">
      <formula>$B82=0</formula>
    </cfRule>
  </conditionalFormatting>
  <conditionalFormatting sqref="F94:F98">
    <cfRule type="expression" priority="7" aboveAverage="0" equalAverage="0" bottom="0" percent="0" rank="0" text="" dxfId="373">
      <formula>$B94=0</formula>
    </cfRule>
  </conditionalFormatting>
  <conditionalFormatting sqref="C94:C98">
    <cfRule type="expression" priority="8" aboveAverage="0" equalAverage="0" bottom="0" percent="0" rank="0" text="" dxfId="374">
      <formula>$B94=0</formula>
    </cfRule>
  </conditionalFormatting>
  <conditionalFormatting sqref="M75">
    <cfRule type="expression" priority="9" aboveAverage="0" equalAverage="0" bottom="0" percent="0" rank="0" text="" dxfId="375">
      <formula>_xlfn.ISFORMULA(M75)</formula>
    </cfRule>
    <cfRule type="expression" priority="10" aboveAverage="0" equalAverage="0" bottom="0" percent="0" rank="0" text="" dxfId="376">
      <formula>$B75&lt;2</formula>
    </cfRule>
    <cfRule type="expression" priority="11" aboveAverage="0" equalAverage="0" bottom="0" percent="0" rank="0" text="" dxfId="377">
      <formula>$B75=2</formula>
    </cfRule>
    <cfRule type="expression" priority="12" aboveAverage="0" equalAverage="0" bottom="0" percent="0" rank="0" text="" dxfId="378">
      <formula>$B75=3</formula>
    </cfRule>
  </conditionalFormatting>
  <conditionalFormatting sqref="A2:AG100">
    <cfRule type="expression" priority="13" aboveAverage="0" equalAverage="0" bottom="0" percent="0" rank="0" text="" dxfId="379">
      <formula>$B2=0</formula>
    </cfRule>
  </conditionalFormatting>
  <conditionalFormatting sqref="S15:S17">
    <cfRule type="expression" priority="14" aboveAverage="0" equalAverage="0" bottom="0" percent="0" rank="0" text="" dxfId="380">
      <formula>$B15&lt;2</formula>
    </cfRule>
    <cfRule type="expression" priority="15" aboveAverage="0" equalAverage="0" bottom="0" percent="0" rank="0" text="" dxfId="381">
      <formula>$B15=2</formula>
    </cfRule>
    <cfRule type="expression" priority="16" aboveAverage="0" equalAverage="0" bottom="0" percent="0" rank="0" text="" dxfId="382">
      <formula>$B15=3</formula>
    </cfRule>
  </conditionalFormatting>
  <conditionalFormatting sqref="A13:S13">
    <cfRule type="expression" priority="17" aboveAverage="0" equalAverage="0" bottom="0" percent="0" rank="0" text="" dxfId="383">
      <formula>$B13&lt;2</formula>
    </cfRule>
    <cfRule type="expression" priority="18" aboveAverage="0" equalAverage="0" bottom="0" percent="0" rank="0" text="" dxfId="384">
      <formula>$B13=2</formula>
    </cfRule>
    <cfRule type="expression" priority="19" aboveAverage="0" equalAverage="0" bottom="0" percent="0" rank="0" text="" dxfId="385">
      <formula>$B13=3</formula>
    </cfRule>
  </conditionalFormatting>
  <conditionalFormatting sqref="A24:S25">
    <cfRule type="expression" priority="20" aboveAverage="0" equalAverage="0" bottom="0" percent="0" rank="0" text="" dxfId="386">
      <formula>$B24&lt;2</formula>
    </cfRule>
  </conditionalFormatting>
  <conditionalFormatting sqref="S63:S65">
    <cfRule type="expression" priority="21" aboveAverage="0" equalAverage="0" bottom="0" percent="0" rank="0" text="" dxfId="387">
      <formula>$B63=2</formula>
    </cfRule>
    <cfRule type="expression" priority="22" aboveAverage="0" equalAverage="0" bottom="0" percent="0" rank="0" text="" dxfId="388">
      <formula>$B63=3</formula>
    </cfRule>
  </conditionalFormatting>
  <conditionalFormatting sqref="A33:S34 A36:S36 A45:K45 A47:S49">
    <cfRule type="expression" priority="23" aboveAverage="0" equalAverage="0" bottom="0" percent="0" rank="0" text="" dxfId="389">
      <formula>$B33&lt;2</formula>
    </cfRule>
    <cfRule type="expression" priority="24" aboveAverage="0" equalAverage="0" bottom="0" percent="0" rank="0" text="" dxfId="390">
      <formula>$B33=2</formula>
    </cfRule>
    <cfRule type="expression" priority="25" aboveAverage="0" equalAverage="0" bottom="0" percent="0" rank="0" text="" dxfId="391">
      <formula>$B33=3</formula>
    </cfRule>
  </conditionalFormatting>
  <conditionalFormatting sqref="J1:Q1048576 F91">
    <cfRule type="expression" priority="26" aboveAverage="0" equalAverage="0" bottom="0" percent="0" rank="0" text="" dxfId="392">
      <formula>_xlfn.ISFORMULA(F1)</formula>
    </cfRule>
  </conditionalFormatting>
  <conditionalFormatting sqref="J79:J80">
    <cfRule type="expression" priority="27" aboveAverage="0" equalAverage="0" bottom="0" percent="0" rank="0" text="" dxfId="393">
      <formula>_xlfn.ISFORMULA(J79)</formula>
    </cfRule>
    <cfRule type="expression" priority="28" aboveAverage="0" equalAverage="0" bottom="0" percent="0" rank="0" text="" dxfId="394">
      <formula>$B79=0</formula>
    </cfRule>
  </conditionalFormatting>
  <conditionalFormatting sqref="P75:T80">
    <cfRule type="expression" priority="29" aboveAverage="0" equalAverage="0" bottom="0" percent="0" rank="0" text="" dxfId="395">
      <formula>$B75=3</formula>
    </cfRule>
    <cfRule type="expression" priority="30" aboveAverage="0" equalAverage="0" bottom="0" percent="0" rank="0" text="" dxfId="396">
      <formula>$B75=2</formula>
    </cfRule>
    <cfRule type="expression" priority="31" aboveAverage="0" equalAverage="0" bottom="0" percent="0" rank="0" text="" dxfId="397">
      <formula>$B75&lt;2</formula>
    </cfRule>
  </conditionalFormatting>
  <conditionalFormatting sqref="K77:L80">
    <cfRule type="expression" priority="32" aboveAverage="0" equalAverage="0" bottom="0" percent="0" rank="0" text="" dxfId="398">
      <formula>$B77=0</formula>
    </cfRule>
    <cfRule type="expression" priority="33" aboveAverage="0" equalAverage="0" bottom="0" percent="0" rank="0" text="" dxfId="399">
      <formula>$B77=3</formula>
    </cfRule>
    <cfRule type="expression" priority="34" aboveAverage="0" equalAverage="0" bottom="0" percent="0" rank="0" text="" dxfId="400">
      <formula>$B77=2</formula>
    </cfRule>
    <cfRule type="expression" priority="35" aboveAverage="0" equalAverage="0" bottom="0" percent="0" rank="0" text="" dxfId="401">
      <formula>$B77&lt;2</formula>
    </cfRule>
  </conditionalFormatting>
  <conditionalFormatting sqref="K75:L76">
    <cfRule type="expression" priority="36" aboveAverage="0" equalAverage="0" bottom="0" percent="0" rank="0" text="" dxfId="402">
      <formula>$B76=3</formula>
    </cfRule>
    <cfRule type="expression" priority="37" aboveAverage="0" equalAverage="0" bottom="0" percent="0" rank="0" text="" dxfId="403">
      <formula>$B76=2</formula>
    </cfRule>
    <cfRule type="expression" priority="38" aboveAverage="0" equalAverage="0" bottom="0" percent="0" rank="0" text="" dxfId="404">
      <formula>$B76&lt;2</formula>
    </cfRule>
    <cfRule type="expression" priority="39" aboveAverage="0" equalAverage="0" bottom="0" percent="0" rank="0" text="" dxfId="405">
      <formula>$B76=0</formula>
    </cfRule>
  </conditionalFormatting>
  <conditionalFormatting sqref="K75:M80">
    <cfRule type="expression" priority="40" aboveAverage="0" equalAverage="0" bottom="0" percent="0" rank="0" text="" dxfId="406">
      <formula>$B75=3</formula>
    </cfRule>
    <cfRule type="expression" priority="41" aboveAverage="0" equalAverage="0" bottom="0" percent="0" rank="0" text="" dxfId="407">
      <formula>$B75=2</formula>
    </cfRule>
  </conditionalFormatting>
  <conditionalFormatting sqref="K75:O80">
    <cfRule type="expression" priority="42" aboveAverage="0" equalAverage="0" bottom="0" percent="0" rank="0" text="" dxfId="408">
      <formula>$B75&lt;2</formula>
    </cfRule>
  </conditionalFormatting>
  <conditionalFormatting sqref="R89:AG89">
    <cfRule type="expression" priority="43" aboveAverage="0" equalAverage="0" bottom="0" percent="0" rank="0" text="" dxfId="409">
      <formula>_xlfn.ISFORMULA(R89)</formula>
    </cfRule>
  </conditionalFormatting>
  <conditionalFormatting sqref="AD2:AG100">
    <cfRule type="expression" priority="44" aboveAverage="0" equalAverage="0" bottom="0" percent="0" rank="0" text="" dxfId="410">
      <formula>AND(ISBLANK($AD2),ISBLANK($AE2),ISBLANK($AF2),NOT(ISBLANK($E2)))</formula>
    </cfRule>
  </conditionalFormatting>
  <conditionalFormatting sqref="AA2:AC100">
    <cfRule type="expression" priority="45" aboveAverage="0" equalAverage="0" bottom="0" percent="0" rank="0" text="" dxfId="411">
      <formula>AND(ISBLANK($AA2),ISBLANK($AB2),ISBLANK($AC2),NOT(ISBLANK($E2)))</formula>
    </cfRule>
  </conditionalFormatting>
  <conditionalFormatting sqref="X2:Z100">
    <cfRule type="expression" priority="46" aboveAverage="0" equalAverage="0" bottom="0" percent="0" rank="0" text="" dxfId="412">
      <formula>AND(ISBLANK($X2),ISBLANK($Y2),ISBLANK($Z2),NOT(ISBLANK($E2)))</formula>
    </cfRule>
  </conditionalFormatting>
  <conditionalFormatting sqref="J2:K74 J75:J80 J81:K99">
    <cfRule type="expression" priority="47" aboveAverage="0" equalAverage="0" bottom="0" percent="0" rank="0" text="" dxfId="413">
      <formula>AND(ISBLANK($J2),ISBLANK($K2),NOT(ISBLANK($E2)))</formula>
    </cfRule>
  </conditionalFormatting>
  <conditionalFormatting sqref="A2:AG12 A14:AG14 A15:R17 A18:AG23 A26:AG32 A35:AG35 A37:AG44 A46:AG46 A50:AG74 A75:J80 A81:AG99 T13:AG13 T15:AG17 T24:AG25 T33:AG34 T36:AG36 L45:AG45 T47:AG49 U75:AG80">
    <cfRule type="expression" priority="48" aboveAverage="0" equalAverage="0" bottom="0" percent="0" rank="0" text="" dxfId="414">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priority="49" aboveAverage="0" equalAverage="0" bottom="0" percent="0" rank="0" text="" dxfId="415">
      <formula>$B2=2</formula>
    </cfRule>
  </conditionalFormatting>
  <conditionalFormatting sqref="A2:AG12 T13:AG13 A14:AG14 A15:R17 T15:AG17 A18:AG32 T33:AG34 A35:AG35 T36:AG36 A37:AG44 L45:AG45 A46:AG46 T47:AG49 A50:AG62 A63:R65 T63:AG65 A66:AG74 A75:J80 N75:O80 U75:AG80 A81:AG99">
    <cfRule type="expression" priority="50" aboveAverage="0" equalAverage="0" bottom="0" percent="0" rank="0" text="" dxfId="416">
      <formula>$B2=3</formula>
    </cfRule>
  </conditionalFormatting>
  <conditionalFormatting sqref="S24:S25">
    <cfRule type="expression" priority="51" aboveAverage="0" equalAverage="0" bottom="0" percent="0" rank="0" text="" dxfId="417">
      <formula>$B24=2</formula>
    </cfRule>
  </conditionalFormatting>
  <dataValidations count="11">
    <dataValidation allowBlank="true" errorStyle="stop" operator="between" showDropDown="false" showErrorMessage="true" showInputMessage="true" sqref="E2:E100" type="list">
      <formula1>"standard,nonstandard"</formula1>
      <formula2>0</formula2>
    </dataValidation>
    <dataValidation allowBlank="true" errorStyle="stop" operator="between" showDropDown="false" showErrorMessage="true" showInputMessage="true" sqref="O2:O100" type="list">
      <formula1>"acres,MWe,m^3,MWt,Kg,Drums,kW,$,m^2,kg/s,Rx/yr"</formula1>
      <formula2>0</formula2>
    </dataValidation>
    <dataValidation allowBlank="true" errorStyle="stop" operator="between" showDropDown="false" showErrorMessage="true" showInputMessage="true" sqref="R2:R88 R90:R97" type="list">
      <formula1>"NA,General,Labor,Material,Equipment,Lab and Mat and Equip,'Lab and Equip"</formula1>
      <formula2>0</formula2>
    </dataValidation>
    <dataValidation allowBlank="true" errorStyle="stop" operator="between" showDropDown="false" showErrorMessage="true" showInputMessage="true" sqref="P75:P80" type="decimal">
      <formula1>0</formula1>
      <formula2>2</formula2>
    </dataValidation>
    <dataValidation allowBlank="true" errorStyle="stop" operator="between" showDropDown="false" showErrorMessage="true" showInputMessage="true" sqref="L75:L80" type="list">
      <formula1>"$/m^2,$/MWeHour,$/FTE,$/acres,$/MWe,$/m^3,$/MWt,$/Kg,$/Drum,$/(kg.sec),$/SWU,unitless,$/kWe"</formula1>
      <formula2>0</formula2>
    </dataValidation>
    <dataValidation allowBlank="true" errorStyle="stop" operator="between" showDropDown="false" showErrorMessage="true" showInputMessage="true" sqref="L2:L74 L81:L99" type="list">
      <formula1>"$/m^2,$/MWeHour,$/FTE,$/acres,$/MWe,$/m^3,$/MWt,$/Kg,$/Drum,$/(kg.sec),$/SWU,unitless,$/kWe,$/m,$/ft,Rx/yr"</formula1>
      <formula2>0</formula2>
    </dataValidation>
    <dataValidation allowBlank="true" errorStyle="stop" operator="between" showDropDown="false" showErrorMessage="true" showInputMessage="true" sqref="Q2:Q105 R89:AG89 R98:R105" type="whole">
      <formula1>1950</formula1>
      <formula2>2025</formula2>
    </dataValidation>
    <dataValidation allowBlank="true" errorStyle="stop" operator="greaterThan" showDropDown="false" showErrorMessage="true" showInputMessage="true" sqref="N1:N98 K2:K9 K11:K31 K33:K97 N99:N1100" type="decimal">
      <formula1>0</formula1>
      <formula2>0</formula2>
    </dataValidation>
    <dataValidation allowBlank="true" errorStyle="stop" operator="between" showDropDown="false" showErrorMessage="true" showInputMessage="true" sqref="M272:M283" type="list">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allowBlank="true" errorStyle="stop" operator="between" showDropDown="false" showErrorMessage="true" showInputMessage="true" sqref="L1 L100:L1100" type="list">
      <formula1>"$/acres,$/MWe,$/m^3,$/MWt"</formula1>
      <formula2>0</formula2>
    </dataValidation>
    <dataValidation allowBlank="true" errorStyle="stop" operator="between" showDropDown="false" showErrorMessage="true" showInputMessage="true" sqref="P100:P252" type="whole">
      <formula1>0</formula1>
      <formula2>2</formula2>
    </dataValidation>
  </dataValidations>
  <hyperlinks>
    <hyperlink ref="U3" r:id="rId2" display="https://inldigitallibrary.inl.gov/sites/sti/sti/Sort_107010.pdf"/>
    <hyperlink ref="U28" r:id="rId3" display="https://www.epri.com/research/products/1018722"/>
    <hyperlink ref="U39" r:id="rId4" display="https://doi.org/10.3929/ethz-b-000709311"/>
    <hyperlink ref="U41" r:id="rId5" display="https://publications.anl.gov/anlpubs/2019/06/152862.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6"/>
  <legacyDrawing r:id="rId7"/>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2026-09-22T03:21:38Z</dcterms:created>
  <dc:creator/>
  <dc:description/>
  <dc:language>en-US</dc:language>
  <cp:lastModifiedBy>Botros N. Hanna</cp:lastModifiedBy>
  <dcterms:modified xsi:type="dcterms:W3CDTF">2026-09-22T03:47:58Z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