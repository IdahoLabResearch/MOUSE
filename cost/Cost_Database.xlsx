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F0F6E66C-7A4E-0649-AAD6-8993B7B57FBF}" xr6:coauthVersionLast="47" xr6:coauthVersionMax="47" xr10:uidLastSave="{00000000-0000-0000-0000-000000000000}"/>
  <bookViews>
    <workbookView xWindow="0" yWindow="660" windowWidth="30240" windowHeight="17180" activeTab="6"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 i="8" l="1"/>
  <c r="D99" i="8" s="1"/>
  <c r="B98" i="8"/>
  <c r="D98" i="8" s="1"/>
  <c r="AB97" i="8"/>
  <c r="AA97" i="8"/>
  <c r="J97" i="8"/>
  <c r="Y97" i="8" s="1"/>
  <c r="D97" i="8"/>
  <c r="B97" i="8"/>
  <c r="AB96" i="8"/>
  <c r="AA96" i="8"/>
  <c r="Y96" i="8"/>
  <c r="X96" i="8"/>
  <c r="J96" i="8"/>
  <c r="B96" i="8"/>
  <c r="D96" i="8" s="1"/>
  <c r="AB95" i="8"/>
  <c r="AA95" i="8"/>
  <c r="Y95" i="8"/>
  <c r="X95" i="8"/>
  <c r="J95" i="8"/>
  <c r="B95" i="8"/>
  <c r="D95" i="8" s="1"/>
  <c r="AB94" i="8"/>
  <c r="AA94" i="8"/>
  <c r="J94" i="8"/>
  <c r="Y94"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K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2" i="1"/>
  <c r="AA192" i="1"/>
  <c r="Y192" i="1"/>
  <c r="X192" i="1"/>
  <c r="B192" i="1"/>
  <c r="D192" i="1" s="1"/>
  <c r="D191" i="1"/>
  <c r="B191" i="1"/>
  <c r="AB190" i="1"/>
  <c r="AA190" i="1"/>
  <c r="Y190" i="1"/>
  <c r="X190" i="1"/>
  <c r="B190" i="1"/>
  <c r="D190" i="1" s="1"/>
  <c r="B189" i="1"/>
  <c r="D189" i="1" s="1"/>
  <c r="D188" i="1"/>
  <c r="B188" i="1"/>
  <c r="D187" i="1"/>
  <c r="B187" i="1"/>
  <c r="B186" i="1"/>
  <c r="D186" i="1" s="1"/>
  <c r="B185" i="1"/>
  <c r="D185" i="1" s="1"/>
  <c r="B184" i="1"/>
  <c r="D184" i="1" s="1"/>
  <c r="D183" i="1"/>
  <c r="B183" i="1"/>
  <c r="D182" i="1"/>
  <c r="B182" i="1"/>
  <c r="B181" i="1"/>
  <c r="D181" i="1" s="1"/>
  <c r="B180" i="1"/>
  <c r="D180" i="1" s="1"/>
  <c r="B179" i="1"/>
  <c r="D179" i="1" s="1"/>
  <c r="D178" i="1"/>
  <c r="B178" i="1"/>
  <c r="D177" i="1"/>
  <c r="B177" i="1"/>
  <c r="B176" i="1"/>
  <c r="D176" i="1" s="1"/>
  <c r="B175" i="1"/>
  <c r="D175" i="1" s="1"/>
  <c r="B174" i="1"/>
  <c r="D174" i="1" s="1"/>
  <c r="D173" i="1"/>
  <c r="B173" i="1"/>
  <c r="D172" i="1"/>
  <c r="B172" i="1"/>
  <c r="X171" i="1"/>
  <c r="J171" i="1"/>
  <c r="Y171" i="1" s="1"/>
  <c r="D171" i="1"/>
  <c r="B171" i="1"/>
  <c r="AB170" i="1"/>
  <c r="AA170" i="1"/>
  <c r="Y170" i="1"/>
  <c r="X170" i="1"/>
  <c r="B170" i="1"/>
  <c r="D170" i="1" s="1"/>
  <c r="AB169" i="1"/>
  <c r="AA169" i="1"/>
  <c r="Y169" i="1"/>
  <c r="X169" i="1"/>
  <c r="B169" i="1"/>
  <c r="D169" i="1" s="1"/>
  <c r="D168" i="1"/>
  <c r="B168" i="1"/>
  <c r="AB167" i="1"/>
  <c r="AA167" i="1"/>
  <c r="Y167" i="1"/>
  <c r="X167" i="1"/>
  <c r="D167" i="1"/>
  <c r="B167" i="1"/>
  <c r="AB166" i="1"/>
  <c r="AA166" i="1"/>
  <c r="Y166" i="1"/>
  <c r="X166" i="1"/>
  <c r="B166" i="1"/>
  <c r="D166" i="1" s="1"/>
  <c r="AB165" i="1"/>
  <c r="AA165" i="1"/>
  <c r="Y165" i="1"/>
  <c r="X165" i="1"/>
  <c r="B165" i="1"/>
  <c r="D165" i="1" s="1"/>
  <c r="D164" i="1"/>
  <c r="B164" i="1"/>
  <c r="B163" i="1"/>
  <c r="D163" i="1" s="1"/>
  <c r="D162" i="1"/>
  <c r="B162" i="1"/>
  <c r="D161" i="1"/>
  <c r="B161" i="1"/>
  <c r="AB160" i="1"/>
  <c r="AA160" i="1"/>
  <c r="Y160" i="1"/>
  <c r="X160" i="1"/>
  <c r="B160" i="1"/>
  <c r="D160" i="1" s="1"/>
  <c r="D159" i="1"/>
  <c r="B159" i="1"/>
  <c r="AB158" i="1"/>
  <c r="AA158" i="1"/>
  <c r="Y158" i="1"/>
  <c r="X158" i="1"/>
  <c r="J158" i="1"/>
  <c r="D158" i="1"/>
  <c r="B158" i="1"/>
  <c r="AB157" i="1"/>
  <c r="AA157" i="1"/>
  <c r="X157" i="1"/>
  <c r="J157" i="1"/>
  <c r="Y157" i="1" s="1"/>
  <c r="B157" i="1"/>
  <c r="D157" i="1" s="1"/>
  <c r="AB156" i="1"/>
  <c r="AA156" i="1"/>
  <c r="J156" i="1"/>
  <c r="Y156" i="1" s="1"/>
  <c r="B156" i="1"/>
  <c r="D156" i="1" s="1"/>
  <c r="AB155" i="1"/>
  <c r="AA155" i="1"/>
  <c r="B155" i="1"/>
  <c r="D155" i="1" s="1"/>
  <c r="D154" i="1"/>
  <c r="D153" i="1"/>
  <c r="D152" i="1"/>
  <c r="B152" i="1"/>
  <c r="AB151" i="1"/>
  <c r="AA151" i="1"/>
  <c r="Y151" i="1"/>
  <c r="X151" i="1"/>
  <c r="B151" i="1"/>
  <c r="D151" i="1" s="1"/>
  <c r="AB150" i="1"/>
  <c r="AA150" i="1"/>
  <c r="Y150" i="1"/>
  <c r="X150" i="1"/>
  <c r="B150" i="1"/>
  <c r="D150" i="1" s="1"/>
  <c r="AB149" i="1"/>
  <c r="AA149" i="1"/>
  <c r="Y149" i="1"/>
  <c r="X149"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B145" i="1"/>
  <c r="D145" i="1" s="1"/>
  <c r="D144" i="1"/>
  <c r="B144" i="1"/>
  <c r="Y143" i="1"/>
  <c r="X143" i="1"/>
  <c r="K143" i="1"/>
  <c r="AB143" i="1" s="1"/>
  <c r="B143" i="1"/>
  <c r="D143" i="1" s="1"/>
  <c r="AB142" i="1"/>
  <c r="AA142" i="1"/>
  <c r="Y142" i="1"/>
  <c r="X142" i="1"/>
  <c r="K142" i="1"/>
  <c r="D142" i="1"/>
  <c r="B142" i="1"/>
  <c r="AB141" i="1"/>
  <c r="AA141" i="1"/>
  <c r="Y141" i="1"/>
  <c r="X141" i="1"/>
  <c r="K141" i="1"/>
  <c r="D141" i="1"/>
  <c r="B141" i="1"/>
  <c r="Y140" i="1"/>
  <c r="X140" i="1"/>
  <c r="K140" i="1"/>
  <c r="AB140" i="1" s="1"/>
  <c r="B140" i="1"/>
  <c r="D140" i="1" s="1"/>
  <c r="Y139" i="1"/>
  <c r="X139" i="1"/>
  <c r="K139" i="1"/>
  <c r="AB139" i="1" s="1"/>
  <c r="B139" i="1"/>
  <c r="D139" i="1" s="1"/>
  <c r="AB138" i="1"/>
  <c r="AA138" i="1"/>
  <c r="Y138" i="1"/>
  <c r="X138" i="1"/>
  <c r="K138" i="1"/>
  <c r="B138" i="1"/>
  <c r="D138" i="1" s="1"/>
  <c r="D137" i="1"/>
  <c r="B137" i="1"/>
  <c r="Y136" i="1"/>
  <c r="X136" i="1"/>
  <c r="B136" i="1"/>
  <c r="D136" i="1" s="1"/>
  <c r="AB135" i="1"/>
  <c r="AA135" i="1"/>
  <c r="Y135" i="1"/>
  <c r="X135" i="1"/>
  <c r="D135" i="1"/>
  <c r="B135" i="1"/>
  <c r="D134" i="1"/>
  <c r="B134" i="1"/>
  <c r="B133" i="1"/>
  <c r="D133" i="1" s="1"/>
  <c r="AB132" i="1"/>
  <c r="AA132" i="1"/>
  <c r="J132" i="1"/>
  <c r="Y132" i="1" s="1"/>
  <c r="B132" i="1"/>
  <c r="D132" i="1" s="1"/>
  <c r="AB131" i="1"/>
  <c r="AA131" i="1"/>
  <c r="Y131" i="1"/>
  <c r="X131" i="1"/>
  <c r="D131" i="1"/>
  <c r="B131" i="1"/>
  <c r="Y130" i="1"/>
  <c r="X130" i="1"/>
  <c r="K130" i="1"/>
  <c r="AB130" i="1" s="1"/>
  <c r="D130" i="1"/>
  <c r="AB129" i="1"/>
  <c r="AA129" i="1"/>
  <c r="Y129" i="1"/>
  <c r="J129" i="1"/>
  <c r="X129" i="1" s="1"/>
  <c r="D129" i="1"/>
  <c r="B129" i="1"/>
  <c r="Y128" i="1"/>
  <c r="X128" i="1"/>
  <c r="D128" i="1"/>
  <c r="B128" i="1"/>
  <c r="Y127" i="1"/>
  <c r="X127" i="1"/>
  <c r="B127" i="1"/>
  <c r="D127" i="1" s="1"/>
  <c r="B126" i="1"/>
  <c r="D126" i="1" s="1"/>
  <c r="B125" i="1"/>
  <c r="D125" i="1" s="1"/>
  <c r="Y124" i="1"/>
  <c r="X124" i="1"/>
  <c r="K124" i="1"/>
  <c r="AB124" i="1" s="1"/>
  <c r="D124" i="1"/>
  <c r="B124" i="1"/>
  <c r="AB123" i="1"/>
  <c r="AA123" i="1"/>
  <c r="Y123" i="1"/>
  <c r="X123" i="1"/>
  <c r="B123" i="1"/>
  <c r="D123" i="1" s="1"/>
  <c r="B122" i="1"/>
  <c r="D122" i="1" s="1"/>
  <c r="AB121" i="1"/>
  <c r="AA121" i="1"/>
  <c r="D121" i="1"/>
  <c r="B121" i="1"/>
  <c r="AB120" i="1"/>
  <c r="AA120" i="1"/>
  <c r="Y120" i="1"/>
  <c r="X120" i="1"/>
  <c r="B120" i="1"/>
  <c r="D120" i="1" s="1"/>
  <c r="AB119" i="1"/>
  <c r="AA119" i="1"/>
  <c r="Y119" i="1"/>
  <c r="X119" i="1"/>
  <c r="B119" i="1"/>
  <c r="D119" i="1" s="1"/>
  <c r="AB118" i="1"/>
  <c r="AA118" i="1"/>
  <c r="Y118" i="1"/>
  <c r="X118" i="1"/>
  <c r="D118" i="1"/>
  <c r="B118" i="1"/>
  <c r="AB117" i="1"/>
  <c r="AA117" i="1"/>
  <c r="Y117" i="1"/>
  <c r="X117" i="1"/>
  <c r="B117" i="1"/>
  <c r="D117" i="1" s="1"/>
  <c r="AB116" i="1"/>
  <c r="AA116" i="1"/>
  <c r="Y116" i="1"/>
  <c r="X116" i="1"/>
  <c r="D116" i="1"/>
  <c r="B116" i="1"/>
  <c r="B115" i="1"/>
  <c r="D115" i="1" s="1"/>
  <c r="AB114" i="1"/>
  <c r="AA114" i="1"/>
  <c r="Y114" i="1"/>
  <c r="X114" i="1"/>
  <c r="D114" i="1"/>
  <c r="B114" i="1"/>
  <c r="AB113" i="1"/>
  <c r="AA113" i="1"/>
  <c r="Y113" i="1"/>
  <c r="X113" i="1"/>
  <c r="B113" i="1"/>
  <c r="D113" i="1" s="1"/>
  <c r="AB112" i="1"/>
  <c r="AA112" i="1"/>
  <c r="Y112" i="1"/>
  <c r="X112" i="1"/>
  <c r="D112" i="1"/>
  <c r="B112" i="1"/>
  <c r="AB111" i="1"/>
  <c r="AA111" i="1"/>
  <c r="Y111" i="1"/>
  <c r="X111" i="1"/>
  <c r="B111" i="1"/>
  <c r="D111" i="1" s="1"/>
  <c r="AB110" i="1"/>
  <c r="AA110" i="1"/>
  <c r="Y110" i="1"/>
  <c r="X110" i="1"/>
  <c r="B110" i="1"/>
  <c r="D110" i="1" s="1"/>
  <c r="Y109" i="1"/>
  <c r="X109" i="1"/>
  <c r="K109" i="1"/>
  <c r="AA109" i="1" s="1"/>
  <c r="D109" i="1"/>
  <c r="B109" i="1"/>
  <c r="D108" i="1"/>
  <c r="B108" i="1"/>
  <c r="D107" i="1"/>
  <c r="B107" i="1"/>
  <c r="AB106" i="1"/>
  <c r="AA106" i="1"/>
  <c r="B106" i="1"/>
  <c r="D106" i="1" s="1"/>
  <c r="AB105" i="1"/>
  <c r="AA105" i="1"/>
  <c r="D105" i="1"/>
  <c r="B105" i="1"/>
  <c r="AB104" i="1"/>
  <c r="AA104" i="1"/>
  <c r="D104" i="1"/>
  <c r="B104" i="1"/>
  <c r="AB103" i="1"/>
  <c r="AA103" i="1"/>
  <c r="B103" i="1"/>
  <c r="D103" i="1" s="1"/>
  <c r="AB102" i="1"/>
  <c r="AA102" i="1"/>
  <c r="D102" i="1"/>
  <c r="B102" i="1"/>
  <c r="K101" i="1"/>
  <c r="AB101" i="1" s="1"/>
  <c r="D101" i="1"/>
  <c r="B101" i="1"/>
  <c r="AB100" i="1"/>
  <c r="AA100" i="1"/>
  <c r="B100" i="1"/>
  <c r="D100" i="1" s="1"/>
  <c r="AB99" i="1"/>
  <c r="AA99" i="1"/>
  <c r="Y99" i="1"/>
  <c r="X99" i="1"/>
  <c r="N99" i="1"/>
  <c r="B99" i="1"/>
  <c r="D99" i="1" s="1"/>
  <c r="J98" i="1"/>
  <c r="Y98" i="1" s="1"/>
  <c r="D98" i="1"/>
  <c r="B98" i="1"/>
  <c r="D97" i="1"/>
  <c r="B97" i="1"/>
  <c r="AB96" i="1"/>
  <c r="AA96" i="1"/>
  <c r="Y96" i="1"/>
  <c r="X96" i="1"/>
  <c r="B96" i="1"/>
  <c r="D96" i="1" s="1"/>
  <c r="AB95" i="1"/>
  <c r="AA95" i="1"/>
  <c r="Y95" i="1"/>
  <c r="X95" i="1"/>
  <c r="B95" i="1"/>
  <c r="D95" i="1" s="1"/>
  <c r="AB94" i="1"/>
  <c r="AA94" i="1"/>
  <c r="Y94" i="1"/>
  <c r="X94" i="1"/>
  <c r="D94" i="1"/>
  <c r="B94" i="1"/>
  <c r="AB93" i="1"/>
  <c r="AA93" i="1"/>
  <c r="Y93" i="1"/>
  <c r="X93" i="1"/>
  <c r="B93" i="1"/>
  <c r="D93" i="1" s="1"/>
  <c r="AB92" i="1"/>
  <c r="AA92" i="1"/>
  <c r="Y92" i="1"/>
  <c r="X92" i="1"/>
  <c r="D92" i="1"/>
  <c r="B92" i="1"/>
  <c r="Y91" i="1"/>
  <c r="X91" i="1"/>
  <c r="N91" i="1"/>
  <c r="K91" i="1"/>
  <c r="AB91" i="1" s="1"/>
  <c r="D91" i="1"/>
  <c r="B91" i="1"/>
  <c r="AB90" i="1"/>
  <c r="AA90" i="1"/>
  <c r="Y90" i="1"/>
  <c r="X90" i="1"/>
  <c r="B90" i="1"/>
  <c r="D90" i="1" s="1"/>
  <c r="Y89" i="1"/>
  <c r="X89" i="1"/>
  <c r="N89" i="1"/>
  <c r="K89" i="1" s="1"/>
  <c r="J89" i="1"/>
  <c r="D89" i="1"/>
  <c r="B89" i="1"/>
  <c r="D88" i="1"/>
  <c r="B88" i="1"/>
  <c r="B87" i="1"/>
  <c r="D87" i="1" s="1"/>
  <c r="AB86" i="1"/>
  <c r="AA86" i="1"/>
  <c r="Y86" i="1"/>
  <c r="X86" i="1"/>
  <c r="D86" i="1"/>
  <c r="B86" i="1"/>
  <c r="AB85" i="1"/>
  <c r="AA85" i="1"/>
  <c r="Y85" i="1"/>
  <c r="X85" i="1"/>
  <c r="D85" i="1"/>
  <c r="B85" i="1"/>
  <c r="AB84" i="1"/>
  <c r="AA84" i="1"/>
  <c r="Y84" i="1"/>
  <c r="X84" i="1"/>
  <c r="D84" i="1"/>
  <c r="B84" i="1"/>
  <c r="AB83" i="1"/>
  <c r="AA83" i="1"/>
  <c r="Y83" i="1"/>
  <c r="X83" i="1"/>
  <c r="D83" i="1"/>
  <c r="B83" i="1"/>
  <c r="AB82" i="1"/>
  <c r="AA82" i="1"/>
  <c r="Y82" i="1"/>
  <c r="X82" i="1"/>
  <c r="B82" i="1"/>
  <c r="D82" i="1" s="1"/>
  <c r="Y81" i="1"/>
  <c r="X81" i="1"/>
  <c r="N81" i="1"/>
  <c r="K81" i="1" s="1"/>
  <c r="D81" i="1"/>
  <c r="B81" i="1"/>
  <c r="Y80" i="1"/>
  <c r="X80" i="1"/>
  <c r="N80" i="1"/>
  <c r="K80" i="1" s="1"/>
  <c r="D80" i="1"/>
  <c r="B80" i="1"/>
  <c r="AB79" i="1"/>
  <c r="AA79" i="1"/>
  <c r="Y79" i="1"/>
  <c r="X79" i="1"/>
  <c r="B79" i="1"/>
  <c r="D79" i="1" s="1"/>
  <c r="Y78" i="1"/>
  <c r="X78" i="1"/>
  <c r="N78" i="1"/>
  <c r="N98" i="1" s="1"/>
  <c r="B78" i="1"/>
  <c r="D78" i="1" s="1"/>
  <c r="Y77" i="1"/>
  <c r="X77" i="1"/>
  <c r="K77" i="1"/>
  <c r="AB77" i="1" s="1"/>
  <c r="B77" i="1"/>
  <c r="D77" i="1" s="1"/>
  <c r="AB76" i="1"/>
  <c r="AA76" i="1"/>
  <c r="Y76" i="1"/>
  <c r="X76" i="1"/>
  <c r="K76" i="1"/>
  <c r="D76" i="1"/>
  <c r="B76" i="1"/>
  <c r="D75" i="1"/>
  <c r="B75" i="1"/>
  <c r="D74" i="1"/>
  <c r="B74" i="1"/>
  <c r="AB73" i="1"/>
  <c r="AA73" i="1"/>
  <c r="Y73" i="1"/>
  <c r="X73" i="1"/>
  <c r="D73" i="1"/>
  <c r="B73" i="1"/>
  <c r="AB72" i="1"/>
  <c r="AA72" i="1"/>
  <c r="Y72" i="1"/>
  <c r="X72" i="1"/>
  <c r="B72" i="1"/>
  <c r="D72" i="1" s="1"/>
  <c r="N71" i="1"/>
  <c r="K71" i="1" s="1"/>
  <c r="J71" i="1"/>
  <c r="Y71" i="1" s="1"/>
  <c r="B71" i="1"/>
  <c r="D71" i="1" s="1"/>
  <c r="AB70" i="1"/>
  <c r="AA70" i="1"/>
  <c r="Y70" i="1"/>
  <c r="X70" i="1"/>
  <c r="B70" i="1"/>
  <c r="D70" i="1" s="1"/>
  <c r="AB69" i="1"/>
  <c r="AA69" i="1"/>
  <c r="Y69" i="1"/>
  <c r="X69" i="1"/>
  <c r="D69" i="1"/>
  <c r="B69" i="1"/>
  <c r="Y68" i="1"/>
  <c r="X68" i="1"/>
  <c r="N68" i="1"/>
  <c r="K68" i="1"/>
  <c r="AB68" i="1" s="1"/>
  <c r="B68" i="1"/>
  <c r="D68" i="1" s="1"/>
  <c r="AB67" i="1"/>
  <c r="Y67" i="1"/>
  <c r="X67" i="1"/>
  <c r="N67" i="1"/>
  <c r="K67" i="1"/>
  <c r="AA67" i="1" s="1"/>
  <c r="B67" i="1"/>
  <c r="D67" i="1" s="1"/>
  <c r="B66" i="1"/>
  <c r="D66" i="1" s="1"/>
  <c r="D65" i="1"/>
  <c r="B65" i="1"/>
  <c r="D64" i="1"/>
  <c r="B64" i="1"/>
  <c r="Y63" i="1"/>
  <c r="X63" i="1"/>
  <c r="K63" i="1"/>
  <c r="AB63" i="1" s="1"/>
  <c r="B63" i="1"/>
  <c r="D63" i="1" s="1"/>
  <c r="Y62" i="1"/>
  <c r="X62" i="1"/>
  <c r="K62" i="1"/>
  <c r="AB62" i="1" s="1"/>
  <c r="B62" i="1"/>
  <c r="D62" i="1" s="1"/>
  <c r="AB61" i="1"/>
  <c r="AA61" i="1"/>
  <c r="Y61" i="1"/>
  <c r="X61" i="1"/>
  <c r="K61" i="1"/>
  <c r="D61" i="1"/>
  <c r="B61" i="1"/>
  <c r="D60" i="1"/>
  <c r="B60" i="1"/>
  <c r="AB59" i="1"/>
  <c r="AA59" i="1"/>
  <c r="Y59" i="1"/>
  <c r="X59" i="1"/>
  <c r="K59" i="1"/>
  <c r="D59" i="1"/>
  <c r="B59" i="1"/>
  <c r="Y58" i="1"/>
  <c r="X58" i="1"/>
  <c r="K58" i="1"/>
  <c r="AB58" i="1" s="1"/>
  <c r="B58" i="1"/>
  <c r="D58" i="1" s="1"/>
  <c r="Y57" i="1"/>
  <c r="X57" i="1"/>
  <c r="K57" i="1"/>
  <c r="AB57" i="1" s="1"/>
  <c r="B57" i="1"/>
  <c r="D57" i="1" s="1"/>
  <c r="B56" i="1"/>
  <c r="D56" i="1" s="1"/>
  <c r="D55" i="1"/>
  <c r="B55" i="1"/>
  <c r="Y54" i="1"/>
  <c r="X54" i="1"/>
  <c r="K54" i="1"/>
  <c r="AB54" i="1" s="1"/>
  <c r="D54" i="1"/>
  <c r="B54" i="1"/>
  <c r="AB53" i="1"/>
  <c r="AA53" i="1"/>
  <c r="Y53" i="1"/>
  <c r="X53" i="1"/>
  <c r="K53" i="1"/>
  <c r="B53" i="1"/>
  <c r="D53" i="1" s="1"/>
  <c r="Y52" i="1"/>
  <c r="X52" i="1"/>
  <c r="K52" i="1"/>
  <c r="AA52" i="1" s="1"/>
  <c r="D52" i="1"/>
  <c r="B52" i="1"/>
  <c r="D51" i="1"/>
  <c r="B51" i="1"/>
  <c r="D50" i="1"/>
  <c r="B50" i="1"/>
  <c r="Y49" i="1"/>
  <c r="X49" i="1"/>
  <c r="N49" i="1"/>
  <c r="K49" i="1" s="1"/>
  <c r="B49" i="1"/>
  <c r="D49" i="1" s="1"/>
  <c r="Y48" i="1"/>
  <c r="X48" i="1"/>
  <c r="K48" i="1"/>
  <c r="AB48" i="1" s="1"/>
  <c r="D48" i="1"/>
  <c r="B48" i="1"/>
  <c r="Y47" i="1"/>
  <c r="X47" i="1"/>
  <c r="K47" i="1"/>
  <c r="AB47" i="1" s="1"/>
  <c r="D47" i="1"/>
  <c r="B47" i="1"/>
  <c r="AB46" i="1"/>
  <c r="AA46" i="1"/>
  <c r="Y46" i="1"/>
  <c r="X46" i="1"/>
  <c r="K46" i="1"/>
  <c r="B46" i="1"/>
  <c r="D46" i="1" s="1"/>
  <c r="B45" i="1"/>
  <c r="D45" i="1" s="1"/>
  <c r="B44" i="1"/>
  <c r="D44" i="1" s="1"/>
  <c r="AB43" i="1"/>
  <c r="AA43" i="1"/>
  <c r="Y43" i="1"/>
  <c r="X43" i="1"/>
  <c r="K43" i="1"/>
  <c r="D43" i="1"/>
  <c r="B43" i="1"/>
  <c r="AB42" i="1"/>
  <c r="AA42" i="1"/>
  <c r="Y42" i="1"/>
  <c r="X42" i="1"/>
  <c r="K42" i="1"/>
  <c r="D42" i="1"/>
  <c r="B42" i="1"/>
  <c r="Y41" i="1"/>
  <c r="X41" i="1"/>
  <c r="K41" i="1"/>
  <c r="AB41" i="1" s="1"/>
  <c r="B41" i="1"/>
  <c r="D41" i="1" s="1"/>
  <c r="D40" i="1"/>
  <c r="B40" i="1"/>
  <c r="Y39" i="1"/>
  <c r="X39" i="1"/>
  <c r="K39" i="1"/>
  <c r="AB39" i="1" s="1"/>
  <c r="B39" i="1"/>
  <c r="D39" i="1" s="1"/>
  <c r="AB38" i="1"/>
  <c r="AA38" i="1"/>
  <c r="Y38" i="1"/>
  <c r="X38" i="1"/>
  <c r="K38" i="1"/>
  <c r="D38" i="1"/>
  <c r="B38" i="1"/>
  <c r="AB37" i="1"/>
  <c r="AA37" i="1"/>
  <c r="Y37" i="1"/>
  <c r="X37" i="1"/>
  <c r="K37" i="1"/>
  <c r="D37" i="1"/>
  <c r="B37" i="1"/>
  <c r="B36" i="1"/>
  <c r="D36" i="1" s="1"/>
  <c r="B35" i="1"/>
  <c r="D35" i="1" s="1"/>
  <c r="B34" i="1"/>
  <c r="D34" i="1" s="1"/>
  <c r="AB33" i="1"/>
  <c r="AA33" i="1"/>
  <c r="Y33" i="1"/>
  <c r="X33" i="1"/>
  <c r="K33" i="1"/>
  <c r="D33" i="1"/>
  <c r="B33" i="1"/>
  <c r="AB32" i="1"/>
  <c r="AA32" i="1"/>
  <c r="Y32" i="1"/>
  <c r="X32" i="1"/>
  <c r="K32" i="1"/>
  <c r="D32" i="1"/>
  <c r="B32" i="1"/>
  <c r="AA31" i="1"/>
  <c r="Y31" i="1"/>
  <c r="X31" i="1"/>
  <c r="K31" i="1"/>
  <c r="AB31" i="1" s="1"/>
  <c r="B31" i="1"/>
  <c r="D31" i="1" s="1"/>
  <c r="Y30" i="1"/>
  <c r="X30" i="1"/>
  <c r="K30" i="1"/>
  <c r="AB30" i="1" s="1"/>
  <c r="B30" i="1"/>
  <c r="D30" i="1" s="1"/>
  <c r="B29" i="1"/>
  <c r="D29" i="1" s="1"/>
  <c r="AB28" i="1"/>
  <c r="AA28" i="1"/>
  <c r="Y28" i="1"/>
  <c r="X28" i="1"/>
  <c r="K28" i="1"/>
  <c r="D28" i="1"/>
  <c r="B28" i="1"/>
  <c r="AB27" i="1"/>
  <c r="AA27" i="1"/>
  <c r="Y27" i="1"/>
  <c r="X27" i="1"/>
  <c r="K27" i="1"/>
  <c r="D27" i="1"/>
  <c r="B27" i="1"/>
  <c r="Y26" i="1"/>
  <c r="X26" i="1"/>
  <c r="K26" i="1"/>
  <c r="AB26" i="1" s="1"/>
  <c r="B26" i="1"/>
  <c r="D26" i="1" s="1"/>
  <c r="B25" i="1"/>
  <c r="D25" i="1" s="1"/>
  <c r="Y24" i="1"/>
  <c r="X24" i="1"/>
  <c r="K24" i="1"/>
  <c r="AB24" i="1" s="1"/>
  <c r="B24" i="1"/>
  <c r="D24" i="1" s="1"/>
  <c r="AB23" i="1"/>
  <c r="AA23" i="1"/>
  <c r="Y23" i="1"/>
  <c r="X23" i="1"/>
  <c r="K23" i="1"/>
  <c r="D23" i="1"/>
  <c r="B23" i="1"/>
  <c r="AB22" i="1"/>
  <c r="AA22" i="1"/>
  <c r="Y22" i="1"/>
  <c r="X22" i="1"/>
  <c r="K22" i="1"/>
  <c r="D22" i="1"/>
  <c r="B22" i="1"/>
  <c r="B21" i="1"/>
  <c r="D21" i="1" s="1"/>
  <c r="B20" i="1"/>
  <c r="D20" i="1" s="1"/>
  <c r="AB19" i="1"/>
  <c r="AA19" i="1"/>
  <c r="Y19" i="1"/>
  <c r="X19" i="1"/>
  <c r="K19" i="1"/>
  <c r="D19" i="1"/>
  <c r="B19" i="1"/>
  <c r="Y18" i="1"/>
  <c r="X18" i="1"/>
  <c r="K18" i="1"/>
  <c r="AB18" i="1" s="1"/>
  <c r="D18" i="1"/>
  <c r="B18" i="1"/>
  <c r="Y17" i="1"/>
  <c r="X17" i="1"/>
  <c r="K17" i="1"/>
  <c r="AB17" i="1" s="1"/>
  <c r="D17" i="1"/>
  <c r="B17" i="1"/>
  <c r="AB16" i="1"/>
  <c r="AA16" i="1"/>
  <c r="Y16" i="1"/>
  <c r="X16" i="1"/>
  <c r="K16" i="1"/>
  <c r="B16" i="1"/>
  <c r="D16" i="1" s="1"/>
  <c r="Y15" i="1"/>
  <c r="X15" i="1"/>
  <c r="K15" i="1"/>
  <c r="AB15" i="1" s="1"/>
  <c r="B15" i="1"/>
  <c r="D15" i="1" s="1"/>
  <c r="D14" i="1"/>
  <c r="B14" i="1"/>
  <c r="Y13" i="1"/>
  <c r="X13" i="1"/>
  <c r="K13" i="1"/>
  <c r="AB13" i="1" s="1"/>
  <c r="D13" i="1"/>
  <c r="B13" i="1"/>
  <c r="Y12" i="1"/>
  <c r="X12" i="1"/>
  <c r="K12" i="1"/>
  <c r="AB12" i="1" s="1"/>
  <c r="D12" i="1"/>
  <c r="B12" i="1"/>
  <c r="AB11" i="1"/>
  <c r="AA11" i="1"/>
  <c r="Y11" i="1"/>
  <c r="X11" i="1"/>
  <c r="K11" i="1"/>
  <c r="B11" i="1"/>
  <c r="D11" i="1" s="1"/>
  <c r="B10" i="1"/>
  <c r="D10" i="1" s="1"/>
  <c r="B9" i="1"/>
  <c r="D9" i="1" s="1"/>
  <c r="D8" i="1"/>
  <c r="B8" i="1"/>
  <c r="AB7" i="1"/>
  <c r="AA7" i="1"/>
  <c r="X7" i="1"/>
  <c r="J7" i="1"/>
  <c r="Y7" i="1" s="1"/>
  <c r="D7" i="1"/>
  <c r="B7" i="1"/>
  <c r="AB6" i="1"/>
  <c r="AA6" i="1"/>
  <c r="Y6" i="1"/>
  <c r="X6" i="1"/>
  <c r="D6" i="1"/>
  <c r="B6" i="1"/>
  <c r="AB5" i="1"/>
  <c r="AA5" i="1"/>
  <c r="Y5" i="1"/>
  <c r="X5" i="1"/>
  <c r="J5" i="1"/>
  <c r="D5" i="1"/>
  <c r="B5" i="1"/>
  <c r="Y4" i="1"/>
  <c r="X4" i="1"/>
  <c r="K4" i="1"/>
  <c r="AB4" i="1" s="1"/>
  <c r="D4" i="1"/>
  <c r="B4" i="1"/>
  <c r="AB3" i="1"/>
  <c r="AA3" i="1"/>
  <c r="Y3" i="1"/>
  <c r="X3" i="1"/>
  <c r="D3" i="1"/>
  <c r="B3" i="1"/>
  <c r="D2" i="1"/>
  <c r="B2" i="1"/>
  <c r="AB71" i="1" l="1"/>
  <c r="AA71" i="1"/>
  <c r="J155" i="1"/>
  <c r="C55" i="2"/>
  <c r="AA80" i="1"/>
  <c r="AB80" i="1"/>
  <c r="AB49" i="1"/>
  <c r="AA49" i="1"/>
  <c r="AA89" i="1"/>
  <c r="AB89" i="1"/>
  <c r="AB81" i="1"/>
  <c r="AA81" i="1"/>
  <c r="X94" i="8"/>
  <c r="K78" i="1"/>
  <c r="AA101" i="1"/>
  <c r="K127" i="1"/>
  <c r="X97" i="8"/>
  <c r="AA11" i="7"/>
  <c r="AA16" i="7"/>
  <c r="AA19" i="7"/>
  <c r="AA31" i="7"/>
  <c r="AA11" i="8"/>
  <c r="AA16" i="8"/>
  <c r="AA27" i="8"/>
  <c r="AA33" i="8"/>
  <c r="AA36" i="8"/>
  <c r="AA15" i="1"/>
  <c r="AA13" i="1"/>
  <c r="AA18" i="1"/>
  <c r="AA48" i="1"/>
  <c r="AB52" i="1"/>
  <c r="X98" i="1"/>
  <c r="AB109" i="1"/>
  <c r="AA124" i="1"/>
  <c r="AA25" i="8"/>
  <c r="AA49" i="8"/>
  <c r="AA41" i="1"/>
  <c r="AA58" i="1"/>
  <c r="AA63" i="1"/>
  <c r="AA91" i="1"/>
  <c r="AA130" i="1"/>
  <c r="AA140" i="1"/>
  <c r="AA26" i="1"/>
  <c r="AA24" i="1"/>
  <c r="AA39" i="1"/>
  <c r="X71" i="1"/>
  <c r="X132" i="1"/>
  <c r="AA143" i="1"/>
  <c r="X156" i="1"/>
  <c r="AA15" i="7"/>
  <c r="AA62" i="8"/>
  <c r="AA4" i="1"/>
  <c r="AA12" i="1"/>
  <c r="AA17" i="1"/>
  <c r="AA47" i="1"/>
  <c r="AA54" i="1"/>
  <c r="AA68" i="1"/>
  <c r="AA13" i="7"/>
  <c r="AA25" i="7"/>
  <c r="AA13" i="8"/>
  <c r="AA39" i="8"/>
  <c r="AA30" i="1"/>
  <c r="AA57" i="1"/>
  <c r="AA62" i="1"/>
  <c r="AA77" i="1"/>
  <c r="AA139" i="1"/>
  <c r="AA24" i="8"/>
  <c r="K128" i="1" l="1"/>
  <c r="AB127" i="1"/>
  <c r="AA127" i="1"/>
  <c r="AB78" i="1"/>
  <c r="AA78" i="1"/>
  <c r="K98" i="1"/>
  <c r="X155" i="1"/>
  <c r="Y155" i="1"/>
  <c r="AB98" i="1" l="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<sst xmlns="http://schemas.openxmlformats.org/spreadsheetml/2006/main" count="3705" uniqueCount="815">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</sst>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32">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ont>
        <b/>
        <i/>
      </font>
      <fill>
        <patternFill patternType="gray0625"/>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ont>
        <b/>
      </font>
    </dxf>
    <dxf>
      <font>
        <b/>
      </font>
    </dxf>
    <dxf>
      <fill>
        <patternFill>
          <bgColor theme="9" tint="0.39994506668294322"/>
        </patternFill>
      </fill>
    </dxf>
    <dxf>
      <fill>
        <patternFill>
          <bgColor rgb="FFFFFFBA"/>
        </patternFill>
      </fill>
    </dxf>
    <dxf>
      <fill>
        <patternFill>
          <bgColor theme="6" tint="0.799920651875362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2"/>
  <sheetViews>
    <sheetView topLeftCell="K31" workbookViewId="0">
      <selection activeCell="AC3" sqref="AC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94.2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07" t="s">
        <v>41</v>
      </c>
      <c r="U3" s="217"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17"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07" t="s">
        <v>74</v>
      </c>
      <c r="T11" s="207" t="s">
        <v>75</v>
      </c>
      <c r="U11" s="214"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08"/>
      <c r="T12" s="208"/>
      <c r="U12" s="208"/>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09"/>
      <c r="T13" s="209"/>
      <c r="U13" s="209"/>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6.7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51.75"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207" t="s">
        <v>74</v>
      </c>
      <c r="T15" s="207" t="s">
        <v>75</v>
      </c>
      <c r="U15" s="214"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51.75"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208"/>
      <c r="T16" s="208"/>
      <c r="U16" s="208"/>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76.25"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209"/>
      <c r="T17" s="209"/>
      <c r="U17" s="209"/>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101.25"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101.25"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6.7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6.7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51.75"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207" t="s">
        <v>105</v>
      </c>
      <c r="T22" s="207" t="s">
        <v>75</v>
      </c>
      <c r="U22" s="214"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51.75"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208"/>
      <c r="T23" s="208"/>
      <c r="U23" s="208"/>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76.25"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209"/>
      <c r="T24" s="209"/>
      <c r="U24" s="209"/>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6.7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207" t="s">
        <v>105</v>
      </c>
      <c r="T26" s="207" t="s">
        <v>75</v>
      </c>
      <c r="U26" s="214"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208"/>
      <c r="T27" s="208"/>
      <c r="U27" s="208"/>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209"/>
      <c r="T28" s="209"/>
      <c r="U28" s="209"/>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76.25"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207" t="s">
        <v>105</v>
      </c>
      <c r="T30" s="207" t="s">
        <v>75</v>
      </c>
      <c r="U30" s="214"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76.25"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208"/>
      <c r="T31" s="208"/>
      <c r="U31" s="208"/>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101.25"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209"/>
      <c r="T32" s="209"/>
      <c r="U32" s="209"/>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101.25"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6.7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6.7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6.7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49.75"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207" t="s">
        <v>74</v>
      </c>
      <c r="T37" s="207" t="s">
        <v>75</v>
      </c>
      <c r="U37" s="214"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49.75"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208"/>
      <c r="T38" s="208"/>
      <c r="U38" s="208"/>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74.75"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209"/>
      <c r="T39" s="209"/>
      <c r="U39" s="209"/>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6.7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207" t="s">
        <v>74</v>
      </c>
      <c r="T41" s="207" t="s">
        <v>75</v>
      </c>
      <c r="U41" s="214"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49.75"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208"/>
      <c r="T42" s="208"/>
      <c r="U42" s="208"/>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209"/>
      <c r="T43" s="209"/>
      <c r="U43" s="209"/>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51.75"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6.7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49.75"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207" t="s">
        <v>105</v>
      </c>
      <c r="T46" s="207" t="s">
        <v>75</v>
      </c>
      <c r="U46" s="214"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49.75"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208"/>
      <c r="T47" s="208"/>
      <c r="U47" s="208"/>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74.75"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209"/>
      <c r="T48" s="209"/>
      <c r="U48" s="209"/>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85"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2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6.7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76.25"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207" t="s">
        <v>105</v>
      </c>
      <c r="T52" s="207" t="s">
        <v>75</v>
      </c>
      <c r="U52" s="214" t="s">
        <v>76</v>
      </c>
      <c r="V52" s="216"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76.25"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208"/>
      <c r="T53" s="208"/>
      <c r="U53" s="208"/>
      <c r="V53" s="208"/>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76.25"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209"/>
      <c r="T54" s="209"/>
      <c r="U54" s="209"/>
      <c r="V54" s="209"/>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6.7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6.7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51.75"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207" t="s">
        <v>105</v>
      </c>
      <c r="T57" s="207" t="s">
        <v>75</v>
      </c>
      <c r="U57" s="214"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51.75"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208"/>
      <c r="T58" s="208"/>
      <c r="U58" s="208"/>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76.25"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209"/>
      <c r="T59" s="209"/>
      <c r="U59" s="209"/>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6.7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207" t="s">
        <v>74</v>
      </c>
      <c r="T61" s="207" t="s">
        <v>75</v>
      </c>
      <c r="U61" s="214"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51.75"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208"/>
      <c r="T62" s="208"/>
      <c r="U62" s="208"/>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76.25"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209"/>
      <c r="T63" s="209"/>
      <c r="U63" s="209"/>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6.7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6.7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53.25"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112"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53.25"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212"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53.25"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208"/>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53.25"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208"/>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53.25"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208"/>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53.25"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208"/>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53.25"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209"/>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53.25"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53.25"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74.75"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212" t="s">
        <v>210</v>
      </c>
      <c r="U76" s="218"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208"/>
      <c r="U77" s="208"/>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53.25"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208"/>
      <c r="U78" s="208"/>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53.25"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208"/>
      <c r="U79" s="208"/>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53.25"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209"/>
      <c r="U80" s="209"/>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53.25"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53.25"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53.25"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40" customHeight="1" x14ac:dyDescent="0.2">
      <c r="A84" s="53">
        <v>221.21600000000001</v>
      </c>
      <c r="B84" s="38">
        <f>IF(ISNUMBER(A84),IF(AND(A84=INT(A84),MOD(A84,10)=0),0,IF(AND(A84=INT(A84),LEN(A84)=2),1,IF(AND(A84=INT(A84),LEN(A84)=3),2,LEN(A84)-FIND(".",A84)+2))),"")</f>
        <v>5</v>
      </c>
      <c r="C84" s="55" t="s">
        <v>800</v>
      </c>
      <c r="D84" s="39" t="str">
        <f>REPT("   ",B84*2)&amp;C84</f>
        <v xml:space="preserve">                              Shutdown Rod Absorber Material</v>
      </c>
      <c r="E84" s="39" t="s">
        <v>35</v>
      </c>
      <c r="F84" s="39" t="s">
        <v>801</v>
      </c>
      <c r="G84" s="39" t="s">
        <v>217</v>
      </c>
      <c r="H84" s="39"/>
      <c r="I84" s="39"/>
      <c r="J84" s="43"/>
      <c r="K84" s="60">
        <v>14285.714285714286</v>
      </c>
      <c r="L84" s="49" t="s">
        <v>186</v>
      </c>
      <c r="M84" s="58" t="s">
        <v>802</v>
      </c>
      <c r="N84" s="49">
        <v>28</v>
      </c>
      <c r="O84" s="49" t="s">
        <v>188</v>
      </c>
      <c r="P84" s="49">
        <v>1</v>
      </c>
      <c r="Q84" s="65">
        <v>2024</v>
      </c>
      <c r="R84" s="49" t="s">
        <v>219</v>
      </c>
      <c r="S84" s="58" t="s">
        <v>209</v>
      </c>
      <c r="T84" s="204"/>
      <c r="U84" s="204"/>
      <c r="V84" s="49" t="s">
        <v>803</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40" customHeight="1" x14ac:dyDescent="0.2">
      <c r="A85" s="53">
        <v>221.21600000000001</v>
      </c>
      <c r="B85" s="38">
        <f>IF(ISNUMBER(A85),IF(AND(A85=INT(A85),MOD(A85,10)=0),0,IF(AND(A85=INT(A85),LEN(A85)=2),1,IF(AND(A85=INT(A85),LEN(A85)=3),2,LEN(A85)-FIND(".",A85)+2))),"")</f>
        <v>5</v>
      </c>
      <c r="C85" s="55" t="s">
        <v>800</v>
      </c>
      <c r="D85" s="39" t="str">
        <f>REPT("   ",B85*2)&amp;C85</f>
        <v xml:space="preserve">                              Shutdown Rod Absorber Material</v>
      </c>
      <c r="E85" s="39" t="s">
        <v>35</v>
      </c>
      <c r="F85" s="39" t="s">
        <v>801</v>
      </c>
      <c r="G85" s="39" t="s">
        <v>220</v>
      </c>
      <c r="H85" s="39"/>
      <c r="I85" s="39"/>
      <c r="J85" s="43"/>
      <c r="K85" s="60">
        <v>10064</v>
      </c>
      <c r="L85" s="49" t="s">
        <v>186</v>
      </c>
      <c r="M85" s="58" t="s">
        <v>802</v>
      </c>
      <c r="N85" s="49"/>
      <c r="O85" s="49" t="s">
        <v>188</v>
      </c>
      <c r="P85" s="49">
        <v>1</v>
      </c>
      <c r="Q85" s="65">
        <v>2023</v>
      </c>
      <c r="R85" s="49" t="s">
        <v>219</v>
      </c>
      <c r="S85" s="58" t="s">
        <v>221</v>
      </c>
      <c r="T85" s="204" t="s">
        <v>804</v>
      </c>
      <c r="U85" s="204"/>
      <c r="V85" s="49" t="s">
        <v>805</v>
      </c>
      <c r="W85" s="74" t="s">
        <v>157</v>
      </c>
      <c r="X85" s="77">
        <f>0.9*$J85</f>
        <v>0</v>
      </c>
      <c r="Y85" s="77">
        <f>1.5*J85</f>
        <v>0</v>
      </c>
      <c r="Z85" s="74" t="s">
        <v>44</v>
      </c>
      <c r="AA85" s="76">
        <f>0.9*K85</f>
        <v>9057.6</v>
      </c>
      <c r="AB85" s="76">
        <f>1.3*K85</f>
        <v>13083.2</v>
      </c>
      <c r="AC85" s="74"/>
      <c r="AD85" s="76"/>
      <c r="AE85" s="76"/>
      <c r="AF85" s="76"/>
      <c r="AG85" s="74"/>
    </row>
    <row r="86" spans="1:36" s="33" customFormat="1" ht="40" customHeight="1" x14ac:dyDescent="0.2">
      <c r="A86" s="53">
        <v>221.21700000000001</v>
      </c>
      <c r="B86" s="38">
        <f>IF(ISNUMBER(A86),IF(AND(A86=INT(A86),MOD(A86,10)=0),0,IF(AND(A86=INT(A86),LEN(A86)=2),1,IF(AND(A86=INT(A86),LEN(A86)=3),2,LEN(A86)-FIND(".",A86)+2))),"")</f>
        <v>5</v>
      </c>
      <c r="C86" s="55" t="s">
        <v>806</v>
      </c>
      <c r="D86" s="39" t="str">
        <f>REPT("   ",B86*2)&amp;C86</f>
        <v xml:space="preserve">                              Shutdown Rod Cladding Material</v>
      </c>
      <c r="E86" s="39" t="s">
        <v>35</v>
      </c>
      <c r="F86" s="39" t="s">
        <v>807</v>
      </c>
      <c r="G86" s="39" t="s">
        <v>808</v>
      </c>
      <c r="H86" s="39"/>
      <c r="I86" s="39"/>
      <c r="J86" s="43"/>
      <c r="K86" s="60">
        <v>757.20768746061754</v>
      </c>
      <c r="L86" s="49" t="s">
        <v>186</v>
      </c>
      <c r="M86" s="58" t="s">
        <v>809</v>
      </c>
      <c r="N86" s="49">
        <v>1587</v>
      </c>
      <c r="O86" s="49" t="s">
        <v>188</v>
      </c>
      <c r="P86" s="49">
        <v>1</v>
      </c>
      <c r="Q86" s="65">
        <v>2017</v>
      </c>
      <c r="R86" s="49" t="s">
        <v>86</v>
      </c>
      <c r="S86" s="58" t="s">
        <v>196</v>
      </c>
      <c r="T86" s="204" t="s">
        <v>810</v>
      </c>
      <c r="U86" s="208"/>
      <c r="V86" s="49" t="s">
        <v>811</v>
      </c>
      <c r="W86" s="74" t="s">
        <v>157</v>
      </c>
      <c r="X86" s="77">
        <f>0.9*$J86</f>
        <v>0</v>
      </c>
      <c r="Y86" s="77">
        <f>1.5*J86</f>
        <v>0</v>
      </c>
      <c r="Z86" s="74" t="s">
        <v>44</v>
      </c>
      <c r="AA86" s="76">
        <f>0.9*K86</f>
        <v>681.48691871455583</v>
      </c>
      <c r="AB86" s="76">
        <f>1.3*K86</f>
        <v>984.36999369880277</v>
      </c>
      <c r="AC86" s="74"/>
      <c r="AD86" s="76"/>
      <c r="AE86" s="76"/>
      <c r="AF86" s="76"/>
      <c r="AG86" s="74"/>
    </row>
    <row r="87" spans="1:36" ht="26.7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211"/>
      <c r="V87" s="49"/>
      <c r="W87" s="74"/>
      <c r="X87" s="77"/>
      <c r="Y87" s="77"/>
      <c r="Z87" s="74"/>
      <c r="AA87" s="76"/>
      <c r="AB87" s="76"/>
      <c r="AC87" s="74"/>
      <c r="AD87" s="76"/>
      <c r="AE87" s="76"/>
      <c r="AF87" s="76"/>
      <c r="AG87" s="74"/>
    </row>
    <row r="88" spans="1:36" ht="25.7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211"/>
      <c r="V88" s="49"/>
      <c r="W88" s="74"/>
      <c r="X88" s="77"/>
      <c r="Y88" s="77"/>
      <c r="Z88" s="74"/>
      <c r="AA88" s="76"/>
      <c r="AB88" s="76"/>
      <c r="AC88" s="74"/>
      <c r="AD88" s="76"/>
      <c r="AE88" s="76"/>
      <c r="AF88" s="76"/>
      <c r="AG88" s="74"/>
    </row>
    <row r="89" spans="1:36" ht="25.7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218"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25.7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208"/>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25.7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208"/>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25.7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208"/>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101.25"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208"/>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101.25"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208"/>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51.75"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208"/>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6.7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208"/>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26.7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204"/>
      <c r="V97" s="49"/>
      <c r="W97" s="74"/>
      <c r="X97" s="77"/>
      <c r="Y97" s="77"/>
      <c r="Z97" s="74"/>
      <c r="AA97" s="76"/>
      <c r="AB97" s="76"/>
      <c r="AC97" s="74"/>
      <c r="AD97" s="76"/>
      <c r="AE97" s="76"/>
      <c r="AF97" s="76"/>
      <c r="AG97" s="74"/>
    </row>
    <row r="98" spans="1:33" s="33" customFormat="1" ht="53.25" customHeight="1" x14ac:dyDescent="0.2">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204"/>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53.25" customHeight="1" x14ac:dyDescent="0.2">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205"/>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122.75"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122.75"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122.75"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122.75"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122.75"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122.75"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122.75"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212" t="s">
        <v>257</v>
      </c>
      <c r="U106" s="210"/>
      <c r="V106" s="210"/>
      <c r="W106" s="74" t="s">
        <v>157</v>
      </c>
      <c r="Z106" s="74" t="s">
        <v>44</v>
      </c>
      <c r="AA106" s="76">
        <f t="shared" si="18"/>
        <v>1368</v>
      </c>
      <c r="AB106" s="76">
        <f t="shared" si="19"/>
        <v>1976</v>
      </c>
      <c r="AC106" s="74" t="s">
        <v>44</v>
      </c>
      <c r="AD106" s="76" t="s">
        <v>45</v>
      </c>
      <c r="AE106" s="76" t="s">
        <v>46</v>
      </c>
      <c r="AF106" s="76" t="s">
        <v>47</v>
      </c>
      <c r="AG106" s="74" t="s">
        <v>48</v>
      </c>
    </row>
    <row r="107" spans="1:33" ht="53.25"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212"/>
      <c r="U107" s="211"/>
      <c r="V107" s="211"/>
      <c r="W107" s="74"/>
      <c r="X107" s="77"/>
      <c r="Y107" s="77"/>
      <c r="Z107" s="74"/>
      <c r="AA107" s="76"/>
      <c r="AB107" s="76"/>
      <c r="AC107" s="74"/>
      <c r="AD107" s="76"/>
      <c r="AE107" s="76"/>
      <c r="AF107" s="76"/>
      <c r="AG107" s="74"/>
    </row>
    <row r="108" spans="1:33" ht="26.7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109"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62" t="s">
        <v>273</v>
      </c>
      <c r="U109" s="206" t="s">
        <v>274</v>
      </c>
      <c r="V109" s="62"/>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51.75"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205"/>
      <c r="U110" s="205"/>
      <c r="V110" s="205"/>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76"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53.25"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53.25"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53.25"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6.7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53.25"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53.25"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53.25"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53.25"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53.25"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211"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53.25"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211"/>
      <c r="W121" s="74" t="s">
        <v>43</v>
      </c>
      <c r="X121" s="77"/>
      <c r="Y121" s="77"/>
      <c r="Z121" s="74"/>
      <c r="AA121" s="76">
        <f t="shared" si="25"/>
        <v>106.2</v>
      </c>
      <c r="AB121" s="76">
        <f t="shared" si="26"/>
        <v>153.4</v>
      </c>
      <c r="AC121" s="74" t="s">
        <v>44</v>
      </c>
      <c r="AD121" s="76" t="s">
        <v>45</v>
      </c>
      <c r="AE121" s="76" t="s">
        <v>46</v>
      </c>
      <c r="AF121" s="76">
        <v>0</v>
      </c>
      <c r="AG121" s="74" t="s">
        <v>48</v>
      </c>
    </row>
    <row r="122" spans="1:33" ht="53.25"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53.25"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62"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53.25"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205"/>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6.7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6.7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53.25"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53.25"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53.25" customHeight="1" x14ac:dyDescent="0.2">
      <c r="A129" s="53">
        <v>226</v>
      </c>
      <c r="B129" s="38">
        <f t="shared" si="27"/>
        <v>2</v>
      </c>
      <c r="C129" s="55" t="s">
        <v>319</v>
      </c>
      <c r="D129" s="39" t="str">
        <f t="shared" si="20"/>
        <v xml:space="preserve">            Other Reactor Plant Equipment</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53.25" customHeight="1" x14ac:dyDescent="0.2">
      <c r="A130" s="53">
        <v>226</v>
      </c>
      <c r="B130" s="38">
        <v>2</v>
      </c>
      <c r="C130" s="55" t="s">
        <v>319</v>
      </c>
      <c r="D130" s="39" t="str">
        <f t="shared" si="20"/>
        <v xml:space="preserve">            Other Reactor Plant Equipment</v>
      </c>
      <c r="E130" s="39" t="s">
        <v>35</v>
      </c>
      <c r="F130" s="39" t="s">
        <v>118</v>
      </c>
      <c r="G130" s="45" t="s">
        <v>119</v>
      </c>
      <c r="H130" s="45"/>
      <c r="I130" s="45"/>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76.25"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3" t="s">
        <v>340</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6.7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6.75" customHeight="1" x14ac:dyDescent="0.2">
      <c r="A133" s="37">
        <v>23</v>
      </c>
      <c r="B133" s="38">
        <f t="shared" si="32"/>
        <v>1</v>
      </c>
      <c r="C133" s="55" t="s">
        <v>333</v>
      </c>
      <c r="D133" s="39" t="str">
        <f t="shared" ref="D133:D164"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6.7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6.7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213" t="s">
        <v>338</v>
      </c>
      <c r="T135" s="213"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76.25"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213" t="s">
        <v>328</v>
      </c>
      <c r="T136" s="213" t="s">
        <v>329</v>
      </c>
      <c r="U136" s="72" t="s">
        <v>330</v>
      </c>
      <c r="V136" s="49"/>
      <c r="W136" s="74" t="s">
        <v>340</v>
      </c>
      <c r="X136" s="77">
        <f>0.9*$J136</f>
        <v>900000</v>
      </c>
      <c r="Y136" s="77">
        <f>1.5*J136</f>
        <v>1500000</v>
      </c>
      <c r="Z136" s="74" t="s">
        <v>44</v>
      </c>
      <c r="AA136" s="76"/>
      <c r="AB136" s="76"/>
      <c r="AC136" s="74"/>
      <c r="AD136" s="76"/>
      <c r="AE136" s="76"/>
      <c r="AF136" s="76"/>
      <c r="AG136" s="74"/>
    </row>
    <row r="137" spans="1:33" ht="26.7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213"/>
      <c r="T137" s="211"/>
      <c r="U137" s="49"/>
      <c r="V137" s="49"/>
      <c r="W137" s="74"/>
      <c r="X137" s="77"/>
      <c r="Y137" s="77"/>
      <c r="Z137" s="74"/>
      <c r="AA137" s="76"/>
      <c r="AB137" s="76"/>
      <c r="AC137" s="74"/>
      <c r="AD137" s="76"/>
      <c r="AE137" s="76"/>
      <c r="AF137" s="76"/>
      <c r="AG137" s="74"/>
    </row>
    <row r="138" spans="1:33" ht="26.7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213" t="s">
        <v>344</v>
      </c>
      <c r="T138" s="213"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26.7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208"/>
      <c r="T139" s="208"/>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6.7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208"/>
      <c r="T140" s="208"/>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6.7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204"/>
      <c r="T141" s="204"/>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6.7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208"/>
      <c r="T142" s="208"/>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6.7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209"/>
      <c r="T143" s="209"/>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6.7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213"/>
      <c r="T144" s="211"/>
      <c r="U144" s="49"/>
      <c r="V144" s="49"/>
      <c r="W144" s="74"/>
      <c r="X144" s="77"/>
      <c r="Y144" s="77"/>
      <c r="Z144" s="74"/>
      <c r="AA144" s="76"/>
      <c r="AB144" s="76"/>
      <c r="AC144" s="74"/>
      <c r="AD144" s="76"/>
      <c r="AE144" s="76"/>
      <c r="AF144" s="76"/>
      <c r="AG144" s="74"/>
    </row>
    <row r="145" spans="1:33" ht="29"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212" t="s">
        <v>354</v>
      </c>
      <c r="T145" s="212"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3" ht="26.7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6.7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6.7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204"/>
      <c r="T148" s="204"/>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6.7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250</v>
      </c>
      <c r="L149" s="49" t="s">
        <v>186</v>
      </c>
      <c r="M149" s="58" t="s">
        <v>365</v>
      </c>
      <c r="N149" s="49"/>
      <c r="O149" s="49"/>
      <c r="P149" s="49"/>
      <c r="Q149" s="65">
        <v>2023</v>
      </c>
      <c r="R149" s="49" t="s">
        <v>219</v>
      </c>
      <c r="S149" s="204"/>
      <c r="T149" s="204"/>
      <c r="U149" s="49"/>
      <c r="V149" s="49"/>
      <c r="W149" s="74" t="s">
        <v>157</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6.75" customHeight="1" x14ac:dyDescent="0.2">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10000</v>
      </c>
      <c r="L150" s="49" t="s">
        <v>186</v>
      </c>
      <c r="M150" s="58" t="s">
        <v>365</v>
      </c>
      <c r="N150" s="49"/>
      <c r="O150" s="49"/>
      <c r="P150" s="49"/>
      <c r="Q150" s="65">
        <v>2009</v>
      </c>
      <c r="R150" s="49" t="s">
        <v>219</v>
      </c>
      <c r="S150" s="205"/>
      <c r="T150" s="205"/>
      <c r="U150" s="49"/>
      <c r="V150" s="49"/>
      <c r="W150" s="74" t="s">
        <v>157</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53.25"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6.75" customHeight="1" x14ac:dyDescent="0.2">
      <c r="A152" s="50">
        <v>30</v>
      </c>
      <c r="B152" s="38">
        <f>IF(ISNUMBER(A152),
    IF(AND(A152=INT(A152), MOD(A152, 10) = 0), 0,
        IF(AND(A152=INT(A152), LEN(A152)=2), 1,
            IF(AND(A152=INT(A152), LEN(A152)=3), 2,
                LEN(A152) - FIND(".", A152) + 2)
        )
    ),
"")</f>
        <v>0</v>
      </c>
      <c r="C152" s="55" t="s">
        <v>370</v>
      </c>
      <c r="D152" s="39" t="str">
        <f t="shared" si="33"/>
        <v>Capitalized Indirect Services Cost</v>
      </c>
      <c r="E152" s="39"/>
      <c r="F152" s="39"/>
      <c r="G152" s="39"/>
      <c r="H152" s="39"/>
      <c r="I152" s="39"/>
      <c r="J152" s="67"/>
      <c r="K152" s="51"/>
      <c r="L152" s="50"/>
      <c r="M152" s="50"/>
      <c r="N152" s="50"/>
      <c r="O152" s="50"/>
      <c r="P152" s="50"/>
      <c r="Q152" s="67"/>
      <c r="R152" s="50"/>
      <c r="S152" s="215"/>
      <c r="T152" s="50"/>
      <c r="U152" s="50"/>
      <c r="V152" s="50"/>
      <c r="W152" s="74"/>
      <c r="X152" s="77"/>
      <c r="Y152" s="77"/>
      <c r="Z152" s="74"/>
      <c r="AA152" s="76"/>
      <c r="AB152" s="76"/>
      <c r="AC152" s="74"/>
      <c r="AD152" s="76"/>
      <c r="AE152" s="76"/>
      <c r="AF152" s="76"/>
      <c r="AG152" s="74"/>
    </row>
    <row r="153" spans="1:33" ht="51.75" customHeight="1" x14ac:dyDescent="0.2">
      <c r="A153" s="50">
        <v>31</v>
      </c>
      <c r="B153" s="38">
        <v>1</v>
      </c>
      <c r="C153" s="55" t="s">
        <v>371</v>
      </c>
      <c r="D153" s="39" t="str">
        <f t="shared" si="33"/>
        <v xml:space="preserve">      Factory &amp; field indirect costs</v>
      </c>
      <c r="E153" s="39"/>
      <c r="F153" s="39"/>
      <c r="G153" s="39"/>
      <c r="H153" s="39"/>
      <c r="I153" s="39"/>
      <c r="J153" s="67"/>
      <c r="K153" s="68"/>
      <c r="L153" s="49"/>
      <c r="M153" s="58"/>
      <c r="N153" s="50"/>
      <c r="O153" s="50"/>
      <c r="P153" s="50"/>
      <c r="Q153" s="65"/>
      <c r="R153" s="49"/>
      <c r="S153" s="215"/>
      <c r="T153" s="50"/>
      <c r="U153" s="50"/>
      <c r="V153" s="50"/>
      <c r="W153" s="74"/>
      <c r="X153" s="77"/>
      <c r="Y153" s="77"/>
      <c r="Z153" s="74"/>
      <c r="AA153" s="76"/>
      <c r="AB153" s="76"/>
      <c r="AC153" s="74"/>
      <c r="AD153" s="76"/>
      <c r="AE153" s="76"/>
      <c r="AF153" s="76"/>
      <c r="AG153" s="74"/>
    </row>
    <row r="154" spans="1:33" ht="26.75" customHeight="1" x14ac:dyDescent="0.2">
      <c r="A154" s="50">
        <v>32</v>
      </c>
      <c r="B154" s="38">
        <v>1</v>
      </c>
      <c r="C154" s="55" t="s">
        <v>372</v>
      </c>
      <c r="D154" s="39" t="str">
        <f t="shared" si="33"/>
        <v xml:space="preserve">      Factory and construction supervision</v>
      </c>
      <c r="E154" s="39"/>
      <c r="F154" s="39"/>
      <c r="G154" s="39"/>
      <c r="H154" s="39"/>
      <c r="I154" s="39"/>
      <c r="J154" s="67"/>
      <c r="K154" s="51"/>
      <c r="L154" s="50"/>
      <c r="M154" s="50"/>
      <c r="N154" s="50"/>
      <c r="O154" s="50"/>
      <c r="P154" s="50"/>
      <c r="Q154" s="65"/>
      <c r="R154" s="49"/>
      <c r="S154" s="215"/>
      <c r="T154" s="50"/>
      <c r="U154" s="50"/>
      <c r="V154" s="50"/>
      <c r="W154" s="74"/>
      <c r="X154" s="77"/>
      <c r="Y154" s="77"/>
      <c r="Z154" s="74"/>
      <c r="AA154" s="76"/>
      <c r="AB154" s="76"/>
      <c r="AC154" s="74"/>
      <c r="AD154" s="76"/>
      <c r="AE154" s="76"/>
      <c r="AF154" s="76"/>
      <c r="AG154" s="74"/>
    </row>
    <row r="155" spans="1:33" ht="26.75" customHeight="1" x14ac:dyDescent="0.2">
      <c r="A155" s="37">
        <v>33</v>
      </c>
      <c r="B155" s="38">
        <f t="shared" ref="B155:B169" si="42">IF(ISNUMBER(A155),
IF(AND(A155=INT(A155), MOD(A155, 10) = 0), 0,
IF(AND(A155=INT(A155), LEN(A155)=2), 1,
IF(AND(A155=INT(A155), LEN(A155)=3), 2,
LEN(A155) - FIND(".", A155) + 2)
)
),
"")</f>
        <v>1</v>
      </c>
      <c r="C155" s="55" t="s">
        <v>373</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73</v>
      </c>
      <c r="S155" s="207" t="s">
        <v>320</v>
      </c>
      <c r="T155" s="46"/>
      <c r="U155" s="46"/>
      <c r="V155" s="46"/>
      <c r="W155" s="74" t="s">
        <v>77</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53.25" customHeight="1" x14ac:dyDescent="0.2">
      <c r="A156" s="37">
        <v>34</v>
      </c>
      <c r="B156" s="38">
        <f t="shared" si="42"/>
        <v>1</v>
      </c>
      <c r="C156" s="55" t="s">
        <v>374</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73</v>
      </c>
      <c r="S156" s="204"/>
      <c r="T156" s="46"/>
      <c r="U156" s="46"/>
      <c r="V156" s="46"/>
      <c r="W156" s="74" t="s">
        <v>77</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6.75" customHeight="1" x14ac:dyDescent="0.2">
      <c r="A157" s="37">
        <v>35</v>
      </c>
      <c r="B157" s="38">
        <f t="shared" si="42"/>
        <v>1</v>
      </c>
      <c r="C157" s="55" t="s">
        <v>375</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4"/>
      <c r="T157" s="49"/>
      <c r="U157" s="49"/>
      <c r="V157" s="49"/>
      <c r="W157" s="74" t="s">
        <v>77</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6.75" customHeight="1" x14ac:dyDescent="0.2">
      <c r="A158" s="37">
        <v>36</v>
      </c>
      <c r="B158" s="38">
        <f t="shared" si="42"/>
        <v>1</v>
      </c>
      <c r="C158" s="55" t="s">
        <v>376</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5"/>
      <c r="T158" s="49"/>
      <c r="U158" s="49"/>
      <c r="V158" s="49"/>
      <c r="W158" s="74" t="s">
        <v>77</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6.75" customHeight="1" x14ac:dyDescent="0.2">
      <c r="A159" s="37">
        <v>40</v>
      </c>
      <c r="B159" s="38">
        <f t="shared" si="42"/>
        <v>0</v>
      </c>
      <c r="C159" s="55" t="s">
        <v>377</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6.75" customHeight="1" x14ac:dyDescent="0.2">
      <c r="A160" s="37">
        <v>41</v>
      </c>
      <c r="B160" s="38">
        <f t="shared" si="42"/>
        <v>1</v>
      </c>
      <c r="C160" s="55" t="s">
        <v>378</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379</v>
      </c>
      <c r="U160" s="49" t="s">
        <v>380</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6.75" customHeight="1" x14ac:dyDescent="0.2">
      <c r="A161" s="50">
        <v>60</v>
      </c>
      <c r="B161" s="38">
        <f t="shared" si="42"/>
        <v>0</v>
      </c>
      <c r="C161" s="55" t="s">
        <v>381</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6.75" customHeight="1" x14ac:dyDescent="0.2">
      <c r="A162" s="37">
        <v>62</v>
      </c>
      <c r="B162" s="38">
        <f t="shared" si="42"/>
        <v>1</v>
      </c>
      <c r="C162" s="55" t="s">
        <v>382</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6.75" customHeight="1" x14ac:dyDescent="0.2">
      <c r="A163" s="37">
        <v>70</v>
      </c>
      <c r="B163" s="38">
        <f t="shared" si="42"/>
        <v>0</v>
      </c>
      <c r="C163" s="69" t="s">
        <v>383</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6.75" customHeight="1" x14ac:dyDescent="0.2">
      <c r="A164" s="37">
        <v>71</v>
      </c>
      <c r="B164" s="38">
        <f t="shared" si="42"/>
        <v>1</v>
      </c>
      <c r="C164" s="55" t="s">
        <v>384</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126.25" customHeight="1" x14ac:dyDescent="0.2">
      <c r="A165" s="53">
        <v>711</v>
      </c>
      <c r="B165" s="38">
        <f t="shared" si="42"/>
        <v>2</v>
      </c>
      <c r="C165" s="55" t="s">
        <v>385</v>
      </c>
      <c r="D165" s="39" t="str">
        <f t="shared" ref="D165:D192" si="43">REPT("   ", B165*2) &amp; C165</f>
        <v xml:space="preserve">            Operators </v>
      </c>
      <c r="E165" s="39" t="s">
        <v>268</v>
      </c>
      <c r="F165" s="39"/>
      <c r="G165" s="39"/>
      <c r="H165" s="39"/>
      <c r="I165" s="39"/>
      <c r="J165" s="43"/>
      <c r="K165" s="60">
        <v>178500</v>
      </c>
      <c r="L165" s="49" t="s">
        <v>386</v>
      </c>
      <c r="M165" s="58" t="s">
        <v>387</v>
      </c>
      <c r="N165" s="49"/>
      <c r="O165" s="49"/>
      <c r="P165" s="49">
        <v>1</v>
      </c>
      <c r="Q165" s="65">
        <v>2024</v>
      </c>
      <c r="R165" s="49" t="s">
        <v>53</v>
      </c>
      <c r="S165" s="58"/>
      <c r="T165" s="58" t="s">
        <v>388</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53.25" customHeight="1" x14ac:dyDescent="0.2">
      <c r="A166" s="53">
        <v>712</v>
      </c>
      <c r="B166" s="38">
        <f t="shared" si="42"/>
        <v>2</v>
      </c>
      <c r="C166" s="55" t="s">
        <v>389</v>
      </c>
      <c r="D166" s="39" t="str">
        <f t="shared" si="43"/>
        <v xml:space="preserve">            Remote Monitoring Technicians </v>
      </c>
      <c r="E166" s="39" t="s">
        <v>268</v>
      </c>
      <c r="F166" s="39" t="s">
        <v>390</v>
      </c>
      <c r="G166" s="39" t="s">
        <v>391</v>
      </c>
      <c r="H166" s="39"/>
      <c r="I166" s="39"/>
      <c r="J166" s="43"/>
      <c r="K166" s="60">
        <v>178500</v>
      </c>
      <c r="L166" s="49" t="s">
        <v>386</v>
      </c>
      <c r="M166" s="58" t="s">
        <v>392</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51" customHeight="1" x14ac:dyDescent="0.2">
      <c r="A167" s="53">
        <v>713</v>
      </c>
      <c r="B167" s="38">
        <f t="shared" si="42"/>
        <v>2</v>
      </c>
      <c r="C167" s="55" t="s">
        <v>393</v>
      </c>
      <c r="D167" s="39" t="str">
        <f t="shared" si="43"/>
        <v xml:space="preserve">            Security Staff </v>
      </c>
      <c r="E167" s="39" t="s">
        <v>268</v>
      </c>
      <c r="F167" s="39"/>
      <c r="G167" s="39"/>
      <c r="H167" s="39"/>
      <c r="I167" s="39"/>
      <c r="J167" s="43"/>
      <c r="K167" s="60">
        <v>178500</v>
      </c>
      <c r="L167" s="49" t="s">
        <v>386</v>
      </c>
      <c r="M167" s="58" t="s">
        <v>394</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6.75" customHeight="1" x14ac:dyDescent="0.2">
      <c r="A168" s="37">
        <v>72</v>
      </c>
      <c r="B168" s="38">
        <f t="shared" si="42"/>
        <v>1</v>
      </c>
      <c r="C168" s="55" t="s">
        <v>395</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101.25" customHeight="1" x14ac:dyDescent="0.2">
      <c r="A169" s="37">
        <v>721</v>
      </c>
      <c r="B169" s="38">
        <f t="shared" si="42"/>
        <v>2</v>
      </c>
      <c r="C169" s="55" t="s">
        <v>302</v>
      </c>
      <c r="D169" s="39" t="str">
        <f t="shared" si="43"/>
        <v xml:space="preserve">            Coolant</v>
      </c>
      <c r="E169" s="39" t="s">
        <v>268</v>
      </c>
      <c r="F169" s="39" t="s">
        <v>302</v>
      </c>
      <c r="G169" s="39" t="s">
        <v>303</v>
      </c>
      <c r="H169" s="39"/>
      <c r="I169" s="39"/>
      <c r="J169" s="43"/>
      <c r="K169" s="60">
        <v>170</v>
      </c>
      <c r="L169" s="49" t="s">
        <v>186</v>
      </c>
      <c r="M169" s="58" t="s">
        <v>396</v>
      </c>
      <c r="N169" s="49"/>
      <c r="O169" s="49" t="s">
        <v>188</v>
      </c>
      <c r="P169" s="49"/>
      <c r="Q169" s="65">
        <v>2024</v>
      </c>
      <c r="R169" s="49" t="s">
        <v>219</v>
      </c>
      <c r="S169" s="58" t="s">
        <v>305</v>
      </c>
      <c r="T169" s="62" t="s">
        <v>305</v>
      </c>
      <c r="U169" s="80" t="s">
        <v>306</v>
      </c>
      <c r="V169" s="49" t="s">
        <v>307</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51.75" customHeight="1" x14ac:dyDescent="0.2">
      <c r="A170" s="37">
        <v>721</v>
      </c>
      <c r="B170" s="38">
        <f>IF(ISNUMBER(A170),
    IF(AND(A170=INT(A170), MOD(A170, 10) = 0), 0,
        IF(AND(A170=INT(A170), LEN(A170)=2), 1,
            IF(AND(A170=INT(A170), LEN(A170)=3), 2,
                LEN(A170) - FIND(".", A170) + 2)
        )
    ),
"")</f>
        <v>2</v>
      </c>
      <c r="C170" s="55" t="s">
        <v>302</v>
      </c>
      <c r="D170" s="39" t="str">
        <f t="shared" si="43"/>
        <v xml:space="preserve">            Coolant</v>
      </c>
      <c r="E170" s="39" t="s">
        <v>268</v>
      </c>
      <c r="F170" s="39" t="s">
        <v>302</v>
      </c>
      <c r="G170" s="39" t="s">
        <v>308</v>
      </c>
      <c r="H170" s="39"/>
      <c r="I170" s="39"/>
      <c r="J170" s="43"/>
      <c r="K170" s="60">
        <v>118</v>
      </c>
      <c r="L170" s="49" t="s">
        <v>186</v>
      </c>
      <c r="M170" s="58" t="s">
        <v>396</v>
      </c>
      <c r="N170" s="49"/>
      <c r="O170" s="49" t="s">
        <v>188</v>
      </c>
      <c r="P170" s="49"/>
      <c r="Q170" s="65">
        <v>2023</v>
      </c>
      <c r="R170" s="49" t="s">
        <v>219</v>
      </c>
      <c r="S170" s="213" t="s">
        <v>397</v>
      </c>
      <c r="T170" s="212"/>
      <c r="U170" s="80"/>
      <c r="V170" s="211" t="s">
        <v>398</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75.75" customHeight="1" x14ac:dyDescent="0.2">
      <c r="A171" s="37">
        <v>73</v>
      </c>
      <c r="B171" s="38">
        <f t="shared" ref="B171:B179" si="44">IF(ISNUMBER(A171),
IF(AND(A171=INT(A171), MOD(A171, 10) = 0), 0,
IF(AND(A171=INT(A171), LEN(A171)=2), 1,
IF(AND(A171=INT(A171), LEN(A171)=3), 2,
LEN(A171) - FIND(".", A171) + 2)
)
),
"")</f>
        <v>1</v>
      </c>
      <c r="C171" s="55" t="s">
        <v>399</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213" t="s">
        <v>400</v>
      </c>
      <c r="T171" s="212" t="s">
        <v>401</v>
      </c>
      <c r="U171" s="80" t="s">
        <v>401</v>
      </c>
      <c r="V171" s="211"/>
      <c r="W171" s="3" t="s">
        <v>59</v>
      </c>
      <c r="X171" s="77">
        <f>0.9*$J171</f>
        <v>96462</v>
      </c>
      <c r="Y171" s="77">
        <f>1.5*J171</f>
        <v>160770</v>
      </c>
      <c r="Z171" s="74" t="s">
        <v>44</v>
      </c>
      <c r="AA171" s="76"/>
      <c r="AB171" s="76"/>
      <c r="AC171" s="74"/>
      <c r="AD171" s="76"/>
      <c r="AE171" s="76"/>
      <c r="AF171" s="76"/>
      <c r="AG171" s="74"/>
    </row>
    <row r="172" spans="1:33" ht="225.75" customHeight="1" x14ac:dyDescent="0.2">
      <c r="A172" s="37">
        <v>75</v>
      </c>
      <c r="B172" s="38">
        <f t="shared" si="44"/>
        <v>1</v>
      </c>
      <c r="C172" s="55" t="s">
        <v>402</v>
      </c>
      <c r="D172" s="39" t="str">
        <f t="shared" si="43"/>
        <v xml:space="preserve">      Capital Plant Expenditures</v>
      </c>
      <c r="E172" s="39"/>
      <c r="F172" s="39"/>
      <c r="G172" s="39"/>
      <c r="H172" s="39"/>
      <c r="I172" s="39"/>
      <c r="J172" s="43"/>
      <c r="K172" s="60"/>
      <c r="L172" s="49"/>
      <c r="M172" s="58"/>
      <c r="N172" s="49"/>
      <c r="O172" s="49"/>
      <c r="P172" s="49"/>
      <c r="Q172" s="65"/>
      <c r="R172" s="49"/>
      <c r="S172" s="213" t="s">
        <v>403</v>
      </c>
      <c r="T172" s="213" t="s">
        <v>403</v>
      </c>
      <c r="U172" s="49"/>
      <c r="V172" s="213" t="s">
        <v>404</v>
      </c>
      <c r="W172" s="74"/>
      <c r="X172" s="77"/>
      <c r="Y172" s="77"/>
      <c r="Z172" s="74"/>
      <c r="AA172" s="76"/>
      <c r="AB172" s="76"/>
      <c r="AC172" s="74"/>
      <c r="AD172" s="76"/>
      <c r="AE172" s="76"/>
      <c r="AF172" s="76"/>
      <c r="AG172" s="74"/>
    </row>
    <row r="173" spans="1:33" ht="22.75" customHeight="1" x14ac:dyDescent="0.2">
      <c r="A173" s="37">
        <v>751</v>
      </c>
      <c r="B173" s="38">
        <f t="shared" si="44"/>
        <v>2</v>
      </c>
      <c r="C173" s="55" t="s">
        <v>405</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403</v>
      </c>
      <c r="T173" s="212" t="s">
        <v>403</v>
      </c>
      <c r="U173" s="49"/>
      <c r="V173" s="212" t="s">
        <v>404</v>
      </c>
      <c r="W173" s="74"/>
      <c r="X173" s="77"/>
      <c r="Y173" s="77"/>
      <c r="Z173" s="74"/>
      <c r="AA173" s="76"/>
      <c r="AB173" s="76"/>
      <c r="AC173" s="74"/>
      <c r="AD173" s="76"/>
      <c r="AE173" s="76"/>
      <c r="AF173" s="76"/>
      <c r="AG173" s="74"/>
    </row>
    <row r="174" spans="1:33" ht="26.75" customHeight="1" x14ac:dyDescent="0.2">
      <c r="A174" s="37">
        <v>752</v>
      </c>
      <c r="B174" s="38">
        <f t="shared" si="44"/>
        <v>2</v>
      </c>
      <c r="C174" s="55" t="s">
        <v>406</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6.75" customHeight="1" x14ac:dyDescent="0.2">
      <c r="A175" s="37">
        <v>753</v>
      </c>
      <c r="B175" s="38">
        <f t="shared" si="44"/>
        <v>2</v>
      </c>
      <c r="C175" s="55" t="s">
        <v>407</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6.75" customHeight="1" x14ac:dyDescent="0.2">
      <c r="A176" s="37">
        <v>754</v>
      </c>
      <c r="B176" s="38">
        <f t="shared" si="44"/>
        <v>2</v>
      </c>
      <c r="C176" s="55" t="s">
        <v>408</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51.75" customHeight="1" x14ac:dyDescent="0.2">
      <c r="A177" s="37">
        <v>755</v>
      </c>
      <c r="B177" s="38">
        <f t="shared" si="44"/>
        <v>2</v>
      </c>
      <c r="C177" s="55" t="s">
        <v>409</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4"/>
      <c r="T177" s="204"/>
      <c r="U177" s="49"/>
      <c r="V177" s="204"/>
      <c r="W177" s="74"/>
      <c r="X177" s="77"/>
      <c r="Y177" s="77"/>
      <c r="Z177" s="74"/>
      <c r="AA177" s="76"/>
      <c r="AB177" s="76"/>
      <c r="AC177" s="74"/>
      <c r="AD177" s="76"/>
      <c r="AE177" s="76"/>
      <c r="AF177" s="76"/>
      <c r="AG177" s="74"/>
    </row>
    <row r="178" spans="1:33" ht="45.25" customHeight="1" x14ac:dyDescent="0.2">
      <c r="A178" s="37">
        <v>757</v>
      </c>
      <c r="B178" s="38">
        <f t="shared" si="44"/>
        <v>2</v>
      </c>
      <c r="C178" s="55" t="s">
        <v>410</v>
      </c>
      <c r="D178" s="39" t="str">
        <f t="shared" si="43"/>
        <v xml:space="preserve">            Annualized Moderator Booster Replacements</v>
      </c>
      <c r="E178" s="39"/>
      <c r="F178" s="39"/>
      <c r="G178" s="39"/>
      <c r="H178" s="39"/>
      <c r="I178" s="39"/>
      <c r="J178" s="43"/>
      <c r="K178" s="60"/>
      <c r="L178" s="49"/>
      <c r="M178" s="58"/>
      <c r="N178" s="49"/>
      <c r="O178" s="49"/>
      <c r="P178" s="49"/>
      <c r="Q178" s="65"/>
      <c r="R178" s="49"/>
      <c r="S178" s="204"/>
      <c r="T178" s="204"/>
      <c r="U178" s="49"/>
      <c r="V178" s="204"/>
      <c r="W178" s="74"/>
      <c r="X178" s="77"/>
      <c r="Y178" s="77"/>
      <c r="Z178" s="74"/>
      <c r="AA178" s="76"/>
      <c r="AB178" s="76"/>
      <c r="AC178" s="74"/>
      <c r="AD178" s="76"/>
      <c r="AE178" s="76"/>
      <c r="AF178" s="76"/>
      <c r="AG178" s="74"/>
    </row>
    <row r="179" spans="1:33" ht="45.25" customHeight="1" x14ac:dyDescent="0.2">
      <c r="A179" s="37">
        <v>759</v>
      </c>
      <c r="B179" s="38">
        <f t="shared" si="44"/>
        <v>2</v>
      </c>
      <c r="C179" s="55" t="s">
        <v>411</v>
      </c>
      <c r="D179" s="39" t="str">
        <f t="shared" si="43"/>
        <v xml:space="preserve">            Annualized Plant Maintenance (Misc.)</v>
      </c>
      <c r="E179" s="39"/>
      <c r="F179" s="39"/>
      <c r="G179" s="39"/>
      <c r="H179" s="39"/>
      <c r="I179" s="39"/>
      <c r="J179" s="43"/>
      <c r="K179" s="60"/>
      <c r="L179" s="49"/>
      <c r="M179" s="58"/>
      <c r="N179" s="49"/>
      <c r="O179" s="49"/>
      <c r="P179" s="49"/>
      <c r="Q179" s="65"/>
      <c r="R179" s="49"/>
      <c r="S179" s="205"/>
      <c r="T179" s="205"/>
      <c r="U179" s="49"/>
      <c r="V179" s="205"/>
      <c r="W179" s="74"/>
      <c r="X179" s="77"/>
      <c r="Y179" s="77"/>
      <c r="Z179" s="74"/>
      <c r="AA179" s="76"/>
      <c r="AB179" s="76"/>
      <c r="AC179" s="74"/>
      <c r="AD179" s="76"/>
      <c r="AE179" s="76"/>
      <c r="AF179" s="76"/>
      <c r="AG179" s="74"/>
    </row>
    <row r="180" spans="1:33" ht="56" customHeight="1" x14ac:dyDescent="0.2">
      <c r="A180" s="37">
        <v>759.1</v>
      </c>
      <c r="B180" s="38">
        <f t="shared" ref="B180:B187" si="45">IF(ISNUMBER(A180),IF(AND(A180=INT(A180),MOD(A180,10)=0),0,IF(AND(A180=INT(A180),LEN(A180)=2),1,IF(AND(A180=INT(A180),LEN(A180)=3),2,LEN(A180)-FIND(".",A180)+2))),"")</f>
        <v>3</v>
      </c>
      <c r="C180" s="55" t="s">
        <v>412</v>
      </c>
      <c r="D180" s="39" t="str">
        <f t="shared" ref="D180:D187" si="46">REPT("   ",B180*2)&amp;C180</f>
        <v xml:space="preserve">                  Annualized Building and Structural Maintenance (Accounts 212–215)</v>
      </c>
      <c r="E180" s="39"/>
      <c r="F180" s="39"/>
      <c r="G180" s="39"/>
      <c r="H180" s="39"/>
      <c r="I180" s="39"/>
      <c r="J180" s="43"/>
      <c r="K180" s="60"/>
      <c r="L180" s="49"/>
      <c r="M180" s="58"/>
      <c r="N180" s="49"/>
      <c r="O180" s="49"/>
      <c r="P180" s="49"/>
      <c r="Q180" s="65"/>
      <c r="R180" s="49"/>
      <c r="S180" s="205"/>
      <c r="T180" s="205"/>
      <c r="U180" s="49"/>
      <c r="V180" s="205"/>
      <c r="W180" s="74"/>
      <c r="X180" s="77"/>
      <c r="Y180" s="77"/>
      <c r="Z180" s="74"/>
      <c r="AA180" s="76"/>
      <c r="AB180" s="76"/>
      <c r="AC180" s="74"/>
      <c r="AD180" s="76"/>
      <c r="AE180" s="76"/>
      <c r="AF180" s="76"/>
      <c r="AG180" s="74"/>
    </row>
    <row r="181" spans="1:33" ht="56" customHeight="1" x14ac:dyDescent="0.2">
      <c r="A181" s="37">
        <v>759.2</v>
      </c>
      <c r="B181" s="38">
        <f t="shared" si="45"/>
        <v>3</v>
      </c>
      <c r="C181" s="55" t="s">
        <v>413</v>
      </c>
      <c r="D181" s="39" t="str">
        <f t="shared" si="46"/>
        <v xml:space="preserve">                  Annualized Main Heat Transport System Maintenance (Accounts 222.1–222.3 and 222.6)</v>
      </c>
      <c r="E181" s="39"/>
      <c r="F181" s="39"/>
      <c r="G181" s="39"/>
      <c r="H181" s="39"/>
      <c r="I181" s="39"/>
      <c r="J181" s="43"/>
      <c r="K181" s="60"/>
      <c r="L181" s="49"/>
      <c r="M181" s="58"/>
      <c r="N181" s="49"/>
      <c r="O181" s="49"/>
      <c r="P181" s="49"/>
      <c r="Q181" s="65"/>
      <c r="R181" s="49"/>
      <c r="S181" s="205"/>
      <c r="T181" s="205"/>
      <c r="U181" s="49"/>
      <c r="V181" s="205"/>
      <c r="W181" s="74"/>
      <c r="X181" s="77"/>
      <c r="Y181" s="77"/>
      <c r="Z181" s="74"/>
      <c r="AA181" s="76"/>
      <c r="AB181" s="76"/>
      <c r="AC181" s="74"/>
      <c r="AD181" s="76"/>
      <c r="AE181" s="76"/>
      <c r="AF181" s="76"/>
      <c r="AG181" s="74"/>
    </row>
    <row r="182" spans="1:33" ht="56" customHeight="1" x14ac:dyDescent="0.2">
      <c r="A182" s="37">
        <v>759.3</v>
      </c>
      <c r="B182" s="38">
        <f t="shared" si="45"/>
        <v>3</v>
      </c>
      <c r="C182" s="55" t="s">
        <v>414</v>
      </c>
      <c r="D182" s="39" t="str">
        <f t="shared" si="46"/>
        <v xml:space="preserve">                  Annualized Safety System Maintenance (Account 223)</v>
      </c>
      <c r="E182" s="39"/>
      <c r="F182" s="39"/>
      <c r="G182" s="39"/>
      <c r="H182" s="39"/>
      <c r="I182" s="39"/>
      <c r="J182" s="43"/>
      <c r="K182" s="60"/>
      <c r="L182" s="49"/>
      <c r="M182" s="58"/>
      <c r="N182" s="49"/>
      <c r="O182" s="49"/>
      <c r="P182" s="49"/>
      <c r="Q182" s="65"/>
      <c r="R182" s="49"/>
      <c r="S182" s="205"/>
      <c r="T182" s="205"/>
      <c r="U182" s="49"/>
      <c r="V182" s="205"/>
      <c r="W182" s="74"/>
      <c r="X182" s="77"/>
      <c r="Y182" s="77"/>
      <c r="Z182" s="74"/>
      <c r="AA182" s="76"/>
      <c r="AB182" s="76"/>
      <c r="AC182" s="74"/>
      <c r="AD182" s="76"/>
      <c r="AE182" s="76"/>
      <c r="AF182" s="76"/>
      <c r="AG182" s="74"/>
    </row>
    <row r="183" spans="1:33" ht="56" customHeight="1" x14ac:dyDescent="0.2">
      <c r="A183" s="37">
        <v>759.4</v>
      </c>
      <c r="B183" s="38">
        <f t="shared" si="45"/>
        <v>3</v>
      </c>
      <c r="C183" s="55" t="s">
        <v>415</v>
      </c>
      <c r="D183" s="39" t="str">
        <f t="shared" si="46"/>
        <v xml:space="preserve">                  Annualized Reactor Plant Equipment Maintenance (Accounts 221.11, 226, and 228)</v>
      </c>
      <c r="E183" s="39"/>
      <c r="F183" s="39"/>
      <c r="G183" s="39"/>
      <c r="H183" s="39"/>
      <c r="I183" s="39"/>
      <c r="J183" s="43"/>
      <c r="K183" s="60"/>
      <c r="L183" s="49"/>
      <c r="M183" s="58"/>
      <c r="N183" s="49"/>
      <c r="O183" s="49"/>
      <c r="P183" s="49"/>
      <c r="Q183" s="65"/>
      <c r="R183" s="49"/>
      <c r="S183" s="205"/>
      <c r="T183" s="205"/>
      <c r="U183" s="49"/>
      <c r="V183" s="205"/>
      <c r="W183" s="74"/>
      <c r="X183" s="77"/>
      <c r="Y183" s="77"/>
      <c r="Z183" s="74"/>
      <c r="AA183" s="76"/>
      <c r="AB183" s="76"/>
      <c r="AC183" s="74"/>
      <c r="AD183" s="76"/>
      <c r="AE183" s="76"/>
      <c r="AF183" s="76"/>
      <c r="AG183" s="74"/>
    </row>
    <row r="184" spans="1:33" ht="56" customHeight="1" x14ac:dyDescent="0.2">
      <c r="A184" s="37">
        <v>759.5</v>
      </c>
      <c r="B184" s="38">
        <f t="shared" si="45"/>
        <v>3</v>
      </c>
      <c r="C184" s="55" t="s">
        <v>416</v>
      </c>
      <c r="D184" s="39" t="str">
        <f t="shared" si="46"/>
        <v xml:space="preserve">                  Annualized Reactor I&amp;C Maintenance (Account 227)</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x14ac:dyDescent="0.2">
      <c r="A185" s="37">
        <v>759.6</v>
      </c>
      <c r="B185" s="38">
        <f t="shared" si="45"/>
        <v>3</v>
      </c>
      <c r="C185" s="55" t="s">
        <v>417</v>
      </c>
      <c r="D185" s="39" t="str">
        <f t="shared" si="46"/>
        <v xml:space="preserve">                  Annualized Energy Conversion System Maintenance (Account 23)</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x14ac:dyDescent="0.2">
      <c r="A186" s="37">
        <v>759.7</v>
      </c>
      <c r="B186" s="38">
        <f t="shared" si="45"/>
        <v>3</v>
      </c>
      <c r="C186" s="55" t="s">
        <v>418</v>
      </c>
      <c r="D186" s="39" t="str">
        <f t="shared" si="46"/>
        <v xml:space="preserve">                  Annualized Electrical Equipment Maintenance (Account 24)</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x14ac:dyDescent="0.2">
      <c r="A187" s="37">
        <v>759.8</v>
      </c>
      <c r="B187" s="38">
        <f t="shared" si="45"/>
        <v>3</v>
      </c>
      <c r="C187" s="55" t="s">
        <v>419</v>
      </c>
      <c r="D187" s="39" t="str">
        <f t="shared" si="46"/>
        <v xml:space="preserve">                  Annualized Miscellaneous Equipment Maintenance (Account 26)</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3.25" customHeight="1" x14ac:dyDescent="0.2">
      <c r="A188" s="37">
        <v>78</v>
      </c>
      <c r="B188" s="38">
        <f>IF(ISNUMBER(A188),
    IF(AND(A188=INT(A188), MOD(A188, 10) = 0), 0,
        IF(AND(A188=INT(A188), LEN(A188)=2), 1,
            IF(AND(A188=INT(A188), LEN(A188)=3), 2,
                LEN(A188) - FIND(".", A188) + 2)
        )
    ),
"")</f>
        <v>1</v>
      </c>
      <c r="C188" s="55" t="s">
        <v>420</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421</v>
      </c>
      <c r="W188" s="74"/>
      <c r="X188" s="77"/>
      <c r="Y188" s="77"/>
      <c r="Z188" s="74"/>
      <c r="AA188" s="76"/>
      <c r="AB188" s="76"/>
      <c r="AC188" s="74"/>
      <c r="AD188" s="76"/>
      <c r="AE188" s="76"/>
      <c r="AF188" s="76"/>
      <c r="AG188" s="74"/>
    </row>
    <row r="189" spans="1:33" ht="26.75" customHeight="1" x14ac:dyDescent="0.2">
      <c r="A189" s="37">
        <v>80</v>
      </c>
      <c r="B189" s="38">
        <f>IF(ISNUMBER(A189),
IF(AND(A189=INT(A189), MOD(A189, 10) = 0), 0,
IF(AND(A189=INT(A189), LEN(A189)=2), 1,
IF(AND(A189=INT(A189), LEN(A189)=3), 2,
LEN(A189) - FIND(".", A189) + 2)
)
),
"")</f>
        <v>0</v>
      </c>
      <c r="C189" s="69" t="s">
        <v>422</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151" customHeight="1" x14ac:dyDescent="0.2">
      <c r="A190" s="37">
        <v>81</v>
      </c>
      <c r="B190" s="38">
        <f>IF(ISNUMBER(A190),
IF(AND(A190=INT(A190), MOD(A190, 10) = 0), 0,
IF(AND(A190=INT(A190), LEN(A190)=2), 1,
IF(AND(A190=INT(A190), LEN(A190)=3), 2,
LEN(A190) - FIND(".", A190) + 2)
)
),
"")</f>
        <v>1</v>
      </c>
      <c r="C190" s="55" t="s">
        <v>423</v>
      </c>
      <c r="D190" s="39" t="str">
        <f t="shared" si="43"/>
        <v xml:space="preserve">      Refueling Operations</v>
      </c>
      <c r="E190" s="39" t="s">
        <v>268</v>
      </c>
      <c r="F190" s="39"/>
      <c r="G190" s="39"/>
      <c r="H190" s="39"/>
      <c r="I190" s="39"/>
      <c r="J190" s="43"/>
      <c r="K190" s="60">
        <v>178500</v>
      </c>
      <c r="L190" s="49" t="s">
        <v>386</v>
      </c>
      <c r="M190" s="58" t="s">
        <v>387</v>
      </c>
      <c r="N190" s="49"/>
      <c r="O190" s="49"/>
      <c r="P190" s="49">
        <v>1</v>
      </c>
      <c r="Q190" s="65">
        <v>2024</v>
      </c>
      <c r="R190" s="49" t="s">
        <v>53</v>
      </c>
      <c r="S190" s="58"/>
      <c r="T190" s="58" t="s">
        <v>388</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26.75" customHeight="1" x14ac:dyDescent="0.2">
      <c r="A191" s="37">
        <v>82</v>
      </c>
      <c r="B191" s="38">
        <f>IF(ISNUMBER(A191),
IF(AND(A191=INT(A191), MOD(A191, 10) = 0), 0,
IF(AND(A191=INT(A191), LEN(A191)=2), 1,
IF(AND(A191=INT(A191), LEN(A191)=3), 2,
LEN(A191) - FIND(".", A191) + 2)
)
),
"")</f>
        <v>1</v>
      </c>
      <c r="C191" s="55" t="s">
        <v>424</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51.75" customHeight="1" x14ac:dyDescent="0.2">
      <c r="A192" s="37">
        <v>83</v>
      </c>
      <c r="B192" s="38">
        <f>IF(ISNUMBER(A192),
IF(AND(A192=INT(A192), MOD(A192, 10) = 0), 0,
IF(AND(A192=INT(A192), LEN(A192)=2), 1,
IF(AND(A192=INT(A192), LEN(A192)=3), 2,
LEN(A192) - FIND(".", A192) + 2)
)
),
"")</f>
        <v>1</v>
      </c>
      <c r="C192" s="55" t="s">
        <v>425</v>
      </c>
      <c r="D192" s="39" t="str">
        <f t="shared" si="43"/>
        <v xml:space="preserve">      Spent Fuel Management</v>
      </c>
      <c r="E192" s="39" t="s">
        <v>35</v>
      </c>
      <c r="F192" s="39"/>
      <c r="G192" s="39"/>
      <c r="H192" s="39"/>
      <c r="I192" s="39"/>
      <c r="J192" s="43"/>
      <c r="K192" s="60">
        <v>1</v>
      </c>
      <c r="L192" s="49" t="s">
        <v>426</v>
      </c>
      <c r="M192" s="58" t="s">
        <v>427</v>
      </c>
      <c r="N192" s="49"/>
      <c r="O192" s="49"/>
      <c r="P192" s="49">
        <v>1</v>
      </c>
      <c r="Q192" s="65">
        <v>2024</v>
      </c>
      <c r="R192" s="49" t="s">
        <v>86</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T26:T28"/>
    <mergeCell ref="T41:T43"/>
    <mergeCell ref="V106:V107"/>
    <mergeCell ref="T61:T63"/>
    <mergeCell ref="T76:T80"/>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9">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9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9">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9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97">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9">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97 Q190:R197" xr:uid="{00000000-0002-0000-0000-000000000000}">
      <formula1>1950</formula1>
      <formula2>2025</formula2>
    </dataValidation>
    <dataValidation type="decimal" operator="greaterThan" allowBlank="1" showInputMessage="1" showErrorMessage="1" sqref="J2:J127 J130:J131 J134:J141 J145:J189 K2:K9 K11:K48 K52:K54 K57:K59 K61:K63 K67:K79 K84 K94:K104 K106:K147 K149:K189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90:P335" xr:uid="{00000000-0002-0000-0000-000004000000}">
      <formula1>0</formula1>
      <formula2>2</formula2>
    </dataValidation>
    <dataValidation type="decimal" allowBlank="1" showInputMessage="1" showErrorMessage="1" sqref="P2:P80 P82:P134 P141:P197" xr:uid="{00000000-0002-0000-0000-000005000000}">
      <formula1>0</formula1>
      <formula2>2</formula2>
    </dataValidation>
    <dataValidation type="list" allowBlank="1" showInputMessage="1" showErrorMessage="1" sqref="O2:O80 O82:O131 O134 O141:O197" xr:uid="{00000000-0002-0000-0000-000006000000}">
      <formula1>"acres, MWe, m^3, MWt, Kg, Drums, kW, $, m^2, kg/s"</formula1>
    </dataValidation>
    <dataValidation type="list" allowBlank="1" showInputMessage="1" showErrorMessage="1" sqref="L2:L80 L82:L110 L112:L134 L141:L197"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97" xr:uid="{00000000-0002-0000-0000-00000C000000}">
      <formula1>"standard, nonstandard"</formula1>
    </dataValidation>
    <dataValidation type="list" allowBlank="1" showInputMessage="1" showErrorMessage="1" sqref="R2:R197"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5" r:id="rId2" xr:uid="{00000000-0004-0000-0000-000001000000}"/>
    <hyperlink ref="U18" r:id="rId3" xr:uid="{00000000-0004-0000-0000-000002000000}"/>
    <hyperlink ref="U19" r:id="rId4" xr:uid="{00000000-0004-0000-0000-000003000000}"/>
    <hyperlink ref="U33" r:id="rId5" xr:uid="{00000000-0004-0000-0000-000004000000}"/>
    <hyperlink ref="U49" r:id="rId6" xr:uid="{00000000-0004-0000-0000-000005000000}"/>
    <hyperlink ref="U109" r:id="rId7" xr:uid="{00000000-0004-0000-0000-000006000000}"/>
    <hyperlink ref="U120" r:id="rId8" xr:uid="{00000000-0004-0000-0000-000007000000}"/>
    <hyperlink ref="U130" r:id="rId9" xr:uid="{00000000-0004-0000-0000-000008000000}"/>
    <hyperlink ref="U131" r:id="rId10" xr:uid="{00000000-0004-0000-0000-000009000000}"/>
    <hyperlink ref="U135" r:id="rId11" xr:uid="{00000000-0004-0000-0000-00000A000000}"/>
    <hyperlink ref="U136" r:id="rId12" xr:uid="{00000000-0004-0000-0000-00000B000000}"/>
    <hyperlink ref="U169"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22" t="s">
        <v>428</v>
      </c>
      <c r="B1" s="221" t="s">
        <v>3</v>
      </c>
      <c r="C1" s="219" t="s">
        <v>429</v>
      </c>
    </row>
    <row r="2" spans="1:5" x14ac:dyDescent="0.2">
      <c r="A2" s="220"/>
      <c r="B2" s="220"/>
      <c r="C2" s="220"/>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23" t="s">
        <v>483</v>
      </c>
      <c r="B2" s="224"/>
      <c r="C2" s="224"/>
      <c r="D2" s="225"/>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23" t="s">
        <v>363</v>
      </c>
      <c r="B7" s="224"/>
      <c r="C7" s="224"/>
      <c r="D7" s="225"/>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23" t="s">
        <v>236</v>
      </c>
      <c r="B12" s="224"/>
      <c r="C12" s="224"/>
      <c r="D12" s="225"/>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23" t="s">
        <v>513</v>
      </c>
      <c r="B20" s="224"/>
      <c r="C20" s="224"/>
      <c r="D20" s="225"/>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23" t="s">
        <v>526</v>
      </c>
      <c r="B30" s="224"/>
      <c r="C30" s="224"/>
      <c r="D30" s="225"/>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23" t="s">
        <v>534</v>
      </c>
      <c r="B37" s="224"/>
      <c r="C37" s="224"/>
      <c r="D37" s="225"/>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23" t="s">
        <v>547</v>
      </c>
      <c r="B44" s="224"/>
      <c r="C44" s="224"/>
      <c r="D44" s="225"/>
    </row>
    <row r="45" spans="1:4" ht="25" customHeight="1" x14ac:dyDescent="0.2">
      <c r="A45" s="20" t="s">
        <v>548</v>
      </c>
      <c r="B45" s="5">
        <v>8.3000000000000007</v>
      </c>
      <c r="C45" s="21" t="s">
        <v>512</v>
      </c>
      <c r="D45" s="21" t="s">
        <v>549</v>
      </c>
    </row>
    <row r="46" spans="1:4" ht="25" customHeight="1" x14ac:dyDescent="0.2">
      <c r="A46" s="223" t="s">
        <v>550</v>
      </c>
      <c r="B46" s="224"/>
      <c r="C46" s="224"/>
      <c r="D46" s="225"/>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23" t="s">
        <v>557</v>
      </c>
      <c r="B50" s="224"/>
      <c r="C50" s="224"/>
      <c r="D50" s="225"/>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28" t="s">
        <v>572</v>
      </c>
      <c r="E9" s="226" t="s">
        <v>573</v>
      </c>
    </row>
    <row r="10" spans="1:5" ht="26.75" customHeight="1" x14ac:dyDescent="0.2">
      <c r="A10" s="3" t="s">
        <v>43</v>
      </c>
      <c r="B10">
        <v>0</v>
      </c>
      <c r="D10" s="227"/>
      <c r="E10" s="227"/>
    </row>
    <row r="11" spans="1:5" ht="128" x14ac:dyDescent="0.2">
      <c r="A11" s="3" t="s">
        <v>59</v>
      </c>
      <c r="B11">
        <v>0.2</v>
      </c>
      <c r="C11" s="201" t="s">
        <v>574</v>
      </c>
      <c r="D11" s="227"/>
      <c r="E11" s="227"/>
    </row>
    <row r="12" spans="1:5" ht="16" x14ac:dyDescent="0.2">
      <c r="A12" s="3" t="s">
        <v>191</v>
      </c>
      <c r="B12">
        <v>0.18443169820109739</v>
      </c>
      <c r="C12" s="117" t="s">
        <v>571</v>
      </c>
      <c r="D12" s="227"/>
      <c r="E12" s="227"/>
    </row>
    <row r="13" spans="1:5" ht="16" x14ac:dyDescent="0.2">
      <c r="A13" s="3" t="s">
        <v>213</v>
      </c>
      <c r="B13">
        <v>0.24138000000000001</v>
      </c>
      <c r="C13" s="117" t="s">
        <v>571</v>
      </c>
      <c r="D13" s="227"/>
      <c r="E13" s="227"/>
    </row>
    <row r="14" spans="1:5" ht="16" x14ac:dyDescent="0.2">
      <c r="A14" s="3" t="s">
        <v>157</v>
      </c>
      <c r="B14" s="82">
        <v>0.22962848022115531</v>
      </c>
      <c r="C14" s="117" t="s">
        <v>571</v>
      </c>
      <c r="D14" s="227"/>
      <c r="E14" s="227"/>
    </row>
    <row r="15" spans="1:5" ht="16" x14ac:dyDescent="0.2">
      <c r="A15" s="3" t="s">
        <v>228</v>
      </c>
      <c r="B15">
        <v>0.41505377678599259</v>
      </c>
      <c r="C15" s="203" t="s">
        <v>571</v>
      </c>
      <c r="D15" s="227"/>
      <c r="E15" s="227"/>
    </row>
    <row r="16" spans="1:5" ht="16" x14ac:dyDescent="0.2">
      <c r="A16" s="3" t="s">
        <v>226</v>
      </c>
      <c r="B16">
        <v>0.39914905811401719</v>
      </c>
      <c r="C16" s="203" t="s">
        <v>571</v>
      </c>
      <c r="D16" s="227"/>
      <c r="E16" s="227"/>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29"/>
      <c r="U4" s="230"/>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812</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tabSelected="1" topLeftCell="G1" zoomScale="106"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29"/>
      <c r="U4" s="230"/>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v>6171250</v>
      </c>
      <c r="L28" s="100" t="inlineStr">
        <is>
          <t>$/(reactors/year)</t>
        </is>
      </c>
      <c r="M28" s="155" t="inlineStr">
        <is>
          <t>Servicing Rate</t>
        </is>
      </c>
      <c r="N28" s="121">
        <v>1</v>
      </c>
      <c r="O28" s="100" t="inlineStr">
        <is>
          <t>reactors/year</t>
        </is>
      </c>
      <c r="P28" s="123">
        <v>1</v>
      </c>
      <c r="Q28" s="101">
        <v>2009</v>
      </c>
      <c r="R28" s="100" t="s">
        <v>86</v>
      </c>
      <c r="S28" s="102" t="s">
        <v>722</v>
      </c>
      <c r="T28" s="102"/>
      <c r="U28" s="140" t="s">
        <v>723</v>
      </c>
      <c r="V28" s="103"/>
      <c r="W28" s="145" t="s">
        <v>43</v>
      </c>
      <c r="X28" s="146">
        <f t="shared" si="14"/>
        <v>0</v>
      </c>
      <c r="Y28" s="146">
        <f t="shared" si="23"/>
        <v>0</v>
      </c>
      <c r="Z28" s="145" t="s">
        <v>44</v>
      </c>
      <c r="AA28" s="147">
        <f t="shared" si="24"/>
        <v>5554125</v>
      </c>
      <c r="AB28" s="147">
        <f t="shared" si="25"/>
        <v>8022625</v>
      </c>
      <c r="AC28" s="145" t="s">
        <v>44</v>
      </c>
      <c r="AD28" s="147">
        <v>0.1</v>
      </c>
      <c r="AE28" s="147" t="s">
        <v>46</v>
      </c>
      <c r="AF28" s="147" t="s">
        <v>47</v>
      </c>
      <c r="AG28" s="145" t="s">
        <v>48</v>
      </c>
    </row>
    <row r="29" spans="1:33" ht="57" x14ac:dyDescent="0.2">
      <c r="A29" s="107">
        <v>214.7</v>
      </c>
      <c r="B29" s="92">
        <f t="shared" si="22"/>
        <v>3</v>
      </c>
      <c r="C29" s="98" t="s">
        <v>724</v>
      </c>
      <c r="D29" s="93" t="str">
        <f t="shared" si="18"/>
        <v xml:space="preserve">                  Rad Waste Storage Warehouses</v>
      </c>
      <c r="E29" s="93" t="s">
        <v>35</v>
      </c>
      <c r="F29" s="93"/>
      <c r="G29" s="94"/>
      <c r="H29" s="93"/>
      <c r="I29" s="93"/>
      <c r="J29" s="141"/>
      <c r="K29" s="120">
        <f>1171*(3.2808^2)</f>
        <v>12604.232557440002</v>
      </c>
      <c r="L29" s="100" t="s">
        <v>92</v>
      </c>
      <c r="M29" s="155" t="s">
        <v>725</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726</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727</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728</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729</v>
      </c>
      <c r="D33" s="151" t="str">
        <f>REPT("   ", B33*2) &amp; C33</f>
        <v xml:space="preserve">            Reactor Cask Management Yard and Inspection Shop</v>
      </c>
      <c r="E33" s="151" t="s">
        <v>35</v>
      </c>
      <c r="F33" s="151"/>
      <c r="G33" s="153"/>
      <c r="H33" s="151"/>
      <c r="I33" s="151"/>
      <c r="J33" s="120"/>
      <c r="K33" s="154">
        <f>0.7*17946522/N33</f>
        <v>41875.217999999993</v>
      </c>
      <c r="L33" s="142"/>
      <c r="M33" s="155" t="s">
        <v>730</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731</v>
      </c>
      <c r="D34" s="151" t="str">
        <f>REPT("   ", B34*2) &amp; C34</f>
        <v xml:space="preserve">            Vehicle Depot and Mechanic Shop</v>
      </c>
      <c r="E34" s="151" t="s">
        <v>35</v>
      </c>
      <c r="F34" s="151"/>
      <c r="G34" s="153"/>
      <c r="H34" s="151"/>
      <c r="I34" s="151"/>
      <c r="J34" s="120"/>
      <c r="K34" s="154">
        <f>0.7*58097655/N34</f>
        <v>135561.19500000001</v>
      </c>
      <c r="L34" s="142"/>
      <c r="M34" s="155" t="s">
        <v>730</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732</v>
      </c>
      <c r="D35" s="151" t="str">
        <f>REPT("   ", B35*2) &amp; C35</f>
        <v xml:space="preserve">            Parts Service Center and Warehouse</v>
      </c>
      <c r="E35" s="151" t="s">
        <v>35</v>
      </c>
      <c r="F35" s="151"/>
      <c r="G35" s="153"/>
      <c r="H35" s="151"/>
      <c r="I35" s="151"/>
      <c r="J35" s="162"/>
      <c r="K35" s="154">
        <v>3842.71</v>
      </c>
      <c r="L35" s="163" t="s">
        <v>92</v>
      </c>
      <c r="M35" s="155" t="s">
        <v>733</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734</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735</v>
      </c>
      <c r="D38" s="93" t="str">
        <f>REPT("   ", B38*2) &amp; C38</f>
        <v xml:space="preserve">            Servicing Hot Cell</v>
      </c>
      <c r="E38" s="93" t="s">
        <v>35</v>
      </c>
      <c r="F38" s="93" t="s">
        <v>736</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737</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738</v>
      </c>
      <c r="N39" s="198">
        <f>200/3600</f>
        <v>5.5555555555555552E-2</v>
      </c>
      <c r="O39" s="142" t="s">
        <v>322</v>
      </c>
      <c r="P39" s="199">
        <v>0.6</v>
      </c>
      <c r="Q39" s="101">
        <v>2024</v>
      </c>
      <c r="R39" s="142" t="s">
        <v>86</v>
      </c>
      <c r="S39" s="144" t="s">
        <v>739</v>
      </c>
      <c r="T39" s="170" t="s">
        <v>740</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741</v>
      </c>
      <c r="D40" s="93" t="str">
        <f>REPT("   ", B40*2) &amp; C40</f>
        <v xml:space="preserve">            Radioactive Waste Processing Hot Cell</v>
      </c>
      <c r="E40" s="93" t="s">
        <v>35</v>
      </c>
      <c r="F40" s="93" t="s">
        <v>742</v>
      </c>
      <c r="G40" s="94">
        <v>1</v>
      </c>
      <c r="H40" s="93"/>
      <c r="I40" s="93"/>
      <c r="J40" s="120">
        <v>1000000000</v>
      </c>
      <c r="K40" s="120"/>
      <c r="L40" s="100"/>
      <c r="M40" s="98"/>
      <c r="N40" s="121"/>
      <c r="O40" s="100"/>
      <c r="P40" s="123"/>
      <c r="Q40" s="101">
        <v>2024</v>
      </c>
      <c r="R40" s="100" t="s">
        <v>153</v>
      </c>
      <c r="S40" s="102" t="s">
        <v>658</v>
      </c>
      <c r="T40" s="102"/>
      <c r="U40" s="122"/>
      <c r="V40" s="103" t="s">
        <v>743</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736</v>
      </c>
      <c r="G41" s="94">
        <v>1</v>
      </c>
      <c r="H41" s="93"/>
      <c r="I41" s="93"/>
      <c r="J41" s="120">
        <f>21555270/2</f>
        <v>10777635</v>
      </c>
      <c r="K41" s="120"/>
      <c r="L41" s="100"/>
      <c r="M41" s="98"/>
      <c r="N41" s="121"/>
      <c r="O41" s="100"/>
      <c r="P41" s="123"/>
      <c r="Q41" s="101">
        <v>1987</v>
      </c>
      <c r="R41" s="100" t="s">
        <v>86</v>
      </c>
      <c r="S41" s="102" t="s">
        <v>744</v>
      </c>
      <c r="T41" s="102" t="s">
        <v>745</v>
      </c>
      <c r="U41" s="140" t="s">
        <v>746</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747</v>
      </c>
      <c r="D42" s="93" t="str">
        <f>REPT("   ", B42*2) &amp; C42</f>
        <v xml:space="preserve">            Remote Control Rooms</v>
      </c>
      <c r="E42" s="93" t="s">
        <v>35</v>
      </c>
      <c r="F42" s="93" t="s">
        <v>606</v>
      </c>
      <c r="G42" s="94">
        <v>1</v>
      </c>
      <c r="H42" s="93"/>
      <c r="I42" s="93"/>
      <c r="J42" s="120"/>
      <c r="K42" s="120">
        <v>100000</v>
      </c>
      <c r="L42" s="100"/>
      <c r="M42" s="93" t="s">
        <v>748</v>
      </c>
      <c r="N42" s="121"/>
      <c r="O42" s="100"/>
      <c r="P42" s="123"/>
      <c r="Q42" s="101">
        <v>2024</v>
      </c>
      <c r="R42" s="100" t="s">
        <v>86</v>
      </c>
      <c r="S42" s="102" t="s">
        <v>749</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750</v>
      </c>
      <c r="D43" s="93" t="str">
        <f>REPT("   ", B43*2) &amp; C43</f>
        <v xml:space="preserve">            Reactor Transport Casks</v>
      </c>
      <c r="E43" s="93" t="s">
        <v>35</v>
      </c>
      <c r="F43" s="93" t="s">
        <v>606</v>
      </c>
      <c r="G43" s="94">
        <v>1</v>
      </c>
      <c r="H43" s="93"/>
      <c r="I43" s="93"/>
      <c r="J43" s="196">
        <v>10000000</v>
      </c>
      <c r="K43" s="120"/>
      <c r="L43" s="100"/>
      <c r="M43" s="93" t="s">
        <v>751</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752</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753</v>
      </c>
      <c r="D46" s="151" t="str">
        <f>REPT("   ", B46*2) &amp; C46</f>
        <v xml:space="preserve">            Service Air Water Building</v>
      </c>
      <c r="E46" s="151" t="s">
        <v>35</v>
      </c>
      <c r="F46" s="151" t="s">
        <v>754</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755</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756</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757</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758</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759</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760</v>
      </c>
      <c r="D54" s="93" t="str">
        <f t="shared" si="44"/>
        <v xml:space="preserve">                  Reactor Transport Vehicles</v>
      </c>
      <c r="E54" s="93" t="s">
        <v>35</v>
      </c>
      <c r="F54" s="93" t="s">
        <v>761</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762</v>
      </c>
      <c r="D55" s="93" t="str">
        <f t="shared" si="44"/>
        <v xml:space="preserve">                  Helium Transport Trucks</v>
      </c>
      <c r="E55" s="93" t="s">
        <v>35</v>
      </c>
      <c r="F55" s="93" t="s">
        <v>763</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764</v>
      </c>
      <c r="D56" s="93" t="str">
        <f t="shared" si="44"/>
        <v xml:space="preserve">                  Water Tanker Trucks</v>
      </c>
      <c r="E56" s="93" t="s">
        <v>35</v>
      </c>
      <c r="F56" s="93" t="s">
        <v>765</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766</v>
      </c>
      <c r="D57" s="93" t="str">
        <f t="shared" si="44"/>
        <v xml:space="preserve">                  Maintenance Trucks</v>
      </c>
      <c r="E57" s="93" t="s">
        <v>35</v>
      </c>
      <c r="F57" s="93" t="s">
        <v>767</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768</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769</v>
      </c>
      <c r="D59" s="93" t="str">
        <f t="shared" si="44"/>
        <v xml:space="preserve">                        Heavy Lift Helicopters</v>
      </c>
      <c r="E59" s="93" t="s">
        <v>35</v>
      </c>
      <c r="F59" s="93" t="s">
        <v>770</v>
      </c>
      <c r="G59" s="94">
        <v>1</v>
      </c>
      <c r="H59" s="93"/>
      <c r="I59" s="93"/>
      <c r="J59" s="169">
        <v>50000000</v>
      </c>
      <c r="K59" s="99"/>
      <c r="L59" s="103"/>
      <c r="M59" s="100"/>
      <c r="N59" s="103"/>
      <c r="O59" s="103"/>
      <c r="P59" s="101"/>
      <c r="Q59" s="101">
        <v>2024</v>
      </c>
      <c r="R59" s="103" t="s">
        <v>153</v>
      </c>
      <c r="S59" s="110" t="s">
        <v>728</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771</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728</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772</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773</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774</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775</v>
      </c>
      <c r="D66" s="93" t="str">
        <f>REPT("   ", B66*2) &amp; C66</f>
        <v xml:space="preserve">                  Radiation Monitors</v>
      </c>
      <c r="E66" s="93" t="s">
        <v>35</v>
      </c>
      <c r="F66" s="93" t="s">
        <v>776</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813</v>
      </c>
      <c r="M74" s="110" t="s">
        <v>814</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748</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777</v>
      </c>
      <c r="G76" s="94">
        <v>1</v>
      </c>
      <c r="H76" s="93"/>
      <c r="I76" s="93"/>
      <c r="J76" s="120"/>
      <c r="K76" s="60">
        <v>178500</v>
      </c>
      <c r="L76" s="49" t="s">
        <v>386</v>
      </c>
      <c r="M76" s="58" t="s">
        <v>778</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777</v>
      </c>
      <c r="G77" s="94">
        <v>1</v>
      </c>
      <c r="H77" s="93"/>
      <c r="I77" s="93"/>
      <c r="J77" s="120"/>
      <c r="K77" s="60">
        <v>178500</v>
      </c>
      <c r="L77" s="49" t="s">
        <v>386</v>
      </c>
      <c r="M77" s="58" t="s">
        <v>779</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780</v>
      </c>
      <c r="D78" s="93" t="str">
        <f t="shared" si="44"/>
        <v xml:space="preserve">            Engineering Staff</v>
      </c>
      <c r="E78" s="93" t="s">
        <v>268</v>
      </c>
      <c r="F78" s="93"/>
      <c r="G78" s="94"/>
      <c r="H78" s="93"/>
      <c r="I78" s="93"/>
      <c r="J78" s="120"/>
      <c r="K78" s="60">
        <v>200000</v>
      </c>
      <c r="L78" s="49" t="s">
        <v>386</v>
      </c>
      <c r="M78" s="183" t="s">
        <v>781</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782</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783</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784</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785</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786</v>
      </c>
      <c r="D88" s="93" t="str">
        <f t="shared" si="44"/>
        <v xml:space="preserve">                        Used Fuel Cask</v>
      </c>
      <c r="E88" s="93" t="s">
        <v>35</v>
      </c>
      <c r="F88" s="93" t="s">
        <v>787</v>
      </c>
      <c r="G88" s="94">
        <v>1</v>
      </c>
      <c r="H88" s="93"/>
      <c r="I88" s="93"/>
      <c r="J88" s="120">
        <v>1159000</v>
      </c>
      <c r="K88" s="99"/>
      <c r="L88" s="103"/>
      <c r="M88" s="110"/>
      <c r="N88" s="103"/>
      <c r="O88" s="103"/>
      <c r="P88" s="101"/>
      <c r="Q88" s="101">
        <v>2023</v>
      </c>
      <c r="R88" s="103" t="s">
        <v>153</v>
      </c>
      <c r="S88" s="110" t="s">
        <v>788</v>
      </c>
      <c r="T88" s="111"/>
      <c r="U88" s="182"/>
      <c r="V88" s="103" t="s">
        <v>789</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790</v>
      </c>
      <c r="D89" s="93" t="str">
        <f t="shared" si="44"/>
        <v xml:space="preserve">                        Reactor Transport Cask</v>
      </c>
      <c r="E89" s="93" t="s">
        <v>35</v>
      </c>
      <c r="F89" s="93" t="s">
        <v>791</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792</v>
      </c>
      <c r="D90" s="93" t="str">
        <f t="shared" si="44"/>
        <v xml:space="preserve">                        Radwaste Storage Cask</v>
      </c>
      <c r="E90" s="93" t="s">
        <v>35</v>
      </c>
      <c r="F90" s="93" t="s">
        <v>793</v>
      </c>
      <c r="G90" s="94">
        <v>1</v>
      </c>
      <c r="H90" s="93"/>
      <c r="I90" s="93"/>
      <c r="J90" s="120">
        <v>1159000</v>
      </c>
      <c r="K90" s="99"/>
      <c r="L90" s="103"/>
      <c r="M90" s="110"/>
      <c r="N90" s="103"/>
      <c r="O90" s="103"/>
      <c r="P90" s="101"/>
      <c r="Q90" s="101">
        <v>2023</v>
      </c>
      <c r="R90" s="103" t="s">
        <v>153</v>
      </c>
      <c r="S90" s="110" t="s">
        <v>788</v>
      </c>
      <c r="T90" s="111"/>
      <c r="U90" s="182"/>
      <c r="V90" s="103" t="s">
        <v>789</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43" x14ac:dyDescent="0.2">
      <c r="A91" s="90">
        <v>747.24</v>
      </c>
      <c r="B91" s="92">
        <f>IF(ISNUMBER(A91),IF(AND(A91=INT(A91),MOD(A91,10)=0),0,IF(AND(A91=INT(A91),LEN(A91)=2),1,IF(AND(A91=INT(A91),LEN(A91)=3),2,LEN(A91)-FIND(".",A91)+2))),"")</f>
        <v>4</v>
      </c>
      <c r="C91" s="109" t="inlineStr">
        <is>
          <t>Used Fuel Storage Additional Overpacks</t>
        </is>
      </c>
      <c r="D91" s="93" t="str">
        <f>REPT("   ",B91*2)&amp;C91</f>
        <v xml:space="preserve">                        Used Fuel Storage Additional Overpacks</v>
      </c>
      <c r="E91" s="93" t="s">
        <v>35</v>
      </c>
      <c r="F91" s="93"/>
      <c r="G91" s="94"/>
      <c r="H91" s="93"/>
      <c r="I91" s="93"/>
      <c r="J91" s="120"/>
      <c r="K91" s="99">
        <v>200000</v>
      </c>
      <c r="L91" s="103" t="inlineStr">
        <is>
          <t>$/(reactors/year)</t>
        </is>
      </c>
      <c r="M91" s="110" t="inlineStr">
        <is>
          <t>Servicing Rate</t>
        </is>
      </c>
      <c r="N91" s="103">
        <v>1</v>
      </c>
      <c r="O91" s="103" t="inlineStr">
        <is>
          <t>reactors/year</t>
        </is>
      </c>
      <c r="P91" s="101">
        <v>1</v>
      </c>
      <c r="Q91" s="101">
        <v>2009</v>
      </c>
      <c r="R91" s="103" t="inlineStr">
        <is>
          <t>Equipment</t>
        </is>
      </c>
      <c r="S91" s="110"/>
      <c r="T91" s="111"/>
      <c r="U91" s="182"/>
      <c r="V91" s="103"/>
      <c r="W91" s="96" t="inlineStr">
        <is>
          <t>No Learning</t>
        </is>
      </c>
      <c r="X91" s="104">
        <v>0</v>
      </c>
      <c r="Y91" s="104">
        <v>0</v>
      </c>
      <c r="Z91" s="96" t="inlineStr">
        <is>
          <t>Lognormal</t>
        </is>
      </c>
      <c r="AA91" s="97">
        <f>0.8*K91</f>
        <v>160000</v>
      </c>
      <c r="AB91" s="97">
        <f>2*K91</f>
        <v>400000</v>
      </c>
      <c r="AC91" s="96" t="inlineStr">
        <is>
          <t>Lognormal</t>
        </is>
      </c>
      <c r="AD91" s="97">
        <v>0.1</v>
      </c>
      <c r="AE91" s="97">
        <v>1</v>
      </c>
      <c r="AF91" s="97">
        <v>0</v>
      </c>
      <c r="AG91" s="96" t="inlineStr">
        <is>
          <t>Truncated Normal</t>
        </is>
      </c>
    </row>
    <row r="92" spans="1:33" ht="57" x14ac:dyDescent="0.2">
      <c r="A92" s="90">
        <v>747.3</v>
      </c>
      <c r="B92" s="92">
        <f t="shared" si="43"/>
        <v>3</v>
      </c>
      <c r="C92" s="109" t="s">
        <v>694</v>
      </c>
      <c r="D92" s="93" t="str">
        <f t="shared" si="44"/>
        <v xml:space="preserve">                  Annualized Helium Replenishment</v>
      </c>
      <c r="E92" s="93" t="s">
        <v>35</v>
      </c>
      <c r="F92" s="189" t="s">
        <v>606</v>
      </c>
      <c r="G92" s="94">
        <v>1</v>
      </c>
      <c r="H92" s="93"/>
      <c r="I92" s="93"/>
      <c r="J92" s="120"/>
      <c r="K92" s="99">
        <v>170</v>
      </c>
      <c r="L92" s="103" t="s">
        <v>186</v>
      </c>
      <c r="M92" s="110" t="s">
        <v>794</v>
      </c>
      <c r="N92" s="103"/>
      <c r="O92" s="103" t="s">
        <v>188</v>
      </c>
      <c r="P92" s="101"/>
      <c r="Q92" s="101">
        <v>2024</v>
      </c>
      <c r="R92" s="103" t="s">
        <v>153</v>
      </c>
      <c r="S92" s="110" t="s">
        <v>305</v>
      </c>
      <c r="T92" s="111" t="s">
        <v>305</v>
      </c>
      <c r="U92" s="182" t="s">
        <v>306</v>
      </c>
      <c r="V92" s="103" t="s">
        <v>307</v>
      </c>
      <c r="W92" s="96" t="s">
        <v>43</v>
      </c>
      <c r="X92" s="104">
        <v>0</v>
      </c>
      <c r="Y92" s="104">
        <v>0</v>
      </c>
      <c r="Z92" s="96" t="s">
        <v>44</v>
      </c>
      <c r="AA92" s="97">
        <f>0.9*K91</f>
        <v>153</v>
      </c>
      <c r="AB92" s="97">
        <f>1.3*K91</f>
        <v>221</v>
      </c>
      <c r="AC92" s="96" t="s">
        <v>44</v>
      </c>
      <c r="AD92" s="97" t="s">
        <v>45</v>
      </c>
      <c r="AE92" s="97" t="s">
        <v>46</v>
      </c>
      <c r="AF92" s="97" t="s">
        <v>47</v>
      </c>
      <c r="AG92" s="96" t="s">
        <v>48</v>
      </c>
    </row>
    <row r="93" spans="1:33" ht="15" x14ac:dyDescent="0.2">
      <c r="A93" s="90">
        <v>747.4</v>
      </c>
      <c r="B93" s="92">
        <f t="shared" si="43"/>
        <v>3</v>
      </c>
      <c r="C93" s="109" t="s">
        <v>696</v>
      </c>
      <c r="D93" s="93" t="str">
        <f t="shared" si="44"/>
        <v xml:space="preserve">                  Annualized Other Supplies and Utilities</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15" x14ac:dyDescent="0.2">
      <c r="A94" s="90">
        <v>747.5</v>
      </c>
      <c r="B94" s="92">
        <f t="shared" si="43"/>
        <v>3</v>
      </c>
      <c r="C94" s="109" t="s">
        <v>795</v>
      </c>
      <c r="D94" s="93" t="str">
        <f t="shared" si="44"/>
        <v xml:space="preserve">                  Servicing Vehicle O&amp;M</v>
      </c>
      <c r="E94" s="93"/>
      <c r="F94" s="93"/>
      <c r="G94" s="94"/>
      <c r="H94" s="93"/>
      <c r="I94" s="93"/>
      <c r="J94" s="181"/>
      <c r="K94" s="99"/>
      <c r="L94" s="103"/>
      <c r="M94" s="110"/>
      <c r="N94" s="103"/>
      <c r="O94" s="103"/>
      <c r="P94" s="101"/>
      <c r="Q94" s="101"/>
      <c r="R94" s="103"/>
      <c r="S94" s="110"/>
      <c r="T94" s="111"/>
      <c r="U94" s="182"/>
      <c r="V94" s="103"/>
      <c r="W94" s="96"/>
      <c r="X94" s="104"/>
      <c r="Y94" s="104"/>
      <c r="Z94" s="96"/>
      <c r="AA94" s="97"/>
      <c r="AB94" s="97"/>
      <c r="AC94" s="96"/>
      <c r="AD94" s="97"/>
      <c r="AE94" s="97"/>
      <c r="AF94" s="97"/>
      <c r="AG94" s="96"/>
    </row>
    <row r="95" spans="1:33" ht="29" x14ac:dyDescent="0.2">
      <c r="A95" s="90">
        <v>747.51</v>
      </c>
      <c r="B95" s="92">
        <f t="shared" si="43"/>
        <v>4</v>
      </c>
      <c r="C95" s="168" t="s">
        <v>796</v>
      </c>
      <c r="D95" s="93" t="str">
        <f t="shared" si="44"/>
        <v xml:space="preserve">                        Reactor Transport Vehicles O&amp;M</v>
      </c>
      <c r="E95" s="93" t="s">
        <v>35</v>
      </c>
      <c r="F95" s="93" t="s">
        <v>761</v>
      </c>
      <c r="G95" s="94">
        <v>1</v>
      </c>
      <c r="H95" s="93"/>
      <c r="I95" s="93"/>
      <c r="J95" s="181">
        <f>36*200000+1000000</f>
        <v>8200000</v>
      </c>
      <c r="K95" s="99"/>
      <c r="L95" s="103"/>
      <c r="M95" s="110"/>
      <c r="N95" s="103"/>
      <c r="O95" s="103"/>
      <c r="P95" s="101"/>
      <c r="Q95" s="101">
        <v>2024</v>
      </c>
      <c r="R95" s="103" t="s">
        <v>73</v>
      </c>
      <c r="S95" s="110"/>
      <c r="T95" s="111"/>
      <c r="U95" s="182"/>
      <c r="V95" s="103"/>
      <c r="W95" s="96" t="s">
        <v>43</v>
      </c>
      <c r="X95" s="104">
        <f t="shared" ref="X94:X98" si="83">0.9*$J94</f>
        <v>7380000</v>
      </c>
      <c r="Y95" s="104">
        <f t="shared" ref="Y94:Y98" si="84">1.5*J94</f>
        <v>12300000</v>
      </c>
      <c r="Z95" s="96" t="s">
        <v>44</v>
      </c>
      <c r="AA95" s="97">
        <f t="shared" ref="AA94:AA98" si="85">0.9*K94</f>
        <v>0</v>
      </c>
      <c r="AB95" s="97">
        <f t="shared" ref="AB94:AB98" si="86">1.3*K94</f>
        <v>0</v>
      </c>
      <c r="AC95" s="96" t="s">
        <v>44</v>
      </c>
      <c r="AD95" s="97" t="s">
        <v>45</v>
      </c>
      <c r="AE95" s="97" t="s">
        <v>46</v>
      </c>
      <c r="AF95" s="97" t="s">
        <v>47</v>
      </c>
      <c r="AG95" s="96" t="s">
        <v>48</v>
      </c>
    </row>
    <row r="96" spans="1:33" ht="29" x14ac:dyDescent="0.2">
      <c r="A96" s="90">
        <v>747.52</v>
      </c>
      <c r="B96" s="92">
        <f t="shared" si="43"/>
        <v>4</v>
      </c>
      <c r="C96" s="168" t="s">
        <v>797</v>
      </c>
      <c r="D96" s="93" t="str">
        <f t="shared" si="44"/>
        <v xml:space="preserve">                        Helium Transport Trucks O&amp;M</v>
      </c>
      <c r="E96" s="93" t="s">
        <v>35</v>
      </c>
      <c r="F96" s="93" t="s">
        <v>763</v>
      </c>
      <c r="G96" s="94">
        <v>1</v>
      </c>
      <c r="H96" s="93"/>
      <c r="I96" s="93"/>
      <c r="J96" s="181">
        <f>4*200000+500000</f>
        <v>1300000</v>
      </c>
      <c r="K96" s="99"/>
      <c r="L96" s="103"/>
      <c r="M96" s="110"/>
      <c r="N96" s="103"/>
      <c r="O96" s="103"/>
      <c r="P96" s="101"/>
      <c r="Q96" s="101">
        <v>2024</v>
      </c>
      <c r="R96" s="103" t="s">
        <v>73</v>
      </c>
      <c r="S96" s="110"/>
      <c r="T96" s="111"/>
      <c r="U96" s="182"/>
      <c r="V96" s="103"/>
      <c r="W96" s="96" t="s">
        <v>43</v>
      </c>
      <c r="X96" s="104">
        <f t="shared" si="83"/>
        <v>1170000</v>
      </c>
      <c r="Y96" s="104">
        <f t="shared" si="84"/>
        <v>1950000</v>
      </c>
      <c r="Z96" s="96" t="s">
        <v>44</v>
      </c>
      <c r="AA96" s="97">
        <f t="shared" si="85"/>
        <v>0</v>
      </c>
      <c r="AB96" s="97">
        <f t="shared" si="86"/>
        <v>0</v>
      </c>
      <c r="AC96" s="96" t="s">
        <v>44</v>
      </c>
      <c r="AD96" s="97" t="s">
        <v>45</v>
      </c>
      <c r="AE96" s="97" t="s">
        <v>46</v>
      </c>
      <c r="AF96" s="97" t="s">
        <v>47</v>
      </c>
      <c r="AG96" s="96" t="s">
        <v>48</v>
      </c>
    </row>
    <row r="97" spans="1:33" ht="29" x14ac:dyDescent="0.2">
      <c r="A97" s="90">
        <v>747.53</v>
      </c>
      <c r="B97" s="92">
        <f t="shared" si="43"/>
        <v>4</v>
      </c>
      <c r="C97" s="168" t="s">
        <v>798</v>
      </c>
      <c r="D97" s="93" t="str">
        <f t="shared" si="44"/>
        <v xml:space="preserve">                        Water Tanker Trucks O&amp;M</v>
      </c>
      <c r="E97" s="93" t="s">
        <v>35</v>
      </c>
      <c r="F97" s="93" t="s">
        <v>765</v>
      </c>
      <c r="G97" s="94">
        <v>1</v>
      </c>
      <c r="H97" s="93"/>
      <c r="I97" s="93"/>
      <c r="J97" s="181">
        <f>4*200000+400000</f>
        <v>1200000</v>
      </c>
      <c r="K97" s="99"/>
      <c r="L97" s="103"/>
      <c r="M97" s="110"/>
      <c r="N97" s="103"/>
      <c r="O97" s="103"/>
      <c r="P97" s="101"/>
      <c r="Q97" s="101">
        <v>2024</v>
      </c>
      <c r="R97" s="103" t="s">
        <v>73</v>
      </c>
      <c r="S97" s="110"/>
      <c r="T97" s="111"/>
      <c r="U97" s="182"/>
      <c r="V97" s="103"/>
      <c r="W97" s="96" t="s">
        <v>43</v>
      </c>
      <c r="X97" s="104">
        <f t="shared" si="83"/>
        <v>1080000</v>
      </c>
      <c r="Y97" s="104">
        <f t="shared" si="84"/>
        <v>1800000</v>
      </c>
      <c r="Z97" s="96" t="s">
        <v>44</v>
      </c>
      <c r="AA97" s="97">
        <f t="shared" si="85"/>
        <v>0</v>
      </c>
      <c r="AB97" s="97">
        <f t="shared" si="86"/>
        <v>0</v>
      </c>
      <c r="AC97" s="96" t="s">
        <v>44</v>
      </c>
      <c r="AD97" s="97" t="s">
        <v>45</v>
      </c>
      <c r="AE97" s="97" t="s">
        <v>46</v>
      </c>
      <c r="AF97" s="97" t="s">
        <v>47</v>
      </c>
      <c r="AG97" s="96" t="s">
        <v>48</v>
      </c>
    </row>
    <row r="98" spans="1:33" ht="29" x14ac:dyDescent="0.2">
      <c r="A98" s="90">
        <v>747.54</v>
      </c>
      <c r="B98" s="92">
        <f t="shared" si="43"/>
        <v>4</v>
      </c>
      <c r="C98" s="168" t="s">
        <v>799</v>
      </c>
      <c r="D98" s="93" t="str">
        <f t="shared" si="44"/>
        <v xml:space="preserve">                        Maintenance Trucks O&amp;M</v>
      </c>
      <c r="E98" s="93" t="s">
        <v>35</v>
      </c>
      <c r="F98" s="93" t="s">
        <v>767</v>
      </c>
      <c r="G98" s="94">
        <v>1</v>
      </c>
      <c r="H98" s="93"/>
      <c r="I98" s="93"/>
      <c r="J98" s="181">
        <f>10*2*200000+1000000</f>
        <v>5000000</v>
      </c>
      <c r="K98" s="99"/>
      <c r="L98" s="103"/>
      <c r="M98" s="110"/>
      <c r="N98" s="103"/>
      <c r="O98" s="103"/>
      <c r="P98" s="101"/>
      <c r="Q98" s="101">
        <v>2024</v>
      </c>
      <c r="R98" s="103" t="s">
        <v>73</v>
      </c>
      <c r="S98" s="110"/>
      <c r="T98" s="111"/>
      <c r="U98" s="182"/>
      <c r="V98" s="103"/>
      <c r="W98" s="96" t="s">
        <v>43</v>
      </c>
      <c r="X98" s="104">
        <f t="shared" si="83"/>
        <v>4500000</v>
      </c>
      <c r="Y98" s="104">
        <f t="shared" si="84"/>
        <v>7500000</v>
      </c>
      <c r="Z98" s="96" t="s">
        <v>44</v>
      </c>
      <c r="AA98" s="97">
        <f t="shared" si="85"/>
        <v>0</v>
      </c>
      <c r="AB98" s="97">
        <f t="shared" si="86"/>
        <v>0</v>
      </c>
      <c r="AC98" s="96" t="s">
        <v>44</v>
      </c>
      <c r="AD98" s="97" t="s">
        <v>45</v>
      </c>
      <c r="AE98" s="97" t="s">
        <v>46</v>
      </c>
      <c r="AF98" s="97" t="s">
        <v>47</v>
      </c>
      <c r="AG98" s="96" t="s">
        <v>48</v>
      </c>
    </row>
    <row r="99" spans="1:33" ht="15" x14ac:dyDescent="0.2">
      <c r="A99" s="90">
        <v>75</v>
      </c>
      <c r="B99" s="92">
        <f t="shared" si="43"/>
        <v>1</v>
      </c>
      <c r="C99" s="109" t="s">
        <v>402</v>
      </c>
      <c r="D99" s="93" t="str">
        <f t="shared" si="44"/>
        <v xml:space="preserve">      Capital Plant Expenditures</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row r="100" spans="1:33" ht="15" x14ac:dyDescent="0.2">
      <c r="A100" s="90">
        <v>78</v>
      </c>
      <c r="B100" s="92">
        <f t="shared" si="43"/>
        <v>1</v>
      </c>
      <c r="C100" s="109" t="s">
        <v>420</v>
      </c>
      <c r="D100" s="93" t="str">
        <f t="shared" si="44"/>
        <v xml:space="preserve">      Annualized Decommissioning Cost</v>
      </c>
      <c r="E100" s="93"/>
      <c r="F100" s="93"/>
      <c r="G100" s="113"/>
      <c r="H100" s="114"/>
      <c r="I100" s="114"/>
      <c r="J100" s="192"/>
      <c r="K100" s="115"/>
      <c r="L100" s="116"/>
      <c r="M100" s="116"/>
      <c r="N100" s="116"/>
      <c r="O100" s="116"/>
      <c r="P100" s="115"/>
      <c r="Q100" s="116"/>
      <c r="R100" s="116"/>
      <c r="S100" s="116"/>
      <c r="T100" s="116"/>
      <c r="U100" s="116"/>
      <c r="V100" s="116"/>
      <c r="W100" s="116"/>
      <c r="X100" s="115"/>
      <c r="Y100" s="115"/>
      <c r="Z100" s="116"/>
      <c r="AA100" s="115"/>
      <c r="AB100" s="115"/>
      <c r="AC100" s="116"/>
      <c r="AD100" s="115"/>
      <c r="AE100" s="115"/>
      <c r="AF100" s="115"/>
      <c r="AG100"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100">
    <cfRule type="expression" dxfId="39" priority="12">
      <formula>$B2=0</formula>
    </cfRule>
  </conditionalFormatting>
  <conditionalFormatting sqref="C94:C98">
    <cfRule type="expression" dxfId="38" priority="7">
      <formula>$B94=0</formula>
    </cfRule>
  </conditionalFormatting>
  <conditionalFormatting sqref="F94:F98">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8">
    <cfRule type="expression" dxfId="3" priority="1">
      <formula>$B94=0</formula>
    </cfRule>
  </conditionalFormatting>
  <conditionalFormatting sqref="X2:Z100">
    <cfRule type="expression" dxfId="2" priority="51">
      <formula>AND(ISBLANK($X2),ISBLANK($Y2),ISBLANK($Z2),NOT(ISBLANK($E2)))</formula>
    </cfRule>
  </conditionalFormatting>
  <conditionalFormatting sqref="AA2:AC100">
    <cfRule type="expression" dxfId="1" priority="50">
      <formula>AND(ISBLANK($AA2),ISBLANK($AB2),ISBLANK($AC2),NOT(ISBLANK($E2)))</formula>
    </cfRule>
  </conditionalFormatting>
  <conditionalFormatting sqref="AD2:AG100">
    <cfRule type="expression" dxfId="0" priority="49">
      <formula>AND(ISBLANK($AD2),ISBLANK($AE2),ISBLANK($AF2),NOT(ISBLANK($E2)))</formula>
    </cfRule>
  </conditionalFormatting>
  <dataValidations count="11">
    <dataValidation type="list" allowBlank="1" showInputMessage="1" showErrorMessage="1" sqref="E2:E100" xr:uid="{00000000-0002-0000-0600-000000000000}">
      <formula1>"standard, nonstandard"</formula1>
    </dataValidation>
    <dataValidation type="list" allowBlank="1" showInputMessage="1" showErrorMessage="1" sqref="O2:O100"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3"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2026-09-16T20:42:46Z</dcterms:modified>
</cp:coreProperties>
</file>