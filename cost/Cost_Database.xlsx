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2.xml" ContentType="application/vnd.openxmlformats-officedocument.spreadsheetml.comments+xml"/>
  <Override PartName="/xl/worksheets/sheet7.xml" ContentType="application/vnd.openxmlformats-officedocument.spreadsheetml.worksheet+xml"/>
  <Override PartName="/xl/comments3.xml" ContentType="application/vnd.openxmlformats-officedocument.spreadsheetml.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63dcae4382044777" /></Relationships>
</file>

<file path=xl/workbook.xml><?xml version="1.0" encoding="utf-8"?>
<x:workbook xmlns:x="http://schemas.openxmlformats.org/spreadsheetml/2006/main">
  <x:sheets>
    <x:sheet xmlns:r="http://schemas.openxmlformats.org/officeDocument/2006/relationships" name="Cost Database" sheetId="1" r:id="R28542a0b963b4497"/>
    <x:sheet xmlns:r="http://schemas.openxmlformats.org/officeDocument/2006/relationships" name="MARVEL_Cost" sheetId="2" r:id="R705dea454ee14cbd"/>
    <x:sheet xmlns:r="http://schemas.openxmlformats.org/officeDocument/2006/relationships" name="Design Variables" sheetId="3" r:id="R65b36353ed684584"/>
    <x:sheet xmlns:r="http://schemas.openxmlformats.org/officeDocument/2006/relationships" name="Inflation Adjustment" sheetId="4" r:id="Rae9b78a8be8247e8"/>
    <x:sheet xmlns:r="http://schemas.openxmlformats.org/officeDocument/2006/relationships" name="Economics Parameters" sheetId="5" r:id="Rba9de4c268404871"/>
    <x:sheet xmlns:r="http://schemas.openxmlformats.org/officeDocument/2006/relationships" name="Manufacturing Campus Database" sheetId="6" r:id="R782b3974a9d44c58"/>
    <x:sheet xmlns:r="http://schemas.openxmlformats.org/officeDocument/2006/relationships" name="Servicing Campus Database" sheetId="7" r:id="Ra09d52d167b44dd4"/>
  </x:sheets>
  <x:definedNames>
    <x:definedName name="CRF" hidden="0" function="0" vbProcedure="0">#ref!</x:definedName>
    <x:definedName name="DiscountRate" hidden="0" function="0" vbProcedure="0">#ref!</x:definedName>
    <x:definedName name="FacilityLifetime" hidden="0" function="0" vbProcedure="0">#ref!</x:definedName>
    <x:definedName name="GeneralDataManufacturingLocations" hidden="0" function="0" vbProcedure="0">#ref!</x:definedName>
    <x:definedName name="MaterialData316SSStandardDensity" hidden="0" function="0" vbProcedure="0">#ref!</x:definedName>
    <x:definedName name="MaterialDataA36CSStandardDensity" hidden="0" function="0" vbProcedure="0">#ref!</x:definedName>
    <x:definedName name="MaterialDataB4CNaturalTheoreticalDensity" hidden="0" function="0" vbProcedure="0">#ref!</x:definedName>
    <x:definedName name="MaterialDataConcreteNominalSolidDensity" hidden="0" function="0" vbProcedure="0">#ref!</x:definedName>
    <x:definedName name="MaterialDataGeneralInsulationStandardDensity" hidden="0" function="0" vbProcedure="0">#ref!</x:definedName>
    <x:definedName name="MaterialDataGR22StandardDensity" hidden="0" function="0" vbProcedure="0">#ref!</x:definedName>
    <x:definedName name="MaterialDataInconel718StandardDensity" hidden="0" function="0" vbProcedure="0">#ref!</x:definedName>
    <x:definedName name="UC_m_in" hidden="0" function="0" vbProcedure="0">#ref!</x:definedName>
  </x:definedNames>
</x:workbook>
</file>

<file path=xl/comments1.xml><?xml version="1.0" encoding="utf-8"?>
<x:comments xmlns:x="http://schemas.openxmlformats.org/spreadsheetml/2006/main">
  <x:authors>
    <x:author>tc={14B9AD5A-4980-0741-8976-E2B49F6BC03E}</x:author>
  </x:authors>
  <x:commentList>
    <x:comment ref="A2" authorId="0">
      <x:text>
        <x:r>
          <x:t>[Threaded comment]
Your version of Excel allows you to read this threaded comment; however, any edits to it will get removed if the file is opened in a newer version of Excel. Learn more: https://go.microsoft.com/fwlink/?linkid=870924
Comment:
    The year 1978 was estimated: I fit a straight line to ln(factor) vs year using your early data (1985–1995)</x:t>
        </x:r>
      </x:text>
    </x:comment>
  </x:commentList>
</x:comments>
</file>

<file path=xl/comments2.xml><?xml version="1.0" encoding="utf-8"?>
<x:comments xmlns:x="http://schemas.openxmlformats.org/spreadsheetml/2006/main">
  <x:authors>
    <x:author>tc={DE759A45-C01A-A84F-A3F1-21F5CBF9CA1F}</x:author>
    <x:author>tc={F07104D1-80C1-1B4A-9262-11D29360C7DF}</x:author>
    <x:author>tc={1451C5AC-86F9-9D4C-ADB7-F5287324A13C}</x:author>
    <x:author>tc={0D27F3AA-38CC-DB4F-AC46-7D5540427668}</x:author>
    <x:author>tc={CD071524-0D2D-5740-9CA2-6D5016623B2D}</x:author>
    <x:author>tc={D75E3E48-A60A-AD43-88F8-01198D38080D}</x:author>
    <x:author>tc={9EDD4E9A-2FB7-4A42-9935-F81FB339B754}</x:author>
    <x:author>tc={33147556-F71F-7A43-971C-9B8F006567B7}</x:author>
    <x:author>tc={437E448C-B153-DF4D-8B36-7B4214F8C9F3}</x:author>
    <x:author>tc={E952D9A1-B772-A443-8512-7233EC4484C6}</x:author>
    <x:author>tc={1F5B41FD-B8FA-3344-AB56-3A82A0AC634A}</x:author>
    <x:author>tc={F15FDEF3-AC54-6846-AEB6-C531CF049D15}</x:author>
    <x:author>tc={85BD6978-DC7A-F447-9579-DA811C96A522}</x:author>
    <x:author>tc={ABD35BF5-1223-2A41-9141-B2F65B4B5936}</x:author>
    <x:author>tc={1C878FC3-0C22-684D-A4EA-C16FEF511196}</x:author>
    <x:author>tc={49B63920-8E43-C046-B216-2C01BA9CE7A0}</x:author>
    <x:author>tc={9FBD0A37-C76D-6349-A76E-48D6929A0DF4}</x:author>
    <x:author>tc={E0FA3B8C-0C66-5649-B827-96667637FB12}</x:author>
    <x:author>tc={D3E4FAF8-F186-F242-81DE-8ABCC981E10E}</x:author>
    <x:author>tc={841BB18A-10BB-C449-896A-170D65AA9EC4}</x:author>
    <x:author>tc={806AF0A4-3C68-E146-B5C0-D43CE320EB2F}</x:author>
    <x:author>tc={EC46ECDF-4166-1042-8714-CC863AB4C9DC}</x:author>
    <x:author>tc={48DF5501-B371-7E41-90FF-D81D54A249F2}</x:author>
    <x:author>tc={70E9F01D-2BEC-9B46-A224-A418B36BD6CE}</x:author>
    <x:author>tc={16341CCD-5222-FC40-8EBB-593EC0FFF72E}</x:author>
  </x:authors>
  <x:commentList>
    <x:comment ref="C26" authorId="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68" authorId="1">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E1" authorId="2">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E48" authorId="3">
      <x:text>
        <x:r>
          <x:t>[Threaded comment]
Your version of Excel allows you to read this threaded comment; however, any edits to it will get removed if the file is opened in a newer version of Excel. Learn more: https://go.microsoft.com/fwlink/?linkid=870924
Comment:
    Should this be Standard?</x:t>
        </x:r>
      </x:text>
    </x:comment>
    <x:comment ref="F1" authorId="4">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G1" authorId="5">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6">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7">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J5" authorId="8">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
Reply:
    Dividing by 4 as a guess, because this facility does not activate fuel beyond zero-power testing.
Reply:
    Considering this the cost of design certification. taking the low end from the NRC website.</x:t>
        </x:r>
      </x:text>
    </x:comment>
    <x:comment ref="J59" authorId="9">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J68" authorId="10">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69" authorId="11">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 ref="K1" authorId="12">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K37" authorId="13">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L21" authorId="14">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L22" authorId="15">
      <x:text>
        <x:r>
          <x:t>[Threaded comment]
Your version of Excel allows you to read this threaded comment; however, any edits to it will get removed if the file is opened in a newer version of Excel. Learn more: https://go.microsoft.com/fwlink/?linkid=870924
Comment:
    To be $/(RX/yr)</x:t>
        </x:r>
      </x:text>
    </x:comment>
    <x:comment ref="M11" authorId="16">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Munro will already include these costs.</x:t>
        </x:r>
      </x:text>
    </x:comment>
    <x:comment ref="O13" authorId="17">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P21" authorId="18">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P22" authorId="19">
      <x:text>
        <x:r>
          <x:t>[Threaded comment]
Your version of Excel allows you to read this threaded comment; however, any edits to it will get removed if the file is opened in a newer version of Excel. Learn more: https://go.microsoft.com/fwlink/?linkid=870924
Comment:
    To be improved</x:t>
        </x:r>
      </x:text>
    </x:comment>
    <x:comment ref="Q1" authorId="20">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21">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22">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23">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24">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List>
</x:comments>
</file>

<file path=xl/comments3.xml><?xml version="1.0" encoding="utf-8"?>
<x:comments xmlns:x="http://schemas.openxmlformats.org/spreadsheetml/2006/main">
  <x:authors>
    <x:author>tc={E616E209-0C4E-BF43-B848-297779CFC43B}</x:author>
    <x:author>tc={B319B878-16C2-E748-BF12-825CD47D15A7}</x:author>
    <x:author>tc={1622A235-B716-BC47-94B3-551C20F87DE9}</x:author>
    <x:author>tc={E2226D40-FDD4-9D4D-ACC0-32E3A2C81741}</x:author>
    <x:author>tc={4FD8D647-2C74-FD4E-B5AC-2661DA9F6A09}</x:author>
    <x:author>tc={1B5C92AE-DE6B-3F4C-AFA9-C968755E97AB}</x:author>
    <x:author>tc={EB0DDE92-CDBB-7B41-807A-4B8D0391610E}</x:author>
    <x:author>tc={C62007AF-D4CE-3C4A-9750-66C61B4C214D}</x:author>
    <x:author>tc={150700D9-DE03-5A4A-9F48-0320DBEB5C8B}</x:author>
    <x:author>tc={B277A2D1-32F8-E64E-BAF9-E26A832BF4BA}</x:author>
    <x:author>tc={FEA175E2-EA97-2545-882D-C0FA555D98B9}</x:author>
    <x:author>tc={E2026613-98C6-E24B-B1FF-E32D689F264B}</x:author>
    <x:author>tc={9F67DBF5-6CC3-0E42-A35A-602F07FF75D2}</x:author>
    <x:author>tc={A23BB27C-8A83-1145-A8C6-4542F1B37F4B}</x:author>
    <x:author>tc={D6E9C969-8971-D34E-8111-1B0774F0B5EE}</x:author>
    <x:author>tc={D28B59D1-CF3C-C84E-9126-C142D72CABF1}</x:author>
    <x:author>tc={46F76420-F647-5548-BAD6-9921DBCA32F7}</x:author>
    <x:author>tc={9DADA3C6-CD31-E24A-882A-11BA227AC95D}</x:author>
    <x:author>tc={AB5F9B1D-5CEA-0748-9C9C-08F49EF9D82D}</x:author>
    <x:author>tc={CEE90A41-0E60-8B43-96B8-62267258F84F}</x:author>
    <x:author>tc={22EA1450-731C-6944-B891-9A8D84A5802D}</x:author>
    <x:author>tc={53C43D05-92B8-9F48-939B-F3FBE16A5817}</x:author>
    <x:author>tc={5FCBCCF5-4602-2F44-8FF0-272E5BD75B13}</x:author>
    <x:author>tc={A7F6B025-DF75-1B4D-BB6E-78D7BDF89D61}</x:author>
    <x:author>tc={D6C35B5A-ACF3-C041-BC35-B58887848BE5}</x:author>
    <x:author>tc={896F2DD5-33DE-5C40-B1CB-3BBF5687AD91}</x:author>
    <x:author>tc={BE5735B6-19F9-2D4D-85A4-72EC1F2550FD}</x:author>
    <x:author>tc={FD2A8D91-2C6F-CF41-BA10-C8F0BF664466}</x:author>
    <x:author>tc={01D910D6-D0EF-B64E-AB1A-798C5EAAE77D}</x:author>
    <x:author>tc={D2D3A3B9-FDE8-6246-971B-A939B6A538BC}</x:author>
    <x:author>tc={4739994C-9A88-DC4E-AFA3-C0D7631DBB1C}</x:author>
    <x:author>tc={00CAA713-9512-5445-90A4-5D27383117B3}</x:author>
  </x:authors>
  <x:commentList>
    <x:comment ref="C37" authorId="0">
      <x:text>
        <x:r>
          <x:t>[Threaded comment]
Your version of Excel allows you to read this threaded comment; however, any edits to it will get removed if the file is opened in a newer version of Excel. Learn more: https://go.microsoft.com/fwlink/?linkid=870924
Comment:
    Depending on the operation:
1. Have Separate Operating Platform / Sections for Defueling; Vessel Inspection; Refueling with the RPV moving along rail/belt:
1.1 Potentially easier to parallelize
1.2 More CAPEX cost
1.3 Less complexity with moving components
2. Have single Operating Platform with overhead cranes/ handling tools moving between each step:
2.1 Likely more difficult to parallelize
2.2 Less Equipment (crane, tools) required per Rx
2.3 More complex overhead tool transport required</x:t>
        </x:r>
      </x:text>
    </x:comment>
    <x:comment ref="C38" authorId="1">
      <x:text>
        <x:r>
          <x:t>[Threaded comment]
Your version of Excel allows you to read this threaded comment; however, any edits to it will get removed if the file is opened in a newer version of Excel. Learn more: https://go.microsoft.com/fwlink/?linkid=870924
Comment:
    Currently a single-line account due to a lack of information.
If) additional information on cost is available, add sub-accounts.
Else) Use estimated Fix Cost for Hot Cell</x:t>
        </x:r>
      </x:text>
    </x:comment>
    <x:comment ref="C40" authorId="2">
      <x:text>
        <x:r>
          <x:t>[Threaded comment]
Your version of Excel allows you to read this threaded comment; however, any edits to it will get removed if the file is opened in a newer version of Excel. Learn more: https://go.microsoft.com/fwlink/?linkid=870924
Comment:
    Lower cost / requirements of a hot cell compared to testing facility
 - Less shielding required
 - No fuel processed</x:t>
        </x:r>
      </x:text>
    </x:comment>
    <x:comment ref="C98" authorId="3">
      <x:text>
        <x:r>
          <x: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x:t>
        </x:r>
      </x:text>
    </x:comment>
    <x:comment ref="E1" authorId="4">
      <x:text>
        <x:r>
          <x:t>[Threaded comment]
Your version of Excel allows you to read this threaded comment; however, any edits to it will get removed if the file is opened in a newer version of Excel. Learn more: https://go.microsoft.com/fwlink/?linkid=870924
Comment:
    Standard: uses the cost information in this database
Non-standard: cost is calculated in the python side with a custom function</x:t>
        </x:r>
      </x:text>
    </x:comment>
    <x:comment ref="F1" authorId="5">
      <x:text>
        <x:r>
          <x:t>[Threaded comment]
Your version of Excel allows you to read this threaded comment; however, any edits to it will get removed if the file is opened in a newer version of Excel. Learn more: https://go.microsoft.com/fwlink/?linkid=870924
Comment:
    Input Variable that is used to multiply the number of equipment / account.
- constant: only 1x equipment/system is present</x:t>
        </x:r>
      </x:text>
    </x:comment>
    <x:comment ref="F88" authorId="6">
      <x:text>
        <x:r>
          <x:t>[Threaded comment]
Your version of Excel allows you to read this threaded comment; however, any edits to it will get removed if the file is opened in a newer version of Excel. Learn more: https://go.microsoft.com/fwlink/?linkid=870924
Comment:
    Notice that this requires the Input file to specify the Annual Spent Fuel Cask Replacement Count.
Reply:
    Alternatively, if the Replacement Count calculation is relatively simple, you can select another variable * Count per Variable as well
Reply:
    E.g.) If Spent Fuel Cask Use is Servicing Rate * 2 (assuming 2 spent fuel casks per reactor), the Count Scaling Variable would be “Servicing Rate” (required as input) and the Count per Variable would be 2</x:t>
        </x:r>
      </x:text>
    </x:comment>
    <x:comment ref="G1" authorId="7">
      <x:text>
        <x:r>
          <x:t>[Threaded comment]
Your version of Excel allows you to read this threaded comment; however, any edits to it will get removed if the file is opened in a newer version of Excel. Learn more: https://go.microsoft.com/fwlink/?linkid=870924
Comment:
    Used in conjunction with Count Scaling Variable as a multiplier to determine the number of equipment/system
Reply:
    E.g.)
Count Scaling Variable = Servicing Lines
Count per Variable = 3
Total Number of Equipment present= Number of Servicing Lines (defined in input) * 3</x:t>
        </x:r>
      </x:text>
    </x:comment>
    <x:comment ref="H1" authorId="8">
      <x:text>
        <x:r>
          <x:t>[Threaded comment]
Your version of Excel allows you to read this threaded comment; however, any edits to it will get removed if the file is opened in a newer version of Excel. Learn more: https://go.microsoft.com/fwlink/?linkid=870924
Comment:
    If specified, the given account is calculated only if:
1. Optional Variable is present
2. Optional Variable’s Value matches Column I</x:t>
        </x:r>
      </x:text>
    </x:comment>
    <x:comment ref="J1" authorId="9">
      <x:text>
        <x:r>
          <x:t>[Threaded comment]
Your version of Excel allows you to read this threaded comment; however, any edits to it will get removed if the file is opened in a newer version of Excel. Learn more: https://go.microsoft.com/fwlink/?linkid=870924
Comment:
    Fixed Cost per Count</x:t>
        </x:r>
      </x:text>
    </x:comment>
    <x:comment ref="J5" authorId="10">
      <x:text>
        <x:r>
          <x:t>[Threaded comment]
Your version of Excel allows you to read this threaded comment; however, any edits to it will get removed if the file is opened in a newer version of Excel. Learn more: https://go.microsoft.com/fwlink/?linkid=870924
Comment:
    the average of two values in the NRC website</x:t>
        </x:r>
      </x:text>
    </x:comment>
    <x:comment ref="J83" authorId="11">
      <x:text>
        <x:r>
          <x:t>[Threaded comment]
Your version of Excel allows you to read this threaded comment; however, any edits to it will get removed if the file is opened in a newer version of Excel. Learn more: https://go.microsoft.com/fwlink/?linkid=870924
Comment:
    MOUSE CF branch currently assumes 5% of account 20. Or does it assume Maintenance to Direct Cost Ratio times account 20? (Maintenance to Direct Cost Ratio is found on sheet Economics Parameters and currently set to 1%). Need to understand block starting at line 106 in non_direct_cost.py (# A742: Annualized Spares...)</x:t>
        </x:r>
      </x:text>
    </x:comment>
    <x:comment ref="J98" authorId="12">
      <x:text>
        <x:r>
          <x:t>[Threaded comment]
Your version of Excel allows you to read this threaded comment; however, any edits to it will get removed if the file is opened in a newer version of Excel. Learn more: https://go.microsoft.com/fwlink/?linkid=870924
Comment:
    MOUSE CF branch currently assumes Maintenance to Direct Cost Ratio times account 20 (Maintenance to Direct Cost Ratio is found on sheet Economics Parameters and currently set to 1%).</x:t>
        </x:r>
      </x:text>
    </x:comment>
    <x:comment ref="J99" authorId="13">
      <x:text>
        <x:r>
          <x:t>[Threaded comment]
Your version of Excel allows you to read this threaded comment; however, any edits to it will get removed if the file is opened in a newer version of Excel. Learn more: https://go.microsoft.com/fwlink/?linkid=870924
Comment:
    MOUSE CF branch calculates this as:
params['A78: CAPEX to Decommissioning Cost Ratio'] = 0.15
decommissioning_fv_cost = capex * params['A78: CAPEX to Decommissioning Cost Ratio']
        fv_to_pv_of_annuity = -AR/(1- pow(1+AR, LP))
        annualized_decommisioning_cost = decommissioning_fv_cost * fv_to_pv_of_annuity     
        df.loc[df['Account'] == 78, estimated_cost_col] = annualized_decommisioning_cost
capex = df.loc[df['Account'].isin([10, 20]), estimated_cost_col].sum()
        AR = params['Annual Return']
        LP = params ['Levelization Period']</x:t>
        </x:r>
      </x:text>
    </x:comment>
    <x:comment ref="K1" authorId="14">
      <x:text>
        <x:r>
          <x:t>[Threaded comment]
Your version of Excel allows you to read this threaded comment; however, any edits to it will get removed if the file is opened in a newer version of Excel. Learn more: https://go.microsoft.com/fwlink/?linkid=870924
Comment:
    If Exponent (Column P) is empty / 1:
 - Cost = Fixed Cost + (Unit Cost * Scaling Variable)
If Exponent is not empty:
 - Cost = Fixed Cost + Unit Cost(Scaling Variable^Exponent)/(Scaling Variable Ref Value^(Exponent-1))
Reply:
    This is handled weirdly just based on how Mouse is coded. 
1. You’ll notice that if there is a non-zero Ref Value, then the unit cost is already divided by that Ref Value in this Database</x:t>
        </x:r>
      </x:text>
    </x:comment>
    <x:comment ref="K39" authorId="15">
      <x:text>
        <x:r>
          <x:t>[Threaded comment]
Your version of Excel allows you to read this threaded comment; however, any edits to it will get removed if the file is opened in a newer version of Excel. Learn more: https://go.microsoft.com/fwlink/?linkid=870924
Comment:
    Calculated to be $/(kg/s) to convert the total cost to a unit cost. I’m not inputting this value into the Fixed Cost field, because MOUSE will not scale the fixed cost, to my understanding.</x:t>
        </x:r>
      </x:text>
    </x:comment>
    <x:comment ref="K62" authorId="16">
      <x:text>
        <x:r>
          <x:t>[Threaded comment]
Your version of Excel allows you to read this threaded comment; however, any edits to it will get removed if the file is opened in a newer version of Excel. Learn more: https://go.microsoft.com/fwlink/?linkid=870924
Comment:
    Determine a scaling relationship from the 10 and 100 options and implement it here.</x:t>
        </x:r>
      </x:text>
    </x:comment>
    <x:comment ref="L33" authorId="17">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4" authorId="18">
      <x:text>
        <x:r>
          <x:t>[Threaded comment]
Your version of Excel allows you to read this threaded comment; however, any edits to it will get removed if the file is opened in a newer version of Excel. Learn more: https://go.microsoft.com/fwlink/?linkid=870924
Comment:
    Unit not available ($/(Rx/yr))</x:t>
        </x:r>
      </x:text>
    </x:comment>
    <x:comment ref="L39" authorId="19">
      <x:text>
        <x:r>
          <x:t>[Threaded comment]
Your version of Excel allows you to read this threaded comment; however, any edits to it will get removed if the file is opened in a newer version of Excel. Learn more: https://go.microsoft.com/fwlink/?linkid=870924
Comment:
    Unit of $/(kg/s) not available</x:t>
        </x:r>
      </x:text>
    </x:comment>
    <x:comment ref="M11" authorId="20">
      <x:text>
        <x:r>
          <x:t>[Threaded comment]
Your version of Excel allows you to read this threaded comment; however, any edits to it will get removed if the file is opened in a newer version of Excel. Learn more: https://go.microsoft.com/fwlink/?linkid=870924
Comment:
    Remember to reduce the area in python, as cost estimates of buildings from cost estimators will already include these costs.</x:t>
        </x:r>
      </x:text>
    </x:comment>
    <x:comment ref="N20" authorId="21">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N22" authorId="22">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x:t>
        </x:r>
      </x:text>
    </x:comment>
    <x:comment ref="O13" authorId="23">
      <x:text>
        <x:r>
          <x:t>[Threaded comment]
Your version of Excel allows you to read this threaded comment; however, any edits to it will get removed if the file is opened in a newer version of Excel. Learn more: https://go.microsoft.com/fwlink/?linkid=870924
Comment:
    Need meter as an option for unit</x:t>
        </x:r>
      </x:text>
    </x:comment>
    <x:comment ref="P20" authorId="24">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P22" authorId="25">
      <x:text>
        <x:r>
          <x:t>[Threaded comment]
Your version of Excel allows you to read this threaded comment; however, any edits to it will get removed if the file is opened in a newer version of Excel. Learn more: https://go.microsoft.com/fwlink/?linkid=870924
Comment:
    For a linear correlation, must be set to 1 to my understanding. NOT to 0.</x:t>
        </x:r>
      </x:text>
    </x:comment>
    <x:comment ref="P39" authorId="26">
      <x:text>
        <x:r>
          <x:t>[Threaded comment]
Your version of Excel allows you to read this threaded comment; however, any edits to it will get removed if the file is opened in a newer version of Excel. Learn more: https://go.microsoft.com/fwlink/?linkid=870924
Comment:
    Need to revisit, just from search</x:t>
        </x:r>
      </x:text>
    </x:comment>
    <x:comment ref="Q1" authorId="27">
      <x:text>
        <x:r>
          <x:t>[Threaded comment]
Your version of Excel allows you to read this threaded comment; however, any edits to it will get removed if the file is opened in a newer version of Excel. Learn more: https://go.microsoft.com/fwlink/?linkid=870924
Comment:
    Base Year before Escalation</x:t>
        </x:r>
      </x:text>
    </x:comment>
    <x:comment ref="R1" authorId="28">
      <x:text>
        <x:r>
          <x:t>[Threaded comment]
Your version of Excel allows you to read this threaded comment; however, any edits to it will get removed if the file is opened in a newer version of Excel. Learn more: https://go.microsoft.com/fwlink/?linkid=870924
Comment:
    Type of Escalation Factor to use.
1. Choose the best estimate of where the Account’s cost comes from.
2. See Inflation Adjustment to see what Escalation Factor will be used</x:t>
        </x:r>
      </x:text>
    </x:comment>
    <x:comment ref="W1" authorId="29">
      <x:text>
        <x:r>
          <x:t>[Threaded comment]
Your version of Excel allows you to read this threaded comment; however, any edits to it will get removed if the file is opened in a newer version of Excel. Learn more: https://go.microsoft.com/fwlink/?linkid=870924
Comment:
    Type of Cost Multiplier for NOAK:
1. Specify the Learning Type
2. See “Economics Parameters” to see the Learning Rate
Reply:
    Will have to determine if a Learning Rate is appropriate for our Mega-facility.
This is mainly applicable for the Site Components at this moment</x:t>
        </x:r>
      </x:text>
    </x:comment>
    <x:comment ref="X1" authorId="30">
      <x:text>
        <x:r>
          <x:t>[Threaded comment]
Your version of Excel allows you to read this threaded comment; however, any edits to it will get removed if the file is opened in a newer version of Excel. Learn more: https://go.microsoft.com/fwlink/?linkid=870924
Comment:
    Low End Estimate for Fixed Cost.
Used for Cost Bounding</x:t>
        </x:r>
      </x:text>
    </x:comment>
    <x:comment ref="AA1" authorId="31">
      <x:text>
        <x:r>
          <x:t>[Threaded comment]
Your version of Excel allows you to read this threaded comment; however, any edits to it will get removed if the file is opened in a newer version of Excel. Learn more: https://go.microsoft.com/fwlink/?linkid=870924
Comment:
    For items from MC30 Cost Estimation…pdf (created by INL cost estimator), need to update to fit low and high estimates from that document.</x:t>
        </x:r>
      </x:text>
    </x:comment>
  </x:commentList>
</x:comments>
</file>

<file path=xl/sharedStrings.xml><?xml version="1.0" encoding="utf-8"?>
<x:sst xmlns:x="http://schemas.openxmlformats.org/spreadsheetml/2006/main">
  <x:si>
    <x:t xml:space="preserve">Account</x:t>
  </x:si>
  <x:si>
    <x:t xml:space="preserve">Level</x:t>
  </x:si>
  <x:si>
    <x:t xml:space="preserve">Account Name</x:t>
  </x:si>
  <x:si>
    <x:t xml:space="preserve">Account Title</x:t>
  </x:si>
  <x:si>
    <x:t xml:space="preserve">Standard Cost Equation?</x:t>
  </x:si>
  <x:si>
    <x:t xml:space="preserve">Optional Variable</x:t>
  </x:si>
  <x:si>
    <x:t xml:space="preserve">Optional Value</x:t>
  </x:si>
  <x:si>
    <x:t xml:space="preserve">Sec Optional Variable</x:t>
  </x:si>
  <x:si>
    <x:t xml:space="preserve">Sec Optional Value</x:t>
  </x:si>
  <x:si>
    <x:t xml:space="preserve">Fixed Cost ($)</x:t>
  </x:si>
  <x:si>
    <x:t xml:space="preserve">Unit Cost</x:t>
  </x:si>
  <x:si>
    <x:t xml:space="preserve">Unit Cost (units)</x:t>
  </x:si>
  <x:si>
    <x:t xml:space="preserve">Scaling Variable</x:t>
  </x:si>
  <x:si>
    <x:t xml:space="preserve">Scaling Variable Ref Value</x:t>
  </x:si>
  <x:si>
    <x:t xml:space="preserve">Units</x:t>
  </x:si>
  <x:si>
    <x:t xml:space="preserve">Exponent</x:t>
  </x:si>
  <x:si>
    <x:t xml:space="preserve">Dollar Year</x:t>
  </x:si>
  <x:si>
    <x:t xml:space="preserve">Type</x:t>
  </x:si>
  <x:si>
    <x:t xml:space="preserve">Source</x:t>
  </x:si>
  <x:si>
    <x:t xml:space="preserve">Ref</x:t>
  </x:si>
  <x:si>
    <x:t xml:space="preserve">Link</x:t>
  </x:si>
  <x:si>
    <x:t xml:space="preserve">Notes</x:t>
  </x:si>
  <x:si>
    <x:t xml:space="preserve">FOAK to NOAK Multiplier Type</x:t>
  </x:si>
  <x:si>
    <x:t xml:space="preserve">Fixed Cost Low End</x:t>
  </x:si>
  <x:si>
    <x:t xml:space="preserve">Fixed Cost High End</x:t>
  </x:si>
  <x:si>
    <x:t xml:space="preserve">Fixed Cost Distribution</x:t>
  </x:si>
  <x:si>
    <x:t xml:space="preserve">Unit Cost Low End</x:t>
  </x:si>
  <x:si>
    <x:t xml:space="preserve">Unit Cost High End</x:t>
  </x:si>
  <x:si>
    <x:t xml:space="preserve">Unit Cost Distribution</x:t>
  </x:si>
  <x:si>
    <x:t xml:space="preserve">Exponent std</x:t>
  </x:si>
  <x:si>
    <x:t xml:space="preserve">Exponent Max</x:t>
  </x:si>
  <x:si>
    <x:t xml:space="preserve">Exponent Min</x:t>
  </x:si>
  <x:si>
    <x:t xml:space="preserve">Exponent Distribution</x:t>
  </x:si>
  <x:si>
    <x:t xml:space="preserve">Capitalized Pre-Construction Costs</x:t>
  </x:si>
  <x:si>
    <x:t xml:space="preserve">Land Cost</x:t>
  </x:si>
  <x:si>
    <x:t xml:space="preserve">standard</x:t>
  </x:si>
  <x:si>
    <x:t xml:space="preserve">$/acres</x:t>
  </x:si>
  <x:si>
    <x:t xml:space="preserve">Land Area</x:t>
  </x:si>
  <x:si>
    <x:t xml:space="preserve">acres</x:t>
  </x:si>
  <x:si>
    <x:t xml:space="preserve">General</x:t>
  </x:si>
  <x:si>
    <x:t xml:space="preserve">The average cost per acre for rural land in 2022 from the US Department of Agriculture</x:t>
  </x:si>
  <x:si>
    <x:t xml:space="preserve">Abou-Jaoude, A., Lohse, C. S., Larsen, L. M., Guaita, N., Trivedi, I., Joseck, F. C., ... &amp; Stein, A. (2024). Meta-analysis of advanced nuclear reactor cost estimations (No. INL/RPT-24-77048-Rev001). Idaho National Laboratory (INL), Idaho Falls, ID (United States).</x:t>
  </x:si>
  <x:si>
    <x:t xml:space="preserve">https://inldigitallibrary.inl.gov/sites/sti/sti/Sort_107010.pdf</x:t>
  </x:si>
  <x:si>
    <x:t xml:space="preserve">No Learning</x:t>
  </x:si>
  <x:si>
    <x:t xml:space="preserve">Lognormal</x:t>
  </x:si>
  <x:si>
    <x:t xml:space="preserve">0.1</x:t>
  </x:si>
  <x:si>
    <x:t xml:space="preserve">1</x:t>
  </x:si>
  <x:si>
    <x:t xml:space="preserve">0</x:t>
  </x:si>
  <x:si>
    <x:t xml:space="preserve">Truncated Normal</x:t>
  </x:si>
  <x:si>
    <x:t xml:space="preserve">Site Permits</x:t>
  </x:si>
  <x:si>
    <x:t xml:space="preserve">$/MWe</x:t>
  </x:si>
  <x:si>
    <x:t xml:space="preserve">Power MWe</x:t>
  </x:si>
  <x:si>
    <x:t xml:space="preserve">MWe</x:t>
  </x:si>
  <x:si>
    <x:t xml:space="preserve">Labor</x:t>
  </x:si>
  <x:si>
    <x:t xml:space="preserve">Data from SMR MHTGRs</x:t>
  </x:si>
  <x:si>
    <x:t xml:space="preserve">Plant Licensing</x:t>
  </x:si>
  <x:si>
    <x:t xml:space="preserve">NRC Website</x:t>
  </x:si>
  <x:si>
    <x:t xml:space="preserve">According to NRC, the number of hours range from 108K to 257K hours https://www.nrc.gov/docs/ML2301/ML23018A174.pdf
For the hourly rate: 154$/hour
https://www.federalregister.gov/documents/2026/06/16/2026-12067/fee-schedules-fee-recovery-for-fiscal-year-2026</x:t>
  </x:si>
  <x:si>
    <x:t xml:space="preserve">https://art.inl.gov/NGNP/INL%20Documents/Year%202012/Assessment%20of%20High%20Temperature%20Gas-Cooled%20Reactor%20-%20HTGR%20-%20Capital%20and%20Operating%20Costs.pdf</x:t>
  </x:si>
  <x:si>
    <x:t xml:space="preserve">Licensing Learning</x:t>
  </x:si>
  <x:si>
    <x:t xml:space="preserve">Uniform</x:t>
  </x:si>
  <x:si>
    <x:t xml:space="preserve">Plant Permits</x:t>
  </x:si>
  <x:si>
    <x:t xml:space="preserve">NGNP project</x:t>
  </x:si>
  <x:si>
    <x:t xml:space="preserve">Gandrik, A., B. Wallace, L. Demick, S. Melancon and M. Patterson (2011). "Assessment of high temperature gas-cooled reactor (HTGR) capital and operating costs." Idaho National Laboratory, TEV-1196, Idaho Falls, ID.</x:t>
  </x:si>
  <x:si>
    <x:t xml:space="preserve">Plant Studies</x:t>
  </x:si>
  <x:si>
    <x:t xml:space="preserve">MARVEL Project (Labor-adjusted Cost)</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</x:si>
  <x:si>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</x:si>
  <x:si>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https://inldigitallibrary.inl.gov/sites/sti/sti/Sort_129862.pdf</x:t>
  </x:si>
  <x:si>
    <x:t xml:space="preserve">MARVEL's data were updated</x:t>
  </x:si>
  <x:si>
    <x:t xml:space="preserve">Capitalized Direct Costs</x:t>
  </x:si>
  <x:si>
    <x:t xml:space="preserve">Structures and Improvements</x:t>
  </x:si>
  <x:si>
    <x:t xml:space="preserve">Site Preparation/ Yard Work</x:t>
  </x:si>
  <x:si>
    <x:t xml:space="preserve">Cleaning and Grubbing</x:t>
  </x:si>
  <x:si>
    <x:t xml:space="preserve">Lab and Equip</x:t>
  </x:si>
  <x:si>
    <x:t xml:space="preserve">RSMeans software: a tool that primarily provides costs for non-nuclear work
Nuclear Multiplier have been applied to adjust the costs for nuclear-site-related work</x:t>
  </x:si>
  <x:si>
    <x:t xml:space="preserve">GORDIAN. (2024). "RSMeans data. 
&amp;
Delene, J. G. and I. Hudson, C. R. (1993). Cost estimate guidelines for advanced nuclear power technologies. United States, Oak Ridge National Lab. (ORNL), Oak Ridge, TN (United States): Medium: ED; Size: 159 p.</x:t>
  </x:si>
  <x:si>
    <x:t xml:space="preserve">https://www.rsmeans.com/
&amp;
https://www.osti.gov/biblio/10176857</x:t>
  </x:si>
  <x:si>
    <x:t xml:space="preserve">Onsite Learning</x:t>
  </x:si>
  <x:si>
    <x:t xml:space="preserve">Stripping Topsoil</x:t>
  </x:si>
  <x:si>
    <x:t xml:space="preserve">Excavation</x:t>
  </x:si>
  <x:si>
    <x:t xml:space="preserve">$/m^3</x:t>
  </x:si>
  <x:si>
    <x:t xml:space="preserve">Excavation Volume</x:t>
  </x:si>
  <x:si>
    <x:t xml:space="preserve">m^3</x:t>
  </x:si>
  <x:si>
    <x:t xml:space="preserve">Roads</x:t>
  </x:si>
  <x:si>
    <x:t xml:space="preserve">$/m</x:t>
  </x:si>
  <x:si>
    <x:t xml:space="preserve">GEN Road Length</x:t>
  </x:si>
  <x:si>
    <x:t xml:space="preserve">m</x:t>
  </x:si>
  <x:si>
    <x:t xml:space="preserve">MC30 Cost Estimation of Microreactor Facilities Inital Draft 5-6-2026.pdf, less 30%</x:t>
  </x:si>
  <x:si>
    <x:t xml:space="preserve">Security Fencing</x:t>
  </x:si>
  <x:si>
    <x:t xml:space="preserve">Security Fencing Limited</x:t>
  </x:si>
  <x:si>
    <x:t xml:space="preserve">Limited Perimeter</x:t>
  </x:si>
  <x:si>
    <x:t xml:space="preserve">Security Fencing Protected</x:t>
  </x:si>
  <x:si>
    <x:t xml:space="preserve">Protected Perimeter</x:t>
  </x:si>
  <x:si>
    <x:t xml:space="preserve">Reactor Island Civil Structures</x:t>
  </x:si>
  <x:si>
    <x:t xml:space="preserve">Reactor Building Slab Roof</x:t>
  </x:si>
  <x:si>
    <x:t xml:space="preserve">Reactor Building Slab Roof Volume</x:t>
  </x:si>
  <x:si>
    <x:t xml:space="preserve">Lab and Mat and Equip</x:t>
  </x:si>
  <x:si>
    <x:t xml:space="preserve">Reactor Building Basement</x:t>
  </x:si>
  <x:si>
    <x:t xml:space="preserve">Reactor Building Basement Volume</x:t>
  </x:si>
  <x:si>
    <x:t xml:space="preserve">Reactor Building Walls</x:t>
  </x:si>
  <x:si>
    <x:t xml:space="preserve">Reactor Building Exterior Walls Volume</x:t>
  </x:si>
  <x:si>
    <x:t xml:space="preserve">Reactor Building Liner</x:t>
  </x:si>
  <x:si>
    <x:t xml:space="preserve">$/m^2</x:t>
  </x:si>
  <x:si>
    <x:t xml:space="preserve">Reactor Building Superstructure Area</x:t>
  </x:si>
  <x:si>
    <x:t xml:space="preserve">m^2</x:t>
  </x:si>
  <x:si>
    <x:t xml:space="preserve">Stewart W.R., Shirvan K., "Capital cost estimation for advanced nuclear power plants," Renewable and Sustainable Energy Reviews, Nov. 2021, 111880</x:t>
  </x:si>
  <x:si>
    <x:t xml:space="preserve">https://doi.org/10.1016/j.rser.2021.111880</x:t>
  </x:si>
  <x:si>
    <x:t xml:space="preserve">Reactor Building HVAC</x:t>
  </x:si>
  <x:si>
    <x:t xml:space="preserve">$/MWt</x:t>
  </x:si>
  <x:si>
    <x:t xml:space="preserve">Power MWt</x:t>
  </x:si>
  <x:si>
    <x:t xml:space="preserve">MWt</x:t>
  </x:si>
  <x:si>
    <x:t xml:space="preserve">Main Function Buildings</x:t>
  </x:si>
  <x:si>
    <x:t xml:space="preserve">Energy conversion Building</x:t>
  </x:si>
  <x:si>
    <x:t xml:space="preserve">Energy Conversion Building Slab Roof</x:t>
  </x:si>
  <x:si>
    <x:t xml:space="preserve">Turbine Building Slab Roof Volume</x:t>
  </x:si>
  <x:si>
    <x:t xml:space="preserve">RSMeans software: a tool that primarily provides costs for non-nuclear work
</x:t>
  </x:si>
  <x:si>
    <x:t xml:space="preserve">Energy Conversion Building Basement</x:t>
  </x:si>
  <x:si>
    <x:t xml:space="preserve">Turbine Building Basement Volume</x:t>
  </x:si>
  <x:si>
    <x:t xml:space="preserve">Energy Conversion Building Walls</x:t>
  </x:si>
  <x:si>
    <x:t xml:space="preserve">Turbine Building Exterior Walls Volume</x:t>
  </x:si>
  <x:si>
    <x:t xml:space="preserve">Control building</x:t>
  </x:si>
  <x:si>
    <x:t xml:space="preserve">Control Building Slab Roof</x:t>
  </x:si>
  <x:si>
    <x:t xml:space="preserve">Control Building Slab Roof Volume</x:t>
  </x:si>
  <x:si>
    <x:t xml:space="preserve">Control Building Basement</x:t>
  </x:si>
  <x:si>
    <x:t xml:space="preserve">Control Building Basement Volume</x:t>
  </x:si>
  <x:si>
    <x:t xml:space="preserve">Control Building Walls</x:t>
  </x:si>
  <x:si>
    <x:t xml:space="preserve">Control Building Exterior Walls Volume</x:t>
  </x:si>
  <x:si>
    <x:t xml:space="preserve">Integrated Heat Exchanger Building</x:t>
  </x:si>
  <x:si>
    <x:t xml:space="preserve">reactor type</x:t>
  </x:si>
  <x:si>
    <x:t xml:space="preserve">GCMR</x:t>
  </x:si>
  <x:si>
    <x:t xml:space="preserve">Integrated Heat Exchanger Building Slab Roof</x:t>
  </x:si>
  <x:si>
    <x:t xml:space="preserve">Integrated Heat Exchanger Building Slab Roof Volume</x:t>
  </x:si>
  <x:si>
    <x:t xml:space="preserve">Integrated Heat Exchanger Building Basement</x:t>
  </x:si>
  <x:si>
    <x:t xml:space="preserve">Integrated Heat Exchanger Building Basement Volume</x:t>
  </x:si>
  <x:si>
    <x:t xml:space="preserve">Integrated Heat Exchanger Building Walls</x:t>
  </x:si>
  <x:si>
    <x:t xml:space="preserve">Integrated Heat Exchanger Building Exterior Walls Volume</x:t>
  </x:si>
  <x:si>
    <x:t xml:space="preserve">Integrated Heat Exchanger Building Liner</x:t>
  </x:si>
  <x:si>
    <x:t xml:space="preserve">Integrated Heat Exchanger Building Superstructure Area</x:t>
  </x:si>
  <x:si>
    <x:t xml:space="preserve">Buildings to Support Main Function </x:t>
  </x:si>
  <x:si>
    <x:t xml:space="preserve">Fuel Management Buildings</x:t>
  </x:si>
  <x:si>
    <x:t xml:space="preserve">Refueling Building</x:t>
  </x:si>
  <x:si>
    <x:t xml:space="preserve">Refueling Building Slab Roof</x:t>
  </x:si>
  <x:si>
    <x:t xml:space="preserve">Refueling Building Slab Roof Volume</x:t>
  </x:si>
  <x:si>
    <x:t xml:space="preserve">Refueling Building Basement</x:t>
  </x:si>
  <x:si>
    <x:t xml:space="preserve">Refueling Building Basement Volume</x:t>
  </x:si>
  <x:si>
    <x:t xml:space="preserve">Refueling Building Walls</x:t>
  </x:si>
  <x:si>
    <x:t xml:space="preserve">Refueling Building Exterior Walls Volume</x:t>
  </x:si>
  <x:si>
    <x:t xml:space="preserve">Spent Fuel Building</x:t>
  </x:si>
  <x:si>
    <x:t xml:space="preserve">Spent Fuel Building Slab Roof</x:t>
  </x:si>
  <x:si>
    <x:t xml:space="preserve">Spent Fuel Building Slab Roof Volume</x:t>
  </x:si>
  <x:si>
    <x:t xml:space="preserve">Spent Fuel Building Basement</x:t>
  </x:si>
  <x:si>
    <x:t xml:space="preserve">Spent Fuel Building Basement Volume</x:t>
  </x:si>
  <x:si>
    <x:t xml:space="preserve">Spent Fuel Building Walls</x:t>
  </x:si>
  <x:si>
    <x:t xml:space="preserve">Spent Fuel Building Exterior Walls Volume</x:t>
  </x:si>
  <x:si>
    <x:t xml:space="preserve">Emergency and Start-up Power Systems Building</x:t>
  </x:si>
  <x:si>
    <x:t xml:space="preserve">Emergency Building</x:t>
  </x:si>
  <x:si>
    <x:t xml:space="preserve">Emergency Building Slab Roof</x:t>
  </x:si>
  <x:si>
    <x:t xml:space="preserve">Emergency Building Slab Roof Volume</x:t>
  </x:si>
  <x:si>
    <x:t xml:space="preserve">Emergency Building Basement</x:t>
  </x:si>
  <x:si>
    <x:t xml:space="preserve">Emergency Building Basement Volume</x:t>
  </x:si>
  <x:si>
    <x:t xml:space="preserve">Emergency Building Walls</x:t>
  </x:si>
  <x:si>
    <x:t xml:space="preserve">Emergency Building Exterior Walls Volume</x:t>
  </x:si>
  <x:si>
    <x:t xml:space="preserve">Diesel Generator</x:t>
  </x:si>
  <x:si>
    <x:t xml:space="preserve">Equipment</x:t>
  </x:si>
  <x:si>
    <x:t xml:space="preserve">MARVEL (for the cost of the diesel generator) 
The exponent is based on the work by Koruoush considering cost scaling from nuclear ad non nuclear power plants. When using the power as scaling variable, the exponent ranges between 0..6 and 0.8 so 0.7 is used here</x:t>
  </x:si>
  <x:si>
    <x:t xml:space="preserve">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x:t>
  </x:si>
  <x:si>
    <x:t xml:space="preserve">https://inldigitallibrary.inl.gov/sites/sti/sti/Sort_129862.pdf
https://www.sciencedirect.com/science/article/pii/S1364032121011473</x:t>
  </x:si>
  <x:si>
    <x:t xml:space="preserve">Factory Other</x:t>
  </x:si>
  <x:si>
    <x:t xml:space="preserve">Auxilliary Building</x:t>
  </x:si>
  <x:si>
    <x:t xml:space="preserve">Maniplator Building</x:t>
  </x:si>
  <x:si>
    <x:t xml:space="preserve">Manipulator Building Slab Roof</x:t>
  </x:si>
  <x:si>
    <x:t xml:space="preserve">Manipulator Building Slab Roof Volume</x:t>
  </x:si>
  <x:si>
    <x:t xml:space="preserve">Added a custom building for GCMR based on CAD drawing</x:t>
  </x:si>
  <x:si>
    <x:t xml:space="preserve">ManipulatorBuilding Basement</x:t>
  </x:si>
  <x:si>
    <x:t xml:space="preserve">Manipulator Building Basement Volume</x:t>
  </x:si>
  <x:si>
    <x:t xml:space="preserve">Manipulator Building Exterior Walls</x:t>
  </x:si>
  <x:si>
    <x:t xml:space="preserve">Manipulator Building Exterior Walls Volume</x:t>
  </x:si>
  <x:si>
    <x:t xml:space="preserve">Supply Chain Buildings</x:t>
  </x:si>
  <x:si>
    <x:t xml:space="preserve">Storage Building</x:t>
  </x:si>
  <x:si>
    <x:t xml:space="preserve">Storage Building Slab Roof</x:t>
  </x:si>
  <x:si>
    <x:t xml:space="preserve">Storage Building Slab Roof Volume</x:t>
  </x:si>
  <x:si>
    <x:t xml:space="preserve">Storage Building Basement</x:t>
  </x:si>
  <x:si>
    <x:t xml:space="preserve">Storage Building Basement Volume</x:t>
  </x:si>
  <x:si>
    <x:t xml:space="preserve">Storage Building Walls</x:t>
  </x:si>
  <x:si>
    <x:t xml:space="preserve">Storage Building Exterior Walls Volume</x:t>
  </x:si>
  <x:si>
    <x:t xml:space="preserve">Radwaste Building</x:t>
  </x:si>
  <x:si>
    <x:t xml:space="preserve">Radwaste Building Slab Roof</x:t>
  </x:si>
  <x:si>
    <x:t xml:space="preserve">Radwaste Building Slab Roof Volume</x:t>
  </x:si>
  <x:si>
    <x:t xml:space="preserve">Radwaste Building Basement</x:t>
  </x:si>
  <x:si>
    <x:t xml:space="preserve">Radwaste Building Basement Volume</x:t>
  </x:si>
  <x:si>
    <x:t xml:space="preserve">Radwaste Building Walls</x:t>
  </x:si>
  <x:si>
    <x:t xml:space="preserve">Radwaste Building Exterior Walls Volume</x:t>
  </x:si>
  <x:si>
    <x:t xml:space="preserve">Reactor System</x:t>
  </x:si>
  <x:si>
    <x:t xml:space="preserve">Reactor Components</x:t>
  </x:si>
  <x:si>
    <x:t xml:space="preserve">Reactor Vessel and Accessories</x:t>
  </x:si>
  <x:si>
    <x:t xml:space="preserve">Reactor Support</x:t>
  </x:si>
  <x:si>
    <x:t xml:space="preserve">$/Kg</x:t>
  </x:si>
  <x:si>
    <x:t xml:space="preserve">Total Vessels Mass</x:t>
  </x:si>
  <x:si>
    <x:t xml:space="preserve">Kg</x:t>
  </x:si>
  <x:si>
    <x:t xml:space="preserve">PWR12-ME</x:t>
  </x:si>
  <x:si>
    <x:t xml:space="preserve">Unit cost is the cost of support structure divided by the cost of guard vessel plus PCS</x:t>
  </x:si>
  <x:si>
    <x:t xml:space="preserve">Factory Primary Structure</x:t>
  </x:si>
  <x:si>
    <x:t xml:space="preserve">Outer Vessel Structure</x:t>
  </x:si>
  <x:si>
    <x:t xml:space="preserve">Guard Vessel Material</x:t>
  </x:si>
  <x:si>
    <x:t xml:space="preserve">stainless_steel</x:t>
  </x:si>
  <x:si>
    <x:t xml:space="preserve">Guard Vessel Mass</x:t>
  </x:si>
  <x:si>
    <x:t xml:space="preserve">Ganda et al., 2018</x:t>
  </x:si>
  <x:si>
    <x:t xml:space="preserve">Ganda, F., Hoffman, E., Taiwo, T. A., Kim, T. K., &amp; Hansen, J. (2019). Report on the ACCERT cost algorithms tool (No. ANL/NSE-19/10). Argonne National Lab.(ANL), Argonne, IL (United States).</x:t>
  </x:si>
  <x:si>
    <x:t xml:space="preserve">low_alloy_steel</x:t>
  </x:si>
  <x:si>
    <x:t xml:space="preserve">incoloy</x:t>
  </x:si>
  <x:si>
    <x:t xml:space="preserve">Inner Vessel Structure</x:t>
  </x:si>
  <x:si>
    <x:t xml:space="preserve">Vessel Material</x:t>
  </x:si>
  <x:si>
    <x:t xml:space="preserve">Vessel Mass</x:t>
  </x:si>
  <x:si>
    <x:t xml:space="preserve">Unit cost if the PCS cost (in MARVEL) divided by the PCS mass in MARVEL</x:t>
  </x:si>
  <x:si>
    <x:t xml:space="preserve">Reactor Control Devices</x:t>
  </x:si>
  <x:si>
    <x:t xml:space="preserve">Reactivity Control System </x:t>
  </x:si>
  <x:si>
    <x:t xml:space="preserve">Reactivity Control System Fabrication</x:t>
  </x:si>
  <x:si>
    <x:t xml:space="preserve">$/Drum</x:t>
  </x:si>
  <x:si>
    <x:t xml:space="preserve">Drum Count</x:t>
  </x:si>
  <x:si>
    <x:t xml:space="preserve">MARVEL Project </x:t>
  </x:si>
  <x:si>
    <x:t xml:space="preserve">Updated MARVEL Cost Estimate + Communication with MARVEL Team</x:t>
  </x:si>
  <x:si>
    <x:t xml:space="preserve">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x:t>
  </x:si>
  <x:si>
    <x:t xml:space="preserve">The scaling variable here is the total mass of all the control drums</x:t>
  </x:si>
  <x:si>
    <x:t xml:space="preserve">Factory Drums</x:t>
  </x:si>
  <x:si>
    <x:t xml:space="preserve">Installation</x:t>
  </x:si>
  <x:si>
    <x:t xml:space="preserve">Control Drums Materials (Absorber)</x:t>
  </x:si>
  <x:si>
    <x:t xml:space="preserve">Control Drum Absorber</x:t>
  </x:si>
  <x:si>
    <x:t xml:space="preserve">B4C_natural</x:t>
  </x:si>
  <x:si>
    <x:t xml:space="preserve">Control Drum Absorber Mass</x:t>
  </x:si>
  <x:si>
    <x:t xml:space="preserve">Material</x:t>
  </x:si>
  <x:si>
    <x:t xml:space="preserve">B4C_enriched</x:t>
  </x:si>
  <x:si>
    <x:t xml:space="preserve">Prosser et al., 2023</x:t>
  </x:si>
  <x:si>
    <x:t xml:space="preserve">Control Drums Materials (Reflector)</x:t>
  </x:si>
  <x:si>
    <x:t xml:space="preserve">Control Drum Reflector</x:t>
  </x:si>
  <x:si>
    <x:t xml:space="preserve">BeO</x:t>
  </x:si>
  <x:si>
    <x:t xml:space="preserve">Control Drum Reflector Mass</x:t>
  </x:si>
  <x:si>
    <x:t xml:space="preserve">Factory BeO</x:t>
  </x:si>
  <x:si>
    <x:t xml:space="preserve">Be</x:t>
  </x:si>
  <x:si>
    <x:t xml:space="preserve">Factory Be</x:t>
  </x:si>
  <x:si>
    <x:t xml:space="preserve">Graphite</x:t>
  </x:si>
  <x:si>
    <x:t xml:space="preserve">Naranjo de Candido and Shirvan, 2022</x:t>
  </x:si>
  <x:si>
    <x:t xml:space="preserve">Naranjo De Candido and Shirvan. (2022). Graphite Life-Cycle Cost Model for HTGRs, International High-Level Radioactive Waste Management Conference</x:t>
  </x:si>
  <x:si>
    <x:t xml:space="preserve">Control System Drive Mechanism</x:t>
  </x:si>
  <x:si>
    <x:t xml:space="preserve">First-Principles Cost Estimation of a Sodium Fast  Reactor Nuclear Plant. INL/RPT-23-74316
Table 38, 39</x:t>
  </x:si>
  <x:si>
    <x:t xml:space="preserve">Bottom-up Estimation of components with nuclear escalation + contingency</x:t>
  </x:si>
  <x:si>
    <x:t xml:space="preserve">Shutdown Rod Absorber Material</x:t>
  </x:si>
  <x:si>
    <x:t xml:space="preserve">Shutdown Rod Absorber</x:t>
  </x:si>
  <x:si>
    <x:t xml:space="preserve">Shutdown Rod Absorber Mass</x:t>
  </x:si>
  <x:si>
    <x:t xml:space="preserve">Existing MARVEL natural-B4C cost retained unchanged for shutdown-rod material costing.</x:t>
  </x:si>
  <x:si>
    <x:t xml:space="preserve">First-Principles Cost Estimation of a Sodium Fast Reactor Nuclear Plant. INL/RPT-23-74316</x:t>
  </x:si>
  <x:si>
    <x:t xml:space="preserve">Existing enriched-B4C cost retained unchanged for shutdown-rod material costing.</x:t>
  </x:si>
  <x:si>
    <x:t xml:space="preserve">Shutdown Rod Cladding Material</x:t>
  </x:si>
  <x:si>
    <x:t xml:space="preserve">Shutdown Rod Cladding</x:t>
  </x:si>
  <x:si>
    <x:t xml:space="preserve">SS304</x:t>
  </x:si>
  <x:si>
    <x:t xml:space="preserve">Shutdown Rod Cladding Mass</x:t>
  </x:si>
  <x:si>
    <x:t xml:space="preserve">Ganda, F., Hoffman, E., Taiwo, T. A., Kim, T. K., &amp; Hansen, J. (2019). Report on the ACCERT cost algorithms tool (No. ANL/NSE-19/10).</x:t>
  </x:si>
  <x:si>
    <x:t xml:space="preserve">Ganda stainless_steel cost used as a proxy for SS304 shutdown-rod cladding.</x:t>
  </x:si>
  <x:si>
    <x:t xml:space="preserve">Non-Fuel Core Internals</x:t>
  </x:si>
  <x:si>
    <x:t xml:space="preserve">Reflector</x:t>
  </x:si>
  <x:si>
    <x:t xml:space="preserve">Radial Reflector</x:t>
  </x:si>
  <x:si>
    <x:t xml:space="preserve">Radial Reflector Mass</x:t>
  </x:si>
  <x:si>
    <x:t xml:space="preserve">Axial Reflector</x:t>
  </x:si>
  <x:si>
    <x:t xml:space="preserve">Axial Reflector Mass</x:t>
  </x:si>
  <x:si>
    <x:t xml:space="preserve">Al2O3</x:t>
  </x:si>
  <x:si>
    <x:t xml:space="preserve">NTRD-FCO-2018-000439</x:t>
  </x:si>
  <x:si>
    <x:t xml:space="preserve">Shield</x:t>
  </x:si>
  <x:si>
    <x:t xml:space="preserve">In Vessel Shield Materials</x:t>
  </x:si>
  <x:si>
    <x:t xml:space="preserve">In Vessel Shield Material</x:t>
  </x:si>
  <x:si>
    <x:t xml:space="preserve">In Vessel Shield Mass</x:t>
  </x:si>
  <x:si>
    <x:t xml:space="preserve">Out The Vessel Shield Materials</x:t>
  </x:si>
  <x:si>
    <x:t xml:space="preserve">Out Of Vessel Shield Material</x:t>
  </x:si>
  <x:si>
    <x:t xml:space="preserve">WEP</x:t>
  </x:si>
  <x:si>
    <x:t xml:space="preserve">Out Of Vessel Shield Mass</x:t>
  </x:si>
  <x:si>
    <x:t xml:space="preserve">Moderator</x:t>
  </x:si>
  <x:si>
    <x:t xml:space="preserve">Moderator Mass</x:t>
  </x:si>
  <x:si>
    <x:t xml:space="preserve">monolith_graphite</x:t>
  </x:si>
  <x:si>
    <x:t xml:space="preserve">Monolith graphite is expected to be more expensive so I multiplied the graphite cost by two</x:t>
  </x:si>
  <x:si>
    <x:t xml:space="preserve">ZrH</x:t>
  </x:si>
  <x:si>
    <x:t xml:space="preserve">the Fuel SA&amp;I Cost Basis Report</x:t>
  </x:si>
  <x:si>
    <x:t xml:space="preserve">Abou-Jaoude, A., C. S. Lohse, L. M. Larsen, N. Guaita, I. Trivedi, F. C. Joseck, E. Hoffman, N. Stauff, K. Shirvan and A. Stein (2024). Meta-Analysis of Advanced Nuclear Reactor Cost Estimations, Idaho National Laboratory (INL), Idaho Falls, ID (United States).</x:t>
  </x:si>
  <x:si>
    <x:t xml:space="preserve">YHx</x:t>
  </x:si>
  <x:si>
    <x:t xml:space="preserve">We do not know the cost of Yhx. This is just a placeholder for now (assumed to be the same as ZrH)</x:t>
  </x:si>
  <x:si>
    <x:t xml:space="preserve">Moderator (Booster)</x:t>
  </x:si>
  <x:si>
    <x:t xml:space="preserve">Moderator Booster Materials</x:t>
  </x:si>
  <x:si>
    <x:t xml:space="preserve">Moderator Booster Mass Graphite</x:t>
  </x:si>
  <x:si>
    <x:t xml:space="preserve">Moderator Booster Mass YHx</x:t>
  </x:si>
  <x:si>
    <x:t xml:space="preserve">Moderator Booster Mass ZrH</x:t>
  </x:si>
  <x:si>
    <x:t xml:space="preserve">Main Heat Transport System</x:t>
  </x:si>
  <x:si>
    <x:t xml:space="preserve">Fluid Circulation Drive System</x:t>
  </x:si>
  <x:si>
    <x:t xml:space="preserve">Primary Pump</x:t>
  </x:si>
  <x:si>
    <x:t xml:space="preserve">nonstandard</x:t>
  </x:si>
  <x:si>
    <x:t xml:space="preserve">Yes</x:t>
  </x:si>
  <x:si>
    <x:t xml:space="preserve">$/(kg.sec)</x:t>
  </x:si>
  <x:si>
    <x:t xml:space="preserve">Primary Pump Mechanical Power</x:t>
  </x:si>
  <x:si>
    <x:t xml:space="preserve">Data from non-nuclear power plant + Ratio of safety grade pump nomalized cost compared to non-safety grade pump is btween 10 and 15 (12.5 ratio was used, from the EEDB (Ganda 2019, Figure 23)</x:t>
  </x:si>
  <x:si>
    <x:t xml:space="preserve">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x:t>
  </x:si>
  <x:si>
    <x:t xml:space="preserve">https://www.sciencedirect.com/science/article/pii/S1290072903000218
https://publications.anl.gov/anlpubs/2019/06/152862.pdf</x:t>
  </x:si>
  <x:si>
    <x:t xml:space="preserve">Secondary Pump</x:t>
  </x:si>
  <x:si>
    <x:t xml:space="preserve">Secondary Pump Mechanical Power</x:t>
  </x:si>
  <x:si>
    <x:t xml:space="preserve">Data from non-nuclear power plant</x:t>
  </x:si>
  <x:si>
    <x:t xml:space="preserve">Compressor</x:t>
  </x:si>
  <x:si>
    <x:t xml:space="preserve">unitless</x:t>
  </x:si>
  <x:si>
    <x:t xml:space="preserve">ANL/NSE-20/28</x:t>
  </x:si>
  <x:si>
    <x:t xml:space="preserve">Hoffman et al. (2020). Improvement of ACCERT Algorithm - FY20 (No. ANL/NSE-20/28). Argonne National Laboratory.(ANL), Argonne, IL (United States).</x:t>
  </x:si>
  <x:si>
    <x:t xml:space="preserve">Implemented on the python side. 
Chosen over default due to uncertainty in compressor Pressure Ratio changes based on reactor TH</x:t>
  </x:si>
  <x:si>
    <x:t xml:space="preserve">Reactor Heat Transfer Piping System</x:t>
  </x:si>
  <x:si>
    <x:t xml:space="preserve">From EEBD</x:t>
  </x:si>
  <x:si>
    <x:t xml:space="preserve">LTMR</x:t>
  </x:si>
  <x:si>
    <x:t xml:space="preserve">HPMR</x:t>
  </x:si>
  <x:si>
    <x:t xml:space="preserve">$/heatpipe</x:t>
  </x:si>
  <x:si>
    <x:t xml:space="preserve">Number of Heatpipes</x:t>
  </x:si>
  <x:si>
    <x:t xml:space="preserve">https://inldigitallibrary.inl.gov/sites/sti/sti/Sort_46104.pdf</x:t>
  </x:si>
  <x:si>
    <x:t xml:space="preserve">Heat Exchangers</x:t>
  </x:si>
  <x:si>
    <x:t xml:space="preserve">Primary Heat Exchanger</x:t>
  </x:si>
  <x:si>
    <x:t xml:space="preserve">HX Material</x:t>
  </x:si>
  <x:si>
    <x:t xml:space="preserve">SS316</x:t>
  </x:si>
  <x:si>
    <x:t xml:space="preserve">Primary HX Mass</x:t>
  </x:si>
  <x:si>
    <x:t xml:space="preserve">Non Nuclear Plants</x:t>
  </x:si>
  <x:si>
    <x:t xml:space="preserve">Gezelius, K. (2004). Design of compact intermediate heat exchangers for gas cooled fast reactors, Massachusetts Institute of Technology.</x:t>
  </x:si>
  <x:si>
    <x:t xml:space="preserve">800H</x:t>
  </x:si>
  <x:si>
    <x:t xml:space="preserve">Yoon, S.-J., P. Sabharwall and E.-S. Kim (2013). Analytical study on thermal and mechanical design of printed circuit heat exchanger, Idaho National Lab.(INL), Idaho Falls, ID (United States).</x:t>
  </x:si>
  <x:si>
    <x:t xml:space="preserve">Secondary Heat Exchanger</x:t>
  </x:si>
  <x:si>
    <x:t xml:space="preserve">Secondary HX Mass</x:t>
  </x:si>
  <x:si>
    <x:t xml:space="preserve">Initial Coolant Inventory</x:t>
  </x:si>
  <x:si>
    <x:t xml:space="preserve">Coolant</x:t>
  </x:si>
  <x:si>
    <x:t xml:space="preserve">Helium</x:t>
  </x:si>
  <x:si>
    <x:t xml:space="preserve">Onsite Coolant Inventory</x:t>
  </x:si>
  <x:si>
    <x:t xml:space="preserve">Fernandez de Losada. (2024). Assessment of the Lifecycle Cost of Nuclear-Grade Coolants for Advanced Reactors. ETHzurich. Swiss.</x:t>
  </x:si>
  <x:si>
    <x:t xml:space="preserve">https://doi.org/10.3929/ethz-b-000709311</x:t>
  </x:si>
  <x:si>
    <x:t xml:space="preserve">Vendor Quoate (Linde) for 3000 cylinders of 99.999% purity Helium. 3000 cylinders correspond to ~4 MT of He.</x:t>
  </x:si>
  <x:si>
    <x:t xml:space="preserve">NaK</x:t>
  </x:si>
  <x:si>
    <x:t xml:space="preserve">Integrated Heat Transfer Vessel</x:t>
  </x:si>
  <x:si>
    <x:t xml:space="preserve">Integrated Heat Transfer Vessel Mass</x:t>
  </x:si>
  <x:si>
    <x:t xml:space="preserve">Custom Accounts to model the vessel that houses the PCHE, Circulator, and Pipe Connections. These are assumed to be SA508 for now but use the same unit-cost as SS PCHE</x:t>
  </x:si>
  <x:si>
    <x:t xml:space="preserve">Integrated Heat Transfer System Support</x:t>
  </x:si>
  <x:si>
    <x:t xml:space="preserve">Safety Systems</x:t>
  </x:si>
  <x:si>
    <x:t xml:space="preserve">Reactor Cavity Cooling System (Rvacs)</x:t>
  </x:si>
  <x:si>
    <x:t xml:space="preserve">Rvacs (Cooling Vessel)</x:t>
  </x:si>
  <x:si>
    <x:t xml:space="preserve">Cooling Vessel Mass</x:t>
  </x:si>
  <x:si>
    <x:t xml:space="preserve">Rvacs (Intake Vessel)</x:t>
  </x:si>
  <x:si>
    <x:t xml:space="preserve">Intake Vessel Mass</x:t>
  </x:si>
  <x:si>
    <x:t xml:space="preserve">Other Reactor Plant Equipment</x:t>
  </x:si>
  <x:si>
    <x:t xml:space="preserve">MARVEL</x:t>
  </x:si>
  <x:si>
    <x:t xml:space="preserve">Primary Loop Mass Flow Rate</x:t>
  </x:si>
  <x:si>
    <x:t xml:space="preserve">kg/s</x:t>
  </x:si>
  <x:si>
    <x:t xml:space="preserve">DOE-ET-34222-T1</x:t>
  </x:si>
  <x:si>
    <x:t xml:space="preserve">1170 MWt HTGR Steamer Cogeneration Plant Design and Cost Study, United Engineers &amp; Constructors Inc. Philadelphia, Pennsylvania. 1980]</x:t>
  </x:si>
  <x:si>
    <x:t xml:space="preserve">https://www.osti.gov/servlets/purl/5084245</x:t>
  </x:si>
  <x:si>
    <x:t xml:space="preserve">Cost scalated based on Park et al., 2024 - Bottom-up ….</x:t>
  </x:si>
  <x:si>
    <x:t xml:space="preserve">Reactor Instrumentation and Control (I&amp;C)</x:t>
  </x:si>
  <x:si>
    <x:t xml:space="preserve">Shirvan et al., 2023</x:t>
  </x:si>
  <x:si>
    <x:t xml:space="preserve">Shirvan et al,. (2023). UO2-fueled microreactors: Near-term solutions to emerging marktets. Nuclear Engineering and Design. </x:t>
  </x:si>
  <x:si>
    <x:t xml:space="preserve">https://doi.org/10.1016/j.nucengdes.2023.112470</x:t>
  </x:si>
  <x:si>
    <x:t xml:space="preserve">Cost based on FOAK Digital I&amp;C with 2-out-of-4 voting logic</x:t>
  </x:si>
  <x:si>
    <x:t xml:space="preserve">Non-nuclear off-the-shelf</x:t>
  </x:si>
  <x:si>
    <x:t xml:space="preserve">Reactor Plant Miscellaneous Items</x:t>
  </x:si>
  <x:si>
    <x:t xml:space="preserve">Energy Conversion System </x:t>
  </x:si>
  <x:si>
    <x:t xml:space="preserve">Energy Applications</x:t>
  </x:si>
  <x:si>
    <x:t xml:space="preserve">Electricity Generation Systems</x:t>
  </x:si>
  <x:si>
    <x:t xml:space="preserve">$/kWe</x:t>
  </x:si>
  <x:si>
    <x:t xml:space="preserve">BoP Power kWe</x:t>
  </x:si>
  <x:si>
    <x:t xml:space="preserve">INL/RPT-24-80433 Rev.1</x:t>
  </x:si>
  <x:si>
    <x:t xml:space="preserve">https://www.osti.gov/biblio/2447366</x:t>
  </x:si>
  <x:si>
    <x:t xml:space="preserve">Common Instrumentation &amp; Controls</x:t>
  </x:si>
  <x:si>
    <x:t xml:space="preserve">Electrical Equipment</x:t>
  </x:si>
  <x:si>
    <x:t xml:space="preserve">Switchgear</x:t>
  </x:si>
  <x:si>
    <x:t xml:space="preserve">Station Service Equipment</x:t>
  </x:si>
  <x:si>
    <x:t xml:space="preserve">Switchboards</x:t>
  </x:si>
  <x:si>
    <x:t xml:space="preserve">Protective Equipment</x:t>
  </x:si>
  <x:si>
    <x:t xml:space="preserve">Electrical Structure &amp; Wiring Container</x:t>
  </x:si>
  <x:si>
    <x:t xml:space="preserve">Power &amp; Control Wiring</x:t>
  </x:si>
  <x:si>
    <x:t xml:space="preserve">Initial Fuel Inventory</x:t>
  </x:si>
  <x:si>
    <x:t xml:space="preserve">First Core Mining</x:t>
  </x:si>
  <x:si>
    <x:t xml:space="preserve">Natural Uranium Mass</x:t>
  </x:si>
  <x:si>
    <x:t xml:space="preserve">First Core Conversion </x:t>
  </x:si>
  <x:si>
    <x:t xml:space="preserve">First Core Enrichment </x:t>
  </x:si>
  <x:si>
    <x:t xml:space="preserve">$/SWU</x:t>
  </x:si>
  <x:si>
    <x:t xml:space="preserve">SWU</x:t>
  </x:si>
  <x:si>
    <x:t xml:space="preserve">First Core Fuel Assembly Fabrication </x:t>
  </x:si>
  <x:si>
    <x:t xml:space="preserve">TRISO Fueled</x:t>
  </x:si>
  <x:si>
    <x:t xml:space="preserve">No</x:t>
  </x:si>
  <x:si>
    <x:t xml:space="preserve">Fuel</x:t>
  </x:si>
  <x:si>
    <x:t xml:space="preserve">TRIGA_fuel</x:t>
  </x:si>
  <x:si>
    <x:t xml:space="preserve">Uranium Mass</x:t>
  </x:si>
  <x:si>
    <x:t xml:space="preserve"> UO2</x:t>
  </x:si>
  <x:si>
    <x:t xml:space="preserve">Miscellaneous Equipment (Cranes)</x:t>
  </x:si>
  <x:si>
    <x:t xml:space="preserve">A study for the mass manufacruing and factory fabrication of microreactors</x:t>
  </x:si>
  <x:si>
    <x:t xml:space="preserve">Abou-Jaoude, A., Arafat, Yasir, Foss, Andrew Wilkin, and Dixon, Brent W (2021). An Economics-by-Design Approach Applied to a Heat Pipe Microreactor Concept. 2021. Idaho National Laboratory: Idaho Falls, ID, Idaho National Laboratory.</x:t>
  </x:si>
  <x:si>
    <x:t xml:space="preserve">Capitalized Indirect Services Cost</x:t>
  </x:si>
  <x:si>
    <x:t xml:space="preserve">Factory &amp; field indirect costs</x:t>
  </x:si>
  <x:si>
    <x:t xml:space="preserve">Factory and construction supervision</x:t>
  </x:si>
  <x:si>
    <x:t xml:space="preserve">Startup Costs</x:t>
  </x:si>
  <x:si>
    <x:t xml:space="preserve">Shipping and Transportation Costs</x:t>
  </x:si>
  <x:si>
    <x:t xml:space="preserve">Engineering Services</x:t>
  </x:si>
  <x:si>
    <x:t xml:space="preserve">PM/CM Services</x:t>
  </x:si>
  <x:si>
    <x:t xml:space="preserve">Capitalized training costs</x:t>
  </x:si>
  <x:si>
    <x:t xml:space="preserve">staff recruitment and training</x:t>
  </x:si>
  <x:si>
    <x:t xml:space="preserve">Al-Dawood, Khaldoon and Hanna, Botros and Balla, Sai and de Oliveira, Rodrigo and Garcia, Samuel and McCarthy, Dan and Bolisetti, Chandrakanth and Lindley, Ben and Abou-Jaoude, Abdalla, Open-Source Microreactor Design Models for Technoeconomic Assessment. </x:t>
  </x:si>
  <x:si>
    <x:t xml:space="preserve">https://papers.ssrn.com/sol3/papers.cfm?abstract_id=5163464</x:t>
  </x:si>
  <x:si>
    <x:t xml:space="preserve">Capitalized Financial Costs </x:t>
  </x:si>
  <x:si>
    <x:t xml:space="preserve">Interest</x:t>
  </x:si>
  <x:si>
    <x:t xml:space="preserve">Annualized O&amp;M Cost </x:t>
  </x:si>
  <x:si>
    <x:t xml:space="preserve">O&amp;M Staff</x:t>
  </x:si>
  <x:si>
    <x:t xml:space="preserve">Operators </x:t>
  </x:si>
  <x:si>
    <x:t xml:space="preserve">$/FTE</x:t>
  </x:si>
  <x:si>
    <x:t xml:space="preserve">Number of On-Site Operators per Shift</x:t>
  </x:si>
  <x:si>
    <x:t xml:space="preserve">de Candido, I., A. Al Rashdan, A. Abou-Jaoude, and J. Buongiorno. 2024. “Assessment of Technoeconomic Opportunities in Automation for Nuclear Microreactors.” Nuclear Science and Engineering, 1–20. https://doi.org/10.1080/00295639.2024.2372511.</x:t>
  </x:si>
  <x:si>
    <x:t xml:space="preserve">Remote Monitoring Technicians </x:t>
  </x:si>
  <x:si>
    <x:t xml:space="preserve">Operation Mode</x:t>
  </x:si>
  <x:si>
    <x:t xml:space="preserve">Remotely Monitored</x:t>
  </x:si>
  <x:si>
    <x:t xml:space="preserve">Reactors Monitored Per Operator</x:t>
  </x:si>
  <x:si>
    <x:t xml:space="preserve">Security Staff </x:t>
  </x:si>
  <x:si>
    <x:t xml:space="preserve">Security Staff Per Shift</x:t>
  </x:si>
  <x:si>
    <x:t xml:space="preserve">Variable Non-Fuel Costs</x:t>
  </x:si>
  <x:si>
    <x:t xml:space="preserve">Replacement Coolant Inventory</x:t>
  </x:si>
  <x:si>
    <x:t xml:space="preserve">MARVEL Project (communication with MARVEL Team)</x:t>
  </x:si>
  <x:si>
    <x:t xml:space="preserve">Vendor Quotes</x:t>
  </x:si>
  <x:si>
    <x:t xml:space="preserve">Regulatory Costs</x:t>
  </x:si>
  <x:si>
    <x:t xml:space="preserve">https://www.federalregister.gov/documents/2025/02/19/2025-02779/fee-schedules-fee-recovery-for-fiscal-year-2025</x:t>
  </x:si>
  <x:si>
    <x:t xml:space="preserve">Capital Plant Expenditures</x:t>
  </x:si>
  <x:si>
    <x:t xml:space="preserve">Annualized Outer Vessel Structure Replacements</x:t>
  </x:si>
  <x:si>
    <x:t xml:space="preserve">Annualized Inner Vessel Structure Replacements</x:t>
  </x:si>
  <x:si>
    <x:t xml:space="preserve">Annualized Moderator Replacements</x:t>
  </x:si>
  <x:si>
    <x:t xml:space="preserve">Annualized Reflector Replacements</x:t>
  </x:si>
  <x:si>
    <x:t xml:space="preserve">Annualized Reactor Control Devices Replacements</x:t>
  </x:si>
  <x:si>
    <x:t xml:space="preserve">Annualized Integrated Heat Transfer Vessel Replacements</x:t>
  </x:si>
  <x:si>
    <x:t xml:space="preserve">            Annualized Integrated Heat Transfer Vessel Replacements</x:t>
  </x:si>
  <x:si>
    <x:t xml:space="preserve">Annualized Moderator Booster Replacements</x:t>
  </x:si>
  <x:si>
    <x:t xml:space="preserve">Annualized Plant Maintenance (Misc.)</x:t>
  </x:si>
  <x:si>
    <x:t xml:space="preserve">Annualized Building and Structural Maintenance (Accounts 212–215)</x:t>
  </x:si>
  <x:si>
    <x:t xml:space="preserve">Annualized Main Heat Transport System Maintenance (Accounts 222.1–222.3 and 222.6)</x:t>
  </x:si>
  <x:si>
    <x:t xml:space="preserve">Annualized Safety System Maintenance (Account 223)</x:t>
  </x:si>
  <x:si>
    <x:t xml:space="preserve">Annualized Reactor Plant Equipment Maintenance (Accounts 221.11, 226, and 228)</x:t>
  </x:si>
  <x:si>
    <x:t xml:space="preserve">Annualized Reactor I&amp;C Maintenance (Account 227)</x:t>
  </x:si>
  <x:si>
    <x:t xml:space="preserve">Annualized Energy Conversion System Maintenance (Account 23)</x:t>
  </x:si>
  <x:si>
    <x:t xml:space="preserve">Annualized Electrical Equipment Maintenance (Account 24)</x:t>
  </x:si>
  <x:si>
    <x:t xml:space="preserve">Annualized Miscellaneous Equipment Maintenance (Account 26)</x:t>
  </x:si>
  <x:si>
    <x:t xml:space="preserve">Annualized Decommissioning Cost</x:t>
  </x:si>
  <x:si>
    <x:t xml:space="preserve">Implemented on non_direct_cost.py
The cost is scaled as a fraction of CAPEX (15%)</x:t>
  </x:si>
  <x:si>
    <x:t xml:space="preserve">Annualized Fuel Cost</x:t>
  </x:si>
  <x:si>
    <x:t xml:space="preserve">Refueling Operations</x:t>
  </x:si>
  <x:si>
    <x:t xml:space="preserve">Additional Nuclear Fuel</x:t>
  </x:si>
  <x:si>
    <x:t xml:space="preserve">Spent Fuel Management</x:t>
  </x:si>
  <x:si>
    <x:t xml:space="preserve">$/MWeHour</x:t>
  </x:si>
  <x:si>
    <x:t xml:space="preserve">Annual Electricity Production</x:t>
  </x:si>
  <x:si>
    <x:t xml:space="preserve">Account ID</x:t>
  </x:si>
  <x:si>
    <x:t xml:space="preserve">TOTAL COST (2024 USD)</x:t>
  </x:si>
  <x:si>
    <x:t xml:space="preserve">Site Preparation/Yard Work</x:t>
  </x:si>
  <x:si>
    <x:t xml:space="preserve">Emergency and Start-up Power Systems</x:t>
  </x:si>
  <x:si>
    <x:t xml:space="preserve">Miscellaneous Other Structures</x:t>
  </x:si>
  <x:si>
    <x:t xml:space="preserve">Reactor vessel and accessories</x:t>
  </x:si>
  <x:si>
    <x:t xml:space="preserve">Reactor support</x:t>
  </x:si>
  <x:si>
    <x:t xml:space="preserve">Outer vessel structure</x:t>
  </x:si>
  <x:si>
    <x:t xml:space="preserve">Inner vessel structure</x:t>
  </x:si>
  <x:si>
    <x:t xml:space="preserve">Reactor control devices</x:t>
  </x:si>
  <x:si>
    <x:t xml:space="preserve">Reactivity control system</x:t>
  </x:si>
  <x:si>
    <x:t xml:space="preserve">Non-fuel core internals</x:t>
  </x:si>
  <x:si>
    <x:t xml:space="preserve">Reflector (Materials: BeO)</x:t>
  </x:si>
  <x:si>
    <x:t xml:space="preserve">Reflector (Materials: Be Metal)</x:t>
  </x:si>
  <x:si>
    <x:t xml:space="preserve">Reflector (installation</x:t>
  </x:si>
  <x:si>
    <x:t xml:space="preserve">222</x:t>
  </x:si>
  <x:si>
    <x:t xml:space="preserve">Fluid circulation drive system</x:t>
  </x:si>
  <x:si>
    <x:t xml:space="preserve">Reactor Heat Hransfer Piping System</x:t>
  </x:si>
  <x:si>
    <x:t xml:space="preserve">Reactor Heat Hransfer Piping System (Mat)</x:t>
  </x:si>
  <x:si>
    <x:t xml:space="preserve">Reactor Heat Hransfer Piping System (Fabrication)</x:t>
  </x:si>
  <x:si>
    <x:t xml:space="preserve">Reactor Heat Hransfer Piping System (Installation)</x:t>
  </x:si>
  <x:si>
    <x:t xml:space="preserve">Pressurizer System</x:t>
  </x:si>
  <x:si>
    <x:t xml:space="preserve">Initial Heat Transfer Fluid Inventory</x:t>
  </x:si>
  <x:si>
    <x:t xml:space="preserve">224</x:t>
  </x:si>
  <x:si>
    <x:t xml:space="preserve">Radioactive Byproduct Processing Systems</x:t>
  </x:si>
  <x:si>
    <x:t xml:space="preserve">226</x:t>
  </x:si>
  <x:si>
    <x:t xml:space="preserve">227</x:t>
  </x:si>
  <x:si>
    <x:t xml:space="preserve">228</x:t>
  </x:si>
  <x:si>
    <x:t xml:space="preserve">Energy Conversion System</x:t>
  </x:si>
  <x:si>
    <x:t xml:space="preserve">244</x:t>
  </x:si>
  <x:si>
    <x:t xml:space="preserve">Protective Systems Equipment</x:t>
  </x:si>
  <x:si>
    <x:t xml:space="preserve">245</x:t>
  </x:si>
  <x:si>
    <x:t xml:space="preserve">Electrical Raceway Systems</x:t>
  </x:si>
  <x:si>
    <x:t xml:space="preserve">246</x:t>
  </x:si>
  <x:si>
    <x:t xml:space="preserve">Power and Control Cables and Wiring</x:t>
  </x:si>
  <x:si>
    <x:t xml:space="preserve">254 </x:t>
  </x:si>
  <x:si>
    <x:t xml:space="preserve">Miscellaneous Equipment</x:t>
  </x:si>
  <x:si>
    <x:t xml:space="preserve">Factory &amp; Field Indirect Costs </x:t>
  </x:si>
  <x:si>
    <x:t xml:space="preserve">Field Shops</x:t>
  </x:si>
  <x:si>
    <x:t xml:space="preserve">Commissioning and Trial Test Runs</x:t>
  </x:si>
  <x:si>
    <x:t xml:space="preserve">Initial Fuel Loading Operations</x:t>
  </x:si>
  <x:si>
    <x:t xml:space="preserve">Test Runs</x:t>
  </x:si>
  <x:si>
    <x:t xml:space="preserve">Fuel Shipping and Transportation </x:t>
  </x:si>
  <x:si>
    <x:t xml:space="preserve">Other Shipping and Transportation Costs</x:t>
  </x:si>
  <x:si>
    <x:t xml:space="preserve">Off-Site</x:t>
  </x:si>
  <x:si>
    <x:t xml:space="preserve">On-Site</x:t>
  </x:si>
  <x:si>
    <x:t xml:space="preserve">Capitalized Training Costs</x:t>
  </x:si>
  <x:si>
    <x:t xml:space="preserve">Staff Recruitment and Training</x:t>
  </x:si>
  <x:si>
    <x:t xml:space="preserve">Capitalized Supplementary Costs</x:t>
  </x:si>
  <x:si>
    <x:t xml:space="preserve">Decommissioning</x:t>
  </x:si>
  <x:si>
    <x:t xml:space="preserve">Escalation</x:t>
  </x:si>
  <x:si>
    <x:t xml:space="preserve">Non-Recurrung Costs</x:t>
  </x:si>
  <x:si>
    <x:t xml:space="preserve">Variable</x:t>
  </x:si>
  <x:si>
    <x:t xml:space="preserve">Value</x:t>
  </x:si>
  <x:si>
    <x:t xml:space="preserve">Description</x:t>
  </x:si>
  <x:si>
    <x:t xml:space="preserve">Overall System</x:t>
  </x:si>
  <x:si>
    <x:t xml:space="preserve">Thermal power</x:t>
  </x:si>
  <x:si>
    <x:t xml:space="preserve">kWth</x:t>
  </x:si>
  <x:si>
    <x:t xml:space="preserve"> —</x:t>
  </x:si>
  <x:si>
    <x:t xml:space="preserve">Electric Power</x:t>
  </x:si>
  <x:si>
    <x:t xml:space="preserve">kWe</x:t>
  </x:si>
  <x:si>
    <x:t xml:space="preserve">Core outer radius</x:t>
  </x:si>
  <x:si>
    <x:t xml:space="preserve">inches</x:t>
  </x:si>
  <x:si>
    <x:t xml:space="preserve">Reflector outer radius</x:t>
  </x:si>
  <x:si>
    <x:t xml:space="preserve">Fuel mass</x:t>
  </x:si>
  <x:si>
    <x:t xml:space="preserve">kg</x:t>
  </x:si>
  <x:si>
    <x:t xml:space="preserve">UZrH</x:t>
  </x:si>
  <x:si>
    <x:t xml:space="preserve">U Weight fraction</x:t>
  </x:si>
  <x:si>
    <x:t xml:space="preserve">wt%</x:t>
  </x:si>
  <x:si>
    <x:t xml:space="preserve">U/UZrH</x:t>
  </x:si>
  <x:si>
    <x:t xml:space="preserve">U enrichment</x:t>
  </x:si>
  <x:si>
    <x:t xml:space="preserve">High-assay low-enriched uranium (HALEU)</x:t>
  </x:si>
  <x:si>
    <x:t xml:space="preserve">Pins</x:t>
  </x:si>
  <x:si>
    <x:t xml:space="preserve">#</x:t>
  </x:si>
  <x:si>
    <x:t xml:space="preserve">Outer reflector material</x:t>
  </x:si>
  <x:si>
    <x:t xml:space="preserve">99% theoretical density</x:t>
  </x:si>
  <x:si>
    <x:t xml:space="preserve">Elements</x:t>
  </x:si>
  <x:si>
    <x:t xml:space="preserve">Quarter plates</x:t>
  </x:si>
  <x:si>
    <x:t xml:space="preserve">Reflector plate thickness</x:t>
  </x:si>
  <x:si>
    <x:t xml:space="preserve">Reflector plate volume</x:t>
  </x:si>
  <x:si>
    <x:t xml:space="preserve">cm3/plate</x:t>
  </x:si>
  <x:si>
    <x:t xml:space="preserve">Mass of BeO reflector</x:t>
  </x:si>
  <x:si>
    <x:t xml:space="preserve">Insert volume</x:t>
  </x:si>
  <x:si>
    <x:t xml:space="preserve">Mass of Be-metal reflector</x:t>
  </x:si>
  <x:si>
    <x:t xml:space="preserve">MT</x:t>
  </x:si>
  <x:si>
    <x:t xml:space="preserve">Control Elements</x:t>
  </x:si>
  <x:si>
    <x:t xml:space="preserve">Control drums</x:t>
  </x:si>
  <x:si>
    <x:t xml:space="preserve">Shutdown rods</x:t>
  </x:si>
  <x:si>
    <x:t xml:space="preserve">Control drum elements</x:t>
  </x:si>
  <x:si>
    <x:t xml:space="preserve">Discs</x:t>
  </x:si>
  <x:si>
    <x:t xml:space="preserve">Drum disc thickness</x:t>
  </x:si>
  <x:si>
    <x:t xml:space="preserve">Drum reflector volume</x:t>
  </x:si>
  <x:si>
    <x:t xml:space="preserve">BeO 99%</x:t>
  </x:si>
  <x:si>
    <x:t xml:space="preserve">Mass of drum reflector</x:t>
  </x:si>
  <x:si>
    <x:t xml:space="preserve">Drum poison volume</x:t>
  </x:si>
  <x:si>
    <x:t xml:space="preserve">B4C</x:t>
  </x:si>
  <x:si>
    <x:t xml:space="preserve">Mass of drum poison</x:t>
  </x:si>
  <x:si>
    <x:t xml:space="preserve">Mass of rod poison</x:t>
  </x:si>
  <x:si>
    <x:t xml:space="preserve">Instruments and Controls</x:t>
  </x:si>
  <x:si>
    <x:t xml:space="preserve">Control cabinet</x:t>
  </x:si>
  <x:si>
    <x:t xml:space="preserve">Instrument cabinet</x:t>
  </x:si>
  <x:si>
    <x:t xml:space="preserve">Nuclear input/output (IO)</x:t>
  </x:si>
  <x:si>
    <x:t xml:space="preserve">Non-nuclear IO</x:t>
  </x:si>
  <x:si>
    <x:t xml:space="preserve">Stirling engine IO</x:t>
  </x:si>
  <x:si>
    <x:t xml:space="preserve">These should be excluded if there no stirling engine?</x:t>
  </x:si>
  <x:si>
    <x:t xml:space="preserve">TOTAL</x:t>
  </x:si>
  <x:si>
    <x:t xml:space="preserve">Shielding in Vessel</x:t>
  </x:si>
  <x:si>
    <x:t xml:space="preserve">Stainless Steel cans</x:t>
  </x:si>
  <x:si>
    <x:t xml:space="preserve"> Stainless Steel cans of the boron carbide shielding material (SS316H)</x:t>
  </x:si>
  <x:si>
    <x:t xml:space="preserve">Gamma shield material</x:t>
  </x:si>
  <x:si>
    <x:t xml:space="preserve">Gamma shield material inside the guard vessel (of Tungsten)</x:t>
  </x:si>
  <x:si>
    <x:t xml:space="preserve">Neutron shield material in the guard vessel </x:t>
  </x:si>
  <x:si>
    <x:t xml:space="preserve"> made of natural B4C powder and is located above the core (a donut around the core barrel)—</x:t>
  </x:si>
  <x:si>
    <x:t xml:space="preserve">Boron Carbine shielding </x:t>
  </x:si>
  <x:si>
    <x:t xml:space="preserve"> made of natural B4C (called base shield) below the core</x:t>
  </x:si>
  <x:si>
    <x:t xml:space="preserve">Radial (lead)</x:t>
  </x:si>
  <x:si>
    <x:t xml:space="preserve"> lead</x:t>
  </x:si>
  <x:si>
    <x:t xml:space="preserve">Radial (WEP)</x:t>
  </x:si>
  <x:si>
    <x:t xml:space="preserve">made of Water Extended Polyster (WEP) </x:t>
  </x:si>
  <x:si>
    <x:t xml:space="preserve">Shielding in Pit</x:t>
  </x:si>
  <x:si>
    <x:t xml:space="preserve">Mass of the pit neutron shielding</x:t>
  </x:si>
  <x:si>
    <x:t xml:space="preserve">Approximated 6-in.-thick covering whole pit and made of Water-extruded poly (WEP)</x:t>
  </x:si>
  <x:si>
    <x:t xml:space="preserve">Heat Transfer</x:t>
  </x:si>
  <x:si>
    <x:t xml:space="preserve">Mass of coolant  </x:t>
  </x:si>
  <x:si>
    <x:t xml:space="preserve">—</x:t>
  </x:si>
  <x:si>
    <x:t xml:space="preserve">Number of loops</x:t>
  </x:si>
  <x:si>
    <x:t xml:space="preserve">— </x:t>
  </x:si>
  <x:si>
    <x:t xml:space="preserve">Mass of PCSs</x:t>
  </x:si>
  <x:si>
    <x:t xml:space="preserve">SS316H</x:t>
  </x:si>
  <x:si>
    <x:t xml:space="preserve">Subassembly Structure Masses</x:t>
  </x:si>
  <x:si>
    <x:t xml:space="preserve">Reactor support frame</x:t>
  </x:si>
  <x:si>
    <x:t xml:space="preserve">Guard vessel</x:t>
  </x:si>
  <x:si>
    <x:t xml:space="preserve">Year</x:t>
  </x:si>
  <x:si>
    <x:t xml:space="preserve">Parameter</x:t>
  </x:si>
  <x:si>
    <x:t xml:space="preserve">Note</x:t>
  </x:si>
  <x:si>
    <x:t xml:space="preserve">Reference</x:t>
  </x:si>
  <x:si>
    <x:t xml:space="preserve">indirect to direct field-related cost</x:t>
  </x:si>
  <x:si>
    <x:t xml:space="preserve">FTEs Per Onsite Operator (24/7)</x:t>
  </x:si>
  <x:si>
    <x:t xml:space="preserve">FTEs Per Offsite Operator (24/7)</x:t>
  </x:si>
  <x:si>
    <x:t xml:space="preserve">FTEs Per Security Staff (24/7)</x:t>
  </x:si>
  <x:si>
    <x:t xml:space="preserve">Hours Per FTE</x:t>
  </x:si>
  <x:si>
    <x:t xml:space="preserve">Work Hours Per Shift</x:t>
  </x:si>
  <x:si>
    <x:t xml:space="preserve">Maintenance to Direct Cost Ratio</x:t>
  </x:si>
  <x:si>
    <x:t xml:space="preserve">FOAK to NOAK Learning Rates</x:t>
  </x:si>
  <x:si>
    <x:t xml:space="preserve">Assessment of Factory Fabrication Considerations
for Nuclear Microreactors
 10.1080/00295450.2023.2206779</x:t>
  </x:si>
  <x:si>
    <x:t xml:space="preserve">Calculated based on Refernce Paper + Gyutae's work. Refer to TEM Slides for rationale and methodology</x:t>
  </x:si>
  <x:si>
    <x:t xml:space="preserve">Nth of a kind licening was estimated to take 30-42 months  https://www.nrc.gov/docs/ML2426/ML24268A310.pdf
Now, it is estimated to take 6- 12 months https://www.govinfo.gov/content/pkg/FR-2026-05-01/pdf/2026-08550.pdf
Therefor, the cost is estimated to be reduced 4 times (a factor of 0.25). Since MOUSE is using learning rates, this factor is converted to a learning rate of 0.2 assuming 100 units</x:t>
  </x:si>
  <x:si>
    <x:t xml:space="preserve">Park, et al., Bottom-up levelized cost estimation of low-enriched and low-pressure nuclear batteries. Nuclear Engineering and Design. 2025.</x:t>
  </x:si>
  <x:si>
    <x:t xml:space="preserve">For off-the-shelf commercial components that are not produced in the FB Factory</x:t>
  </x:si>
  <x:si>
    <x:t xml:space="preserve">SER Account 30 to Account 20 Ratio</x:t>
  </x:si>
  <x:si>
    <x:t xml:space="preserve">Account 30 is 50% of direct cost (Account 20).</x:t>
  </x:si>
  <x:si>
    <x:t xml:space="preserve">SER Account 716 to Accounts 711-715 Ratio</x:t>
  </x:si>
  <x:si>
    <x:t xml:space="preserve">Continuing education and retraining.</x:t>
  </x:si>
  <x:si>
    <x:t xml:space="preserve">SER Account 717 to Accounts 711-715 Ratio</x:t>
  </x:si>
  <x:si>
    <x:t xml:space="preserve">Management staff.</x:t>
  </x:si>
  <x:si>
    <x:t xml:space="preserve">SER Account 741 to Account 20 Ratio</x:t>
  </x:si>
  <x:si>
    <x:t xml:space="preserve">Operating chemicals and lubricants.</x:t>
  </x:si>
  <x:si>
    <x:t xml:space="preserve">SER Account 742 to Account 20 Ratio</x:t>
  </x:si>
  <x:si>
    <x:t xml:space="preserve">Spare parts.</x:t>
  </x:si>
  <x:si>
    <x:t xml:space="preserve">SER Account 743 to Account 20 Ratio</x:t>
  </x:si>
  <x:si>
    <x:t xml:space="preserve">Utilities excluding electricity, supplies, and consumables.</x:t>
  </x:si>
  <x:si>
    <x:t xml:space="preserve">SER Account 747.1 to Accounts 741-743 Ratio</x:t>
  </x:si>
  <x:si>
    <x:t xml:space="preserve">Annualized transportation costs.</x:t>
  </x:si>
  <x:si>
    <x:t xml:space="preserve">SER Account 747.4 to Account 20 Ratio</x:t>
  </x:si>
  <x:si>
    <x:t xml:space="preserve">Annualized other supplies and utilities.</x:t>
  </x:si>
  <x:si>
    <x:t xml:space="preserve">MFG Account 223 to Reactor OCC per Testing Line Ratio</x:t>
  </x:si>
  <x:si>
    <x:t xml:space="preserve">REVIEW NEEDED: provisional testing-building assumption.</x:t>
  </x:si>
  <x:si>
    <x:t xml:space="preserve">MFG Account 30 to Account 20 Ratio</x:t>
  </x:si>
  <x:si>
    <x:t xml:space="preserve">Account 30 is 50% of direct cost.</x:t>
  </x:si>
  <x:si>
    <x:t xml:space="preserve">MFG Account 716 to Accounts 711-715 Ratio</x:t>
  </x:si>
  <x:si>
    <x:t xml:space="preserve">MFG Account 717 to Accounts 711-715 Ratio</x:t>
  </x:si>
  <x:si>
    <x:t xml:space="preserve">MFG Account 741 to Account 20 Ratio</x:t>
  </x:si>
  <x:si>
    <x:t xml:space="preserve">MFG Account 742 to Account 20 Ratio</x:t>
  </x:si>
  <x:si>
    <x:t xml:space="preserve">MFG Account 743 to Account 20 Ratio</x:t>
  </x:si>
  <x:si>
    <x:t xml:space="preserve">MFG Account 747.1 to Accounts 741-743 Ratio</x:t>
  </x:si>
  <x:si>
    <x:t xml:space="preserve">MFG Account 747.4 to Account 20 Ratio</x:t>
  </x:si>
  <x:si>
    <x:t xml:space="preserve">Count Scaling Variable</x:t>
  </x:si>
  <x:si>
    <x:t xml:space="preserve">Count per Variable</x:t>
  </x:si>
  <x:si>
    <x:t xml:space="preserve">Constant</x:t>
  </x:si>
  <x:si>
    <x:t xml:space="preserve">MFG Campus Land Area</x:t>
  </x:si>
  <x:si>
    <x:t xml:space="preserve">MFG Campus Power</x:t>
  </x:si>
  <x:si>
    <x:t xml:space="preserve">598</x:t>
  </x:si>
  <x:si>
    <x:t xml:space="preserve">MFG Road Length</x:t>
  </x:si>
  <x:si>
    <x:t xml:space="preserve">$/ft</x:t>
  </x:si>
  <x:si>
    <x:t xml:space="preserve">MFG Site Perimeter</x:t>
  </x:si>
  <x:si>
    <x:t xml:space="preserve">MFG Protected Perimeter</x:t>
  </x:si>
  <x:si>
    <x:t xml:space="preserve">Servicing Facilities Structures</x:t>
  </x:si>
  <x:si>
    <x:t xml:space="preserve">Control Buidlings</x:t>
  </x:si>
  <x:si>
    <x:t xml:space="preserve">Local Control Buidling Structure</x:t>
  </x:si>
  <x:si>
    <x:t xml:space="preserve">MFG Local Control Building Area</x:t>
  </x:si>
  <x:si>
    <x:t xml:space="preserve">100 value from MC30 Cost Estimation of Microreactor Facilities Inital Draft 5-6-2026.pdf, less 30% [temporary, want to add scaling equation]</x:t>
  </x:si>
  <x:si>
    <x:t xml:space="preserve">Main Facilities Estimated As Wholes</x:t>
  </x:si>
  <x:si>
    <x:t xml:space="preserve">Manufacturing Building</x:t>
  </x:si>
  <x:si>
    <x:t xml:space="preserve">Production Rate</x:t>
  </x:si>
  <x:si>
    <x:t xml:space="preserve">Rx/yr</x:t>
  </x:si>
  <x:si>
    <x:t xml:space="preserve">Fueling Building</x:t>
  </x:si>
  <x:si>
    <x:t xml:space="preserve">Testing Building</x:t>
  </x:si>
  <x:si>
    <x:t xml:space="preserve">Warehouse</x:t>
  </x:si>
  <x:si>
    <x:t xml:space="preserve">MFG Warehouse Building Area</x:t>
  </x:si>
  <x:si>
    <x:t xml:space="preserve">Administrative Building</x:t>
  </x:si>
  <x:si>
    <x:t xml:space="preserve">MFG Administration Building Area</x:t>
  </x:si>
  <x:si>
    <x:t xml:space="preserve">Local Integrated Control Rooms</x:t>
  </x:si>
  <x:si>
    <x:t xml:space="preserve">MFG Testing Line Count</x:t>
  </x:si>
  <x:si>
    <x:t xml:space="preserve">Auxiliary Infrastructure Equipment</x:t>
  </x:si>
  <x:si>
    <x:t xml:space="preserve">Emergency Power</x:t>
  </x:si>
  <x:si>
    <x:t xml:space="preserve">MFG Emergency Generator Power</x:t>
  </x:si>
  <x:si>
    <x:t xml:space="preserve">2.5 MW generator cost from Central States Generators, nuclear multiple of 5, and guess for pad and connection to building (pad and connection have been requested with cost estimators)</x:t>
  </x:si>
  <x:si>
    <x:t xml:space="preserve">Fire Station</x:t>
  </x:si>
  <x:si>
    <x:t xml:space="preserve">MFG Fire Station Count</x:t>
  </x:si>
  <x:si>
    <x:t xml:space="preserve">Security Building</x:t>
  </x:si>
  <x:si>
    <x:t xml:space="preserve">MFG Security Building Area</x:t>
  </x:si>
  <x:si>
    <x:t xml:space="preserve">Switchyard</x:t>
  </x:si>
  <x:si>
    <x:t xml:space="preserve">MFG Switchyard Rating</x:t>
  </x:si>
  <x:si>
    <x:t xml:space="preserve">Scaling relationship created from MC30 Cost Estimation of Microreactor Facilities Inital Draft 5-6-2026.pdf, less 30%</x:t>
  </x:si>
  <x:si>
    <x:t xml:space="preserve">Onsite Transport Equipment</x:t>
  </x:si>
  <x:si>
    <x:t xml:space="preserve">Local Reactor Transport Vehicles</x:t>
  </x:si>
  <x:si>
    <x:t xml:space="preserve">MFG Local Transport Vehicle Count</x:t>
  </x:si>
  <x:si>
    <x:t xml:space="preserve">Lallemant report, Table 9, Considered price for 200 MT LTV</x:t>
  </x:si>
  <x:si>
    <x:t xml:space="preserve">Lallemant, Lucas. 2023</x:t>
  </x:si>
  <x:si>
    <x:t xml:space="preserve">Utility Vehicles</x:t>
  </x:si>
  <x:si>
    <x:t xml:space="preserve">MFG Utility Vehicle Count</x:t>
  </x:si>
  <x:si>
    <x:t xml:space="preserve">assumption</x:t>
  </x:si>
  <x:si>
    <x:t xml:space="preserve">Dispered Infrastructure</x:t>
  </x:si>
  <x:si>
    <x:t xml:space="preserve">assumption, guess</x:t>
  </x:si>
  <x:si>
    <x:t xml:space="preserve">Communication</x:t>
  </x:si>
  <x:si>
    <x:t xml:space="preserve">Manufacturing Campus Area</x:t>
  </x:si>
  <x:si>
    <x:t xml:space="preserve">[to become a scaling relationship] MC30 Cost Estimation of Microreactor Facilities Inital Draft 5-6-2026.pdf</x:t>
  </x:si>
  <x:si>
    <x:t xml:space="preserve">Security Cameras</x:t>
  </x:si>
  <x:si>
    <x:t xml:space="preserve">MFG Security Camera Count</x:t>
  </x:si>
  <x:si>
    <x:t xml:space="preserve">MC30 Cost Estimation of Microreactor Facilities Inital Draft 5-6-2026.pdf</x:t>
  </x:si>
  <x:si>
    <x:t xml:space="preserve">Motion Detectors</x:t>
  </x:si>
  <x:si>
    <x:t xml:space="preserve">MFG Motion Detector Count</x:t>
  </x:si>
  <x:si>
    <x:t xml:space="preserve">Guard Station</x:t>
  </x:si>
  <x:si>
    <x:t xml:space="preserve">MFG Guard Station Count</x:t>
  </x:si>
  <x:si>
    <x:t xml:space="preserve">Operators (Testing Only)</x:t>
  </x:si>
  <x:si>
    <x:t xml:space="preserve">MFG Testing Number of Operators</x:t>
  </x:si>
  <x:si>
    <x:t xml:space="preserve">Warehouse Staff</x:t>
  </x:si>
  <x:si>
    <x:t xml:space="preserve">MFG Warehouse Staff</x:t>
  </x:si>
  <x:si>
    <x:t xml:space="preserve">Average of four occupations from Munro work: Forklift Drivers, Supervisors, Shipping/receiving personnel, and Materials Scheduler (high ends for all)</x:t>
  </x:si>
  <x:si>
    <x:t xml:space="preserve">INL Fueling - Manufacturing Parts and Equipment List Rev002.xlsx</x:t>
  </x:si>
  <x:si>
    <x:t xml:space="preserve">MFG Security Staff Per Shift</x:t>
  </x:si>
  <x:si>
    <x:t xml:space="preserve">Maintenance Staff</x:t>
  </x:si>
  <x:si>
    <x:t xml:space="preserve">MFG Maintenance Staff Headcount</x:t>
  </x:si>
  <x:si>
    <x:t xml:space="preserve">Engineering Staff (Testing Only)</x:t>
  </x:si>
  <x:si>
    <x:t xml:space="preserve">MFG Testing Engineering Headcount</x:t>
  </x:si>
  <x:si>
    <x:t xml:space="preserve">Continuing Education and Staff Retraining</x:t>
  </x:si>
  <x:si>
    <x:t xml:space="preserve">Management Staff</x:t>
  </x:si>
  <x:si>
    <x:t xml:space="preserve">Manfuacturing Building Staff</x:t>
  </x:si>
  <x:si>
    <x:t xml:space="preserve">Fueling Building Staff</x:t>
  </x:si>
  <x:si>
    <x:t xml:space="preserve">Fixed O&amp;M Utilities and Materials </x:t>
  </x:si>
  <x:si>
    <x:t xml:space="preserve">Operating Chemicals and Lubricants (Except Manufacturing and Fueling)</x:t>
  </x:si>
  <x:si>
    <x:t xml:space="preserve">Spare Parts (Except Manufacturing and Fueling)</x:t>
  </x:si>
  <x:si>
    <x:t xml:space="preserve">Utilities except electricity, Supplies, and Consumables</x:t>
  </x:si>
  <x:si>
    <x:t xml:space="preserve">Electricity</x:t>
  </x:si>
  <x:si>
    <x:t xml:space="preserve">Manufacturing Building Equipment</x:t>
  </x:si>
  <x:si>
    <x:t xml:space="preserve">Fueling Building Equipment</x:t>
  </x:si>
  <x:si>
    <x:t xml:space="preserve">Other annual costs</x:t>
  </x:si>
  <x:si>
    <x:t xml:space="preserve">Annualized Transportation Costs</x:t>
  </x:si>
  <x:si>
    <x:t xml:space="preserve">Annualized Helium Replenishment</x:t>
  </x:si>
  <x:si>
    <x:t xml:space="preserve">MFG Testing Coolant Allotment</x:t>
  </x:si>
  <x:si>
    <x:t xml:space="preserve">Annualized Other Supplies and Utilities</x:t>
  </x:si>
  <x:si>
    <x:t xml:space="preserve">SER Campus Area</x:t>
  </x:si>
  <x:si>
    <x:t xml:space="preserve">SER Switchyard Rating</x:t>
  </x:si>
  <x:si>
    <x:t xml:space="preserve">SER Campus Land Area</x:t>
  </x:si>
  <x:si>
    <x:t xml:space="preserve">SER Road Length</x:t>
  </x:si>
  <x:si>
    <x:t xml:space="preserve">SER Site Perimeter</x:t>
  </x:si>
  <x:si>
    <x:t xml:space="preserve">Security Fencing Controlled</x:t>
  </x:si>
  <x:si>
    <x:t xml:space="preserve">SER Controlled Perimeter</x:t>
  </x:si>
  <x:si>
    <x:t xml:space="preserve">SER Protected Perimeter</x:t>
  </x:si>
  <x:si>
    <x:t xml:space="preserve">Servicing Building</x:t>
  </x:si>
  <x:si>
    <x:t xml:space="preserve">Servicing Hot Cell Building Structure</x:t>
  </x:si>
  <x:si>
    <x:t xml:space="preserve">Servicing Hot Cell Building Area</x:t>
  </x:si>
  <x:si>
    <x:t xml:space="preserve">Scaling relationship created from MC30 Cost Estimation of Microreactor Facilities Inital Draft 5-6-2026.pdf</x:t>
  </x:si>
  <x:si>
    <x:t xml:space="preserve">Helium Purification and Storage Building</x:t>
  </x:si>
  <x:si>
    <x:t xml:space="preserve">Helium Purification and Storage Building Structure</x:t>
  </x:si>
  <x:si>
    <x:t xml:space="preserve">Helium Purification and Storage Building Area</x:t>
  </x:si>
  <x:si>
    <x:t xml:space="preserve">100 value from MC30 Cost Estimation of Microreactor Facilities Inital Draft 5-6-2026.pdf [temporary, want to add scaling equation]</x:t>
  </x:si>
  <x:si>
    <x:t xml:space="preserve">Local Control Building Structure</x:t>
  </x:si>
  <x:si>
    <x:t xml:space="preserve">SER Local Control Building Area</x:t>
  </x:si>
  <x:si>
    <x:t xml:space="preserve">Remote Control Center Structure</x:t>
  </x:si>
  <x:si>
    <x:t xml:space="preserve">SER Remote Control Building Area</x:t>
  </x:si>
  <x:si>
    <x:t xml:space="preserve">Radioactive Waste Processing Building</x:t>
  </x:si>
  <x:si>
    <x:t xml:space="preserve">Radioactive Waste Processing Building Structure</x:t>
  </x:si>
  <x:si>
    <x:t xml:space="preserve">SER Rad Waste Management Building Area</x:t>
  </x:si>
  <x:si>
    <x:t xml:space="preserve">Used Fuel Storage Pads</x:t>
  </x:si>
  <x:si>
    <x:t xml:space="preserve">$/(reactors/year)</x:t>
  </x:si>
  <x:si>
    <x:t xml:space="preserve">Servicing Rate</x:t>
  </x:si>
  <x:si>
    <x:t xml:space="preserve">reactors/year</x:t>
  </x:si>
  <x:si>
    <x:t xml:space="preserve">Value for 40,000 MTU option in Cost Estimate for an Away-From-Reactor Generic Interim Storage Facility (GISF) for Spent Nuclear Fuel, EPRI report 1018722</x:t>
  </x:si>
  <x:si>
    <x:t xml:space="preserve">https://www.epri.com/research/products/1018722</x:t>
  </x:si>
  <x:si>
    <x:t xml:space="preserve">Rad Waste Storage Warehouses</x:t>
  </x:si>
  <x:si>
    <x:t xml:space="preserve">Radwaste Storage Warehouses Area</x:t>
  </x:si>
  <x:si>
    <x:t xml:space="preserve">Air Tranport Hangar</x:t>
  </x:si>
  <x:si>
    <x:t xml:space="preserve">Air Transport Hangar</x:t>
  </x:si>
  <x:si>
    <x:t xml:space="preserve">none</x:t>
  </x:si>
  <x:si>
    <x:t xml:space="preserve">Reactor Cask Management Yard and Inspection Shop</x:t>
  </x:si>
  <x:si>
    <x:t xml:space="preserve">Vehicle Depot and Mechanic Shop</x:t>
  </x:si>
  <x:si>
    <x:t xml:space="preserve">Parts Service Center and Warehouse</x:t>
  </x:si>
  <x:si>
    <x:t xml:space="preserve">Parts Service Center and Warehouse Building Area</x:t>
  </x:si>
  <x:si>
    <x:t xml:space="preserve">SER Administration Building Area</x:t>
  </x:si>
  <x:si>
    <x:t xml:space="preserve">Servicing Hot Cell</x:t>
  </x:si>
  <x:si>
    <x:t xml:space="preserve">Servicing Hot Cell Count</x:t>
  </x:si>
  <x:si>
    <x:t xml:space="preserve">Helium Purification Equipment</x:t>
  </x:si>
  <x:si>
    <x:t xml:space="preserve">SER Helium Flowrate</x:t>
  </x:si>
  <x:si>
    <x:t xml:space="preserve">0.6 is assumption. Cost is an average of the range given on p. 115 of the Ref. ((4700000+6000000)/2), and flowrate is 200 kg/h as given on p. 113 in the caption of Table 48.</x:t>
  </x:si>
  <x:si>
    <x:t xml:space="preserve">Fernandez de Losada, Lucas Javier. Assessment of the Lifecycle Cost of Nuclear-Grade Coolants for Advanced Reactors. (Master's thesis, ETH Zurich, 2024). https://doi.org/10.3929/ethz-b-000709311</x:t>
  </x:si>
  <x:si>
    <x:t xml:space="preserve">Radioactive Waste Processing Hot Cell</x:t>
  </x:si>
  <x:si>
    <x:t xml:space="preserve">Radioactive Waste Processing Hot Cell Count</x:t>
  </x:si>
  <x:si>
    <x:t xml:space="preserve">Should process 5 generating sites' worth of radwaste</x:t>
  </x:si>
  <x:si>
    <x:t xml:space="preserve">One-half the cost of the Reactor Instrumentation + Control System of the PWR-12-BE from the EEDB</x:t>
  </x:si>
  <x:si>
    <x:t xml:space="preserve">Report on the ACCERT Cost Algorithms Tool, ANL/NSE-19/10</x:t>
  </x:si>
  <x:si>
    <x:t xml:space="preserve">https://publications.anl.gov/anlpubs/2019/06/152862.pdf</x:t>
  </x:si>
  <x:si>
    <x:t xml:space="preserve">Remote Control Rooms</x:t>
  </x:si>
  <x:si>
    <x:t xml:space="preserve">Generating Sites Count</x:t>
  </x:si>
  <x:si>
    <x:t xml:space="preserve">assumption: Each operator monitors four reactors, and each operator stations costs $100,000</x:t>
  </x:si>
  <x:si>
    <x:t xml:space="preserve">Reactor Transport Casks</x:t>
  </x:si>
  <x:si>
    <x:t xml:space="preserve">Reactor Transport Cask Count</x:t>
  </x:si>
  <x:si>
    <x:t xml:space="preserve">SER Emergency Generator Power</x:t>
  </x:si>
  <x:si>
    <x:t xml:space="preserve">Service Air Water Building</x:t>
  </x:si>
  <x:si>
    <x:t xml:space="preserve">Service Air Water Building Count</x:t>
  </x:si>
  <x:si>
    <x:t xml:space="preserve">SER Fire Station Count</x:t>
  </x:si>
  <x:si>
    <x:t xml:space="preserve">SER Security Building Area</x:t>
  </x:si>
  <x:si>
    <x:t xml:space="preserve">SER Local Transport Vehicle Count</x:t>
  </x:si>
  <x:si>
    <x:t xml:space="preserve">SER Utility Vehicle Count</x:t>
  </x:si>
  <x:si>
    <x:t xml:space="preserve">Offsite Transport Equipment</x:t>
  </x:si>
  <x:si>
    <x:t xml:space="preserve">Reactor Transport Vehicles</x:t>
  </x:si>
  <x:si>
    <x:t xml:space="preserve">Reactor Transport Vehicle Count</x:t>
  </x:si>
  <x:si>
    <x:t xml:space="preserve">Helium Transport Trucks</x:t>
  </x:si>
  <x:si>
    <x:t xml:space="preserve">Helium Transport Truck Count</x:t>
  </x:si>
  <x:si>
    <x:t xml:space="preserve">Water Tanker Trucks</x:t>
  </x:si>
  <x:si>
    <x:t xml:space="preserve">Water Tanker Truck Count</x:t>
  </x:si>
  <x:si>
    <x:t xml:space="preserve">Maintenance Trucks</x:t>
  </x:si>
  <x:si>
    <x:t xml:space="preserve">Maintenance Truck Count</x:t>
  </x:si>
  <x:si>
    <x:t xml:space="preserve">Air Transport Equipment</x:t>
  </x:si>
  <x:si>
    <x:t xml:space="preserve">Heavy Lift Helicopters</x:t>
  </x:si>
  <x:si>
    <x:t xml:space="preserve">Helicopter Count</x:t>
  </x:si>
  <x:si>
    <x:t xml:space="preserve">Aircraft Maintenance Equipment</x:t>
  </x:si>
  <x:si>
    <x:t xml:space="preserve">SER Security Camera Count</x:t>
  </x:si>
  <x:si>
    <x:t xml:space="preserve">SER Motion Detector Count</x:t>
  </x:si>
  <x:si>
    <x:t xml:space="preserve">SER Guard Station Count</x:t>
  </x:si>
  <x:si>
    <x:t xml:space="preserve">Radiation Monitors</x:t>
  </x:si>
  <x:si>
    <x:t xml:space="preserve">SER Radiation Monitor Count</x:t>
  </x:si>
  <x:si>
    <x:t xml:space="preserve">$/FTE-year</x:t>
  </x:si>
  <x:si>
    <x:t xml:space="preserve">SER Operator FTEs Per Facility</x:t>
  </x:si>
  <x:si>
    <x:t xml:space="preserve">Shift To Headcount</x:t>
  </x:si>
  <x:si>
    <x:t xml:space="preserve">SER Security Staff Per Shift</x:t>
  </x:si>
  <x:si>
    <x:t xml:space="preserve">SER Maintenance Staff Per Shift</x:t>
  </x:si>
  <x:si>
    <x:t xml:space="preserve">Engineering Staff</x:t>
  </x:si>
  <x:si>
    <x:t xml:space="preserve">SER Engineering Headcount</x:t>
  </x:si>
  <x:si>
    <x:t xml:space="preserve">Operating Chemicals and Lubricants</x:t>
  </x:si>
  <x:si>
    <x:t xml:space="preserve">Spare Parts</x:t>
  </x:si>
  <x:si>
    <x:t xml:space="preserve">SER Switchyard Average Power</x:t>
  </x:si>
  <x:si>
    <x:t xml:space="preserve">Annualized Cask Replacements</x:t>
  </x:si>
  <x:si>
    <x:t xml:space="preserve">Used Fuel Cask</x:t>
  </x:si>
  <x:si>
    <x:t xml:space="preserve">Annual Used Fuel Cask Consumption</x:t>
  </x:si>
  <x:si>
    <x:t xml:space="preserve">MIT-ANP-TR-198</x:t>
  </x:si>
  <x:si>
    <x:t xml:space="preserve">NUHOMS EOS 37 PTH ESC Cask</x:t>
  </x:si>
  <x:si>
    <x:t xml:space="preserve">Reactor Transport Cask</x:t>
  </x:si>
  <x:si>
    <x:t xml:space="preserve">Annual Reactor Cask Replacement</x:t>
  </x:si>
  <x:si>
    <x:t xml:space="preserve">Radwaste Storage Cask</x:t>
  </x:si>
  <x:si>
    <x:t xml:space="preserve">Annual Radwaste Cask Consumption</x:t>
  </x:si>
  <x:si>
    <x:t xml:space="preserve">Used Fuel Storage Additional Overpacks</x:t>
  </x:si>
  <x:si>
    <x:t xml:space="preserve">He Gas Replenishment</x:t>
  </x:si>
  <x:si>
    <x:t xml:space="preserve">Servicing Vehicle O&amp;M</x:t>
  </x:si>
  <x:si>
    <x:t xml:space="preserve">Reactor Transport Vehicles O&amp;M</x:t>
  </x:si>
  <x:si>
    <x:t xml:space="preserve">Helium Transport Trucks O&amp;M</x:t>
  </x:si>
  <x:si>
    <x:t xml:space="preserve">Water Tanker Trucks O&amp;M</x:t>
  </x:si>
  <x:si>
    <x:t xml:space="preserve">Maintenance Trucks O&amp;M</x:t>
  </x:si>
</x:sst>
</file>

<file path=xl/styles.xml><?xml version="1.0" encoding="utf-8"?>
<x:styleSheet xmlns:x="http://schemas.openxmlformats.org/spreadsheetml/2006/main">
  <x:numFmts count="15">
    <x:numFmt numFmtId="164" formatCode="General"/>
    <x:numFmt numFmtId="165" formatCode="_(* #,##0.00_);_(* \(#,##0.00\);_(* \-??_);_(@_)"/>
    <x:numFmt numFmtId="166" formatCode="#,##0"/>
    <x:numFmt numFmtId="167" formatCode="_(* #,##0_);_(* \(#,##0\);_(* \-??_);_(@_)"/>
    <x:numFmt numFmtId="168" formatCode="_(* #,##0.0_);_(* \(#,##0.0\);_(* \-?_);_(@_)"/>
    <x:numFmt numFmtId="169" formatCode="0.0"/>
    <x:numFmt numFmtId="170" formatCode="_(* #,##0.000_);_(* \(#,##0.000\);_(* \-??_);_(@_)"/>
    <x:numFmt numFmtId="171" formatCode="#,##0.000"/>
    <x:numFmt numFmtId="172" formatCode="0.00"/>
    <x:numFmt numFmtId="173" formatCode="0.000"/>
    <x:numFmt numFmtId="174" formatCode="#,##0.00"/>
    <x:numFmt numFmtId="175" formatCode="#,##0.000_);\(#,##0.000\)"/>
    <x:numFmt numFmtId="176" formatCode="\$#,##0_);[RED]&quot;($&quot;#,##0\)"/>
    <x:numFmt numFmtId="177" formatCode="#,##0.00_);\(#,##0.00\)"/>
    <x:numFmt numFmtId="178" formatCode="#,##0.0000_);\(#,##0.0000\)"/>
  </x:numFmts>
  <x:fonts count="32">
    <x:font>
      <x:sz val="11"/>
      <x:color theme="1"/>
      <x:name val="Calibri"/>
    </x:font>
    <x:font>
      <x:sz val="10"/>
      <x:name val="Arial"/>
    </x:font>
    <x:font>
      <x:sz val="10"/>
      <x:name val="Arial"/>
    </x:font>
    <x:font>
      <x:sz val="10"/>
      <x:name val="Arial"/>
    </x:font>
    <x:font>
      <x:sz val="11"/>
      <x:color theme="10"/>
      <x:name val="Calibri"/>
    </x:font>
    <x:font>
      <x:sz val="10"/>
      <x:color rgb="FF000000"/>
      <x:name val="Times New Roman"/>
    </x:font>
    <x:font>
      <x:sz val="11"/>
      <x:color theme="1"/>
      <x:name val="Calibri"/>
    </x:font>
    <x:font>
      <x:sz val="10"/>
      <x:color theme="1"/>
      <x:name val="Calibri"/>
    </x:font>
    <x:font>
      <x:b/>
      <x:sz val="10"/>
      <x:color rgb="FF000000"/>
      <x:name val="Times New Roman"/>
    </x:font>
    <x:font>
      <x:b/>
      <x:sz val="10"/>
      <x:color theme="1"/>
      <x:name val="Times New Roman"/>
    </x:font>
    <x:font>
      <x:b/>
      <x:sz val="10"/>
      <x:color theme="1"/>
      <x:name val="Calibri"/>
    </x:font>
    <x:font>
      <x:sz val="10"/>
      <x:color theme="1"/>
      <x:name val="Times New Roman"/>
    </x:font>
    <x:font>
      <x:sz val="10"/>
      <x:color theme="10"/>
      <x:name val="Times New Roman"/>
    </x:font>
    <x:font>
      <x:sz val="10"/>
      <x:name val="Times New Roman"/>
    </x:font>
    <x:font>
      <x:sz val="10"/>
      <x:color theme="10"/>
      <x:name val="Times New Roman"/>
    </x:font>
    <x:font>
      <x:sz val="9"/>
      <x:color theme="1"/>
      <x:name val="Calibri"/>
    </x:font>
    <x:font>
      <x:sz val="10"/>
      <x:color rgb="FF212529"/>
      <x:name val="Times New Roman"/>
    </x:font>
    <x:font>
      <x:sz val="10"/>
      <x:color rgb="FF383A42"/>
      <x:name val="Menlo"/>
    </x:font>
    <x:font>
      <x:b/>
      <x:sz val="11"/>
      <x:color theme="1"/>
      <x:name val="Calibri"/>
    </x:font>
    <x:font>
      <x:b/>
      <x:sz val="12"/>
      <x:color rgb="FF000000"/>
      <x:name val="Times New Roman"/>
    </x:font>
    <x:font>
      <x:sz val="10"/>
      <x:name val="Arial"/>
    </x:font>
    <x:font>
      <x:sz val="11"/>
      <x:color rgb="FF000000"/>
      <x:name val="Calibri"/>
    </x:font>
    <x:font>
      <x:b/>
      <x:sz val="10"/>
      <x:color rgb="FF92D050"/>
      <x:name val="Times New Roman"/>
    </x:font>
    <x:font>
      <x:sz val="10"/>
      <x:color rgb="FFFFC000"/>
      <x:name val="Times New Roman"/>
    </x:font>
    <x:font>
      <x:b/>
      <x:sz val="10"/>
      <x:color rgb="FF7030A0"/>
      <x:name val="Times New Roman"/>
    </x:font>
    <x:font>
      <x:b/>
      <x:sz val="10"/>
      <x:color theme="9"/>
      <x:name val="Times New Roman"/>
    </x:font>
    <x:font>
      <x:sz val="10"/>
      <x:color rgb="FFFF0000"/>
      <x:name val="Times New Roman"/>
    </x:font>
    <x:font>
      <x:b/>
      <x:sz val="10"/>
      <x:color rgb="FFFF0000"/>
      <x:name val="Times New Roman"/>
    </x:font>
    <x:font>
      <x:b/>
      <x:sz val="10"/>
      <x:color rgb="FFFFC000"/>
      <x:name val="Times New Roman"/>
    </x:font>
    <x:font>
      <x:b/>
      <x:sz val="10"/>
      <x:name val="Times New Roman"/>
    </x:font>
    <x:font>
      <x:sz val="10"/>
      <x:color rgb="FF7030A0"/>
      <x:name val="Times New Roman"/>
    </x:font>
    <x:font>
      <x:sz val="10"/>
      <x:color theme="9"/>
      <x:name val="Times New Roman"/>
    </x:font>
  </x:fonts>
  <x:fills count="8">
    <x:fill>
      <x:patternFill patternType="none"/>
    </x:fill>
    <x:fill>
      <x:patternFill patternType="gray125"/>
    </x:fill>
    <x:fill>
      <x:patternFill patternType="solid">
        <x:fgColor rgb="FFFFFF00"/>
      </x:patternFill>
    </x:fill>
    <x:fill>
      <x:patternFill patternType="solid">
        <x:fgColor rgb="FFF2F2F2"/>
      </x:patternFill>
    </x:fill>
    <x:fill>
      <x:patternFill patternType="solid">
        <x:fgColor theme="7" tint="0.5999"/>
      </x:patternFill>
    </x:fill>
    <x:fill>
      <x:patternFill patternType="solid">
        <x:fgColor rgb="FFFFC000"/>
      </x:patternFill>
    </x:fill>
    <x:fill>
      <x:patternFill patternType="solid">
        <x:fgColor rgb="FFFFFFFF"/>
      </x:patternFill>
    </x:fill>
    <x:fill>
      <x:patternFill patternType="solid">
        <x:fgColor rgb="FF00B0F0"/>
      </x:patternFill>
    </x:fill>
  </x:fills>
  <x:borders count="10">
    <x:border diagonalUp="0" diagonalDown="0"/>
    <x:border diagonalUp="0" diagonalDown="0">
      <x:left style="thin"/>
      <x:right style="thin"/>
      <x:top style="thin"/>
      <x:bottom style="thin"/>
    </x:border>
    <x:border diagonalUp="0" diagonalDown="0">
      <x:left style="thin"/>
      <x:right style="thin"/>
    </x:border>
    <x:border diagonalUp="0" diagonalDown="0">
      <x:left style="thin"/>
      <x:right style="thin"/>
      <x:bottom style="thin"/>
    </x:border>
    <x:border diagonalUp="0" diagonalDown="0">
      <x:bottom style="thin"/>
    </x:border>
    <x:border diagonalUp="0" diagonalDown="0">
      <x:left style="thin"/>
      <x:right style="thin"/>
      <x:top style="thin"/>
    </x:border>
    <x:border diagonalUp="0" diagonalDown="0">
      <x:left style="medium"/>
      <x:right style="medium"/>
      <x:top style="medium"/>
      <x:bottom style="medium"/>
    </x:border>
    <x:border diagonalUp="0" diagonalDown="0">
      <x:left style="medium"/>
      <x:right style="medium"/>
      <x:bottom style="medium"/>
    </x:border>
    <x:border diagonalUp="0" diagonalDown="0">
      <x:right style="medium"/>
      <x:top style="medium"/>
      <x:bottom style="medium"/>
    </x:border>
    <x:border diagonalUp="0" diagonalDown="0">
      <x:right style="medium"/>
      <x:bottom style="medium"/>
    </x:border>
  </x:borders>
  <x:cellStyleXfs count="25">
    <x:xf numFmtId="164" fontId="0" fillId="0" borderId="0" applyFont="1" applyBorder="1" applyAlignment="1" applyProtection="1">
      <x:alignment horizontal="general" vertical="bottom" wrapText="0" shrinkToFit="0"/>
      <x:protection locked="1" hidden="0"/>
    </x:xf>
    <x:xf numFmtId="0" fontId="1" fillId="0" borderId="0" applyFont="1" applyBorder="0" applyAlignment="0" applyProtection="0"/>
    <x:xf numFmtId="0" fontId="1" fillId="0" borderId="0" applyFont="1" applyBorder="0" applyAlignment="0" applyProtection="0"/>
    <x:xf numFmtId="0" fontId="2" fillId="0" borderId="0" applyFont="1" applyBorder="0" applyAlignment="0" applyProtection="0"/>
    <x:xf numFmtId="0" fontId="2"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0" fontId="0" fillId="0" borderId="0" applyFont="1" applyBorder="0" applyAlignment="0" applyProtection="0"/>
    <x:xf numFmtId="43" fontId="1" fillId="0" borderId="0" applyFont="1" applyBorder="0" applyAlignment="0" applyProtection="0"/>
    <x:xf numFmtId="41" fontId="1" fillId="0" borderId="0" applyFont="1" applyBorder="0" applyAlignment="0" applyProtection="0"/>
    <x:xf numFmtId="44" fontId="1" fillId="0" borderId="0" applyFont="1" applyBorder="0" applyAlignment="0" applyProtection="0"/>
    <x:xf numFmtId="42" fontId="1" fillId="0" borderId="0" applyFont="1" applyBorder="0" applyAlignment="0" applyProtection="0"/>
    <x:xf numFmtId="9" fontId="1" fillId="0" borderId="0" applyFont="1" applyBorder="0" applyAlignment="0" applyProtection="0"/>
    <x:xf numFmtId="165" fontId="0" fillId="0" borderId="0" applyFont="1" applyBorder="1" applyAlignment="1" applyProtection="1">
      <x:alignment horizontal="general" vertical="bottom" wrapText="0" shrinkToFit="0"/>
      <x:protection locked="1" hidden="0"/>
    </x:xf>
    <x:xf numFmtId="164" fontId="4" fillId="0" borderId="0" applyFont="1" applyBorder="1" applyAlignment="1" applyProtection="1">
      <x:alignment horizontal="general" vertical="bottom" wrapText="0" shrinkToFit="0"/>
      <x:protection locked="1" hidden="0"/>
    </x:xf>
    <x:xf numFmtId="164" fontId="4" fillId="0" borderId="0" applyFont="1" applyBorder="1" applyAlignment="1" applyProtection="1">
      <x:alignment horizontal="general" vertical="bottom" wrapText="0" shrinkToFit="0"/>
      <x:protection locked="1" hidden="0"/>
    </x:xf>
    <x:xf numFmtId="164" fontId="5" fillId="0" borderId="0" applyFont="1" applyBorder="1" applyAlignment="1" applyProtection="1">
      <x:alignment horizontal="general" vertical="bottom" wrapText="0" shrinkToFit="0"/>
      <x:protection locked="1" hidden="0"/>
    </x:xf>
    <x:xf numFmtId="164" fontId="6" fillId="0" borderId="0" applyFont="1" applyBorder="1" applyAlignment="1" applyProtection="1">
      <x:alignment horizontal="general" vertical="bottom" wrapText="0" shrinkToFit="0"/>
      <x:protection locked="1" hidden="0"/>
    </x:xf>
  </x:cellStyleXfs>
  <x:cellXfs count="178">
    <x:xf numFmtId="164" fontId="0" fillId="0" borderId="0" xfId="0" applyFont="0" applyBorder="0" applyAlignment="0">
      <x:alignment horizontal="general" vertical="bottom" wrapText="0"/>
    </x:xf>
    <x:xf numFmtId="164" fontId="7" fillId="0" borderId="0" xfId="0" applyFont="1" applyBorder="0" applyAlignment="1">
      <x:alignment horizontal="general" vertical="bottom" wrapText="0"/>
    </x:xf>
    <x:xf numFmtId="164" fontId="7" fillId="0" borderId="0" xfId="0" applyFont="1" applyBorder="0" applyAlignment="1">
      <x:alignment horizontal="left" vertical="bottom" wrapText="1"/>
    </x:xf>
    <x:xf numFmtId="164" fontId="7" fillId="0" borderId="0" xfId="0" applyFont="1" applyBorder="0" applyAlignment="1">
      <x:alignment horizontal="right" vertical="bottom" wrapText="0"/>
    </x:xf>
    <x:xf numFmtId="164" fontId="8" fillId="0" borderId="1" xfId="0" applyFont="1" applyBorder="1" applyAlignment="1">
      <x:alignment horizontal="left" vertical="bottom" wrapText="1"/>
    </x:xf>
    <x:xf numFmtId="166" fontId="8" fillId="0" borderId="1" xfId="0" applyFont="1" applyBorder="1" applyAlignment="1">
      <x:alignment horizontal="left" vertical="bottom" wrapText="1"/>
    </x:xf>
    <x:xf numFmtId="164" fontId="8" fillId="0" borderId="1" xfId="0" applyFont="1" applyBorder="1" applyAlignment="1">
      <x:alignment horizontal="left" vertical="bottom" wrapText="0"/>
    </x:xf>
    <x:xf numFmtId="164" fontId="9" fillId="0" borderId="1" xfId="0" applyFont="1" applyBorder="1" applyAlignment="1">
      <x:alignment horizontal="left" vertical="bottom" wrapText="1"/>
    </x:xf>
    <x:xf numFmtId="164" fontId="10" fillId="0" borderId="0" xfId="0" applyFont="1" applyBorder="0" applyAlignment="1">
      <x:alignment horizontal="left" vertical="bottom" wrapText="1"/>
    </x:xf>
    <x:xf numFmtId="166" fontId="8" fillId="0" borderId="1" xfId="0" applyFont="1" applyBorder="1" applyAlignment="1">
      <x:alignment horizontal="left" vertical="bottom" wrapText="0"/>
    </x:xf>
    <x:xf numFmtId="166" fontId="5" fillId="0" borderId="1" xfId="0" applyFont="1" applyBorder="1" applyAlignment="1">
      <x:alignment horizontal="left" vertical="bottom" wrapText="1"/>
    </x:xf>
    <x:xf numFmtId="166" fontId="8" fillId="0" borderId="1" xfId="0" applyFont="1" applyBorder="1" applyAlignment="1">
      <x:alignment horizontal="right" vertical="bottom" wrapText="0"/>
    </x:xf>
    <x:xf numFmtId="164" fontId="9" fillId="0" borderId="1" xfId="0" applyFont="1" applyBorder="1" applyAlignment="1">
      <x:alignment horizontal="general" vertical="bottom" wrapText="0"/>
    </x:xf>
    <x:xf numFmtId="164" fontId="9" fillId="0" borderId="1" xfId="0" applyFont="1" applyBorder="1" applyAlignment="1">
      <x:alignment horizontal="right" vertical="bottom" wrapText="0"/>
    </x:xf>
    <x:xf numFmtId="164" fontId="10" fillId="0" borderId="0" xfId="0" applyFont="1" applyBorder="0" applyAlignment="1">
      <x:alignment horizontal="general" vertical="bottom" wrapText="0"/>
    </x:xf>
    <x:xf numFmtId="164" fontId="5" fillId="0" borderId="1" xfId="0" applyFont="1" applyBorder="1" applyAlignment="1">
      <x:alignment horizontal="left" vertical="bottom" wrapText="1"/>
    </x:xf>
    <x:xf numFmtId="167" fontId="11" fillId="0" borderId="1" xfId="0" applyFont="1" applyBorder="1" applyAlignment="1">
      <x:alignment horizontal="right" vertical="bottom" wrapText="0"/>
    </x:xf>
    <x:xf numFmtId="166" fontId="11" fillId="0" borderId="1" xfId="0" applyFont="1" applyBorder="1" applyAlignment="1">
      <x:alignment horizontal="right" vertical="bottom" wrapText="0"/>
    </x:xf>
    <x:xf numFmtId="164" fontId="11" fillId="0" borderId="1" xfId="0" applyFont="1" applyBorder="1" applyAlignment="1">
      <x:alignment horizontal="left" vertical="bottom" wrapText="0"/>
    </x:xf>
    <x:xf numFmtId="167" fontId="11" fillId="0" borderId="1" xfId="0" applyFont="1" applyBorder="1" applyAlignment="1">
      <x:alignment horizontal="general" vertical="bottom" wrapText="0"/>
    </x:xf>
    <x:xf numFmtId="164" fontId="11" fillId="0" borderId="1" xfId="0" applyFont="1" applyBorder="1" applyAlignment="1">
      <x:alignment horizontal="right" vertical="bottom" wrapText="0"/>
    </x:xf>
    <x:xf numFmtId="164" fontId="11" fillId="0" borderId="1" xfId="0" applyFont="1" applyBorder="1" applyAlignment="1">
      <x:alignment horizontal="left" vertical="bottom" wrapText="1"/>
    </x:xf>
    <x:xf numFmtId="164" fontId="12" fillId="0" borderId="1" xfId="0" applyFont="1" applyBorder="1" applyAlignment="1">
      <x:alignment horizontal="left" vertical="bottom" wrapText="0"/>
    </x:xf>
    <x:xf numFmtId="164" fontId="11" fillId="0" borderId="1" xfId="0" applyFont="1" applyBorder="1" applyAlignment="1">
      <x:alignment horizontal="general" vertical="bottom" wrapText="0"/>
    </x:xf>
    <x:xf numFmtId="168" fontId="9" fillId="0" borderId="1" xfId="0" applyFont="1" applyBorder="1" applyAlignment="1">
      <x:alignment horizontal="right" vertical="bottom" wrapText="0"/>
    </x:xf>
    <x:xf numFmtId="164" fontId="6" fillId="0" borderId="0" xfId="0" applyFont="1" applyBorder="0" applyAlignment="1">
      <x:alignment horizontal="general" vertical="bottom" wrapText="1"/>
    </x:xf>
    <x:xf numFmtId="164" fontId="11" fillId="0" borderId="1" xfId="0" applyFont="1" applyBorder="1" applyAlignment="1">
      <x:alignment horizontal="general" vertical="bottom" wrapText="1"/>
    </x:xf>
    <x:xf numFmtId="166" fontId="8" fillId="0" borderId="1" xfId="0" applyFont="1" applyBorder="1" applyAlignment="1">
      <x:alignment horizontal="right" vertical="bottom" wrapText="1"/>
    </x:xf>
    <x:xf numFmtId="164" fontId="8" fillId="0" borderId="1" xfId="0" applyFont="1" applyBorder="1" applyAlignment="1">
      <x:alignment horizontal="right" vertical="bottom" wrapText="1"/>
    </x:xf>
    <x:xf numFmtId="167" fontId="11" fillId="0" borderId="1" xfId="0" applyFont="1" applyBorder="1" applyAlignment="1">
      <x:alignment horizontal="general" vertical="bottom" wrapText="1"/>
    </x:xf>
    <x:xf numFmtId="164" fontId="5" fillId="0" borderId="1" xfId="0" applyFont="1" applyBorder="1" applyAlignment="1">
      <x:alignment horizontal="left" vertical="bottom" wrapText="0"/>
    </x:xf>
    <x:xf numFmtId="169" fontId="5" fillId="0" borderId="1" xfId="0" applyFont="1" applyBorder="1" applyAlignment="1">
      <x:alignment horizontal="left" vertical="bottom" wrapText="0"/>
    </x:xf>
    <x:xf numFmtId="164" fontId="12" fillId="0" borderId="1" xfId="0" applyFont="1" applyBorder="1" applyAlignment="1">
      <x:alignment horizontal="left" vertical="bottom" wrapText="1"/>
    </x:xf>
    <x:xf numFmtId="164" fontId="13" fillId="0" borderId="1" xfId="0" applyFont="1" applyBorder="1" applyAlignment="1">
      <x:alignment horizontal="general" vertical="bottom" wrapText="1"/>
    </x:xf>
    <x:xf numFmtId="164" fontId="14" fillId="0" borderId="1" xfId="0" applyFont="1" applyBorder="1" applyAlignment="1">
      <x:alignment horizontal="left" vertical="bottom" wrapText="0"/>
    </x:xf>
    <x:xf numFmtId="164" fontId="4" fillId="0" borderId="1" xfId="0" applyFont="1" applyBorder="1" applyAlignment="1">
      <x:alignment horizontal="left" vertical="bottom" wrapText="0"/>
    </x:xf>
    <x:xf numFmtId="164" fontId="15" fillId="0" borderId="0" xfId="0" applyFont="1" applyBorder="0" applyAlignment="1">
      <x:alignment horizontal="general" vertical="bottom" wrapText="0"/>
    </x:xf>
    <x:xf numFmtId="164" fontId="5" fillId="0" borderId="1" xfId="0" applyFont="1" applyBorder="1" applyAlignment="1">
      <x:alignment horizontal="general" vertical="bottom" wrapText="1"/>
    </x:xf>
    <x:xf numFmtId="166" fontId="5" fillId="0" borderId="1" xfId="0" applyFont="1" applyBorder="1" applyAlignment="1">
      <x:alignment horizontal="right" vertical="bottom" wrapText="0"/>
    </x:xf>
    <x:xf numFmtId="164" fontId="12" fillId="0" borderId="1" xfId="0" applyFont="1" applyBorder="1" applyAlignment="1">
      <x:alignment horizontal="general" vertical="bottom" wrapText="1"/>
    </x:xf>
    <x:xf numFmtId="164" fontId="11" fillId="0" borderId="1" xfId="0" applyFont="1" applyBorder="1" applyAlignment="1">
      <x:alignment horizontal="center" vertical="bottom" wrapText="0"/>
    </x:xf>
    <x:xf numFmtId="166" fontId="16" fillId="0" borderId="1" xfId="0" applyFont="1" applyBorder="1" applyAlignment="1">
      <x:alignment horizontal="right" vertical="bottom" wrapText="0"/>
    </x:xf>
    <x:xf numFmtId="164" fontId="5" fillId="0" borderId="1" xfId="0" applyFont="1" applyBorder="1" applyAlignment="1">
      <x:alignment horizontal="right" vertical="bottom" wrapText="0"/>
    </x:xf>
    <x:xf numFmtId="164" fontId="11" fillId="0" borderId="1" xfId="0" applyFont="1" applyBorder="1" applyAlignment="1">
      <x:alignment horizontal="center" vertical="bottom" wrapText="1"/>
    </x:xf>
    <x:xf numFmtId="164" fontId="5" fillId="0" borderId="1" xfId="0" applyFont="1" applyBorder="1" applyAlignment="1">
      <x:alignment horizontal="center" vertical="bottom" wrapText="1"/>
    </x:xf>
    <x:xf numFmtId="166" fontId="5" fillId="0" borderId="1" xfId="0" applyFont="1" applyBorder="1" applyAlignment="1">
      <x:alignment horizontal="right" vertical="bottom" wrapText="1"/>
    </x:xf>
    <x:xf numFmtId="164" fontId="5" fillId="0" borderId="1" xfId="0" applyFont="1" applyBorder="1" applyAlignment="1">
      <x:alignment horizontal="general" vertical="center" wrapText="1"/>
    </x:xf>
    <x:xf numFmtId="164" fontId="11" fillId="0" borderId="1" xfId="0" applyFont="1" applyBorder="1" applyAlignment="1">
      <x:alignment horizontal="center" vertical="center" wrapText="1"/>
    </x:xf>
    <x:xf numFmtId="164" fontId="17" fillId="0" borderId="0" xfId="0" applyFont="1" applyBorder="0" applyAlignment="1">
      <x:alignment horizontal="general" vertical="bottom" wrapText="0"/>
    </x:xf>
    <x:xf numFmtId="164" fontId="0" fillId="0" borderId="2" xfId="0" applyFont="0" applyBorder="1" applyAlignment="1">
      <x:alignment horizontal="general" vertical="bottom" wrapText="0"/>
    </x:xf>
    <x:xf numFmtId="164" fontId="0" fillId="0" borderId="3" xfId="0" applyFont="0" applyBorder="1" applyAlignment="1">
      <x:alignment horizontal="general" vertical="bottom" wrapText="0"/>
    </x:xf>
    <x:xf numFmtId="164" fontId="5" fillId="0" borderId="2" xfId="0" applyFont="1" applyBorder="1" applyAlignment="1">
      <x:alignment horizontal="left" vertical="bottom" wrapText="0"/>
    </x:xf>
    <x:xf numFmtId="166" fontId="8" fillId="0" borderId="2" xfId="0" applyFont="1" applyBorder="1" applyAlignment="1">
      <x:alignment horizontal="left" vertical="bottom" wrapText="0"/>
    </x:xf>
    <x:xf numFmtId="166" fontId="5" fillId="0" borderId="0" xfId="0" applyFont="1" applyBorder="0" applyAlignment="1">
      <x:alignment horizontal="left" vertical="bottom" wrapText="1"/>
    </x:xf>
    <x:xf numFmtId="164" fontId="7" fillId="0" borderId="4" xfId="0" applyFont="1" applyBorder="1" applyAlignment="1">
      <x:alignment horizontal="general" vertical="bottom" wrapText="0"/>
    </x:xf>
    <x:xf numFmtId="164" fontId="12" fillId="0" borderId="1" xfId="0" applyFont="1" applyBorder="1" applyAlignment="1">
      <x:alignment horizontal="center" vertical="bottom" wrapText="1"/>
    </x:xf>
    <x:xf numFmtId="164" fontId="4" fillId="0" borderId="1" xfId="0" applyFont="1" applyBorder="1" applyAlignment="1">
      <x:alignment horizontal="general" vertical="bottom" wrapText="0"/>
    </x:xf>
    <x:xf numFmtId="164" fontId="12" fillId="0" borderId="1" xfId="0" applyFont="1" applyBorder="1" applyAlignment="1">
      <x:alignment horizontal="general" vertical="bottom" wrapText="0"/>
    </x:xf>
    <x:xf numFmtId="164" fontId="11" fillId="0" borderId="5" xfId="0" applyFont="1" applyBorder="1" applyAlignment="1">
      <x:alignment horizontal="general" vertical="bottom" wrapText="1"/>
    </x:xf>
    <x:xf numFmtId="170" fontId="11" fillId="0" borderId="1" xfId="0" applyFont="1" applyBorder="1" applyAlignment="1">
      <x:alignment horizontal="right" vertical="bottom" wrapText="0"/>
    </x:xf>
    <x:xf numFmtId="164" fontId="5" fillId="0" borderId="1" xfId="0" applyFont="1" applyBorder="1" applyAlignment="1">
      <x:alignment horizontal="general" vertical="bottom" wrapText="0"/>
    </x:xf>
    <x:xf numFmtId="164" fontId="11" fillId="0" borderId="5" xfId="0" applyFont="1" applyBorder="1" applyAlignment="1">
      <x:alignment horizontal="center" vertical="bottom" wrapText="1"/>
    </x:xf>
    <x:xf numFmtId="164" fontId="11" fillId="0" borderId="5" xfId="0" applyFont="1" applyBorder="1" applyAlignment="1">
      <x:alignment horizontal="general" vertical="bottom" wrapText="0"/>
    </x:xf>
    <x:xf numFmtId="171" fontId="11" fillId="0" borderId="1" xfId="0" applyFont="1" applyBorder="1" applyAlignment="1">
      <x:alignment horizontal="right" vertical="bottom" wrapText="0"/>
    </x:xf>
    <x:xf numFmtId="172" fontId="6" fillId="0" borderId="0" xfId="0" applyFont="1" applyBorder="0" applyAlignment="1">
      <x:alignment horizontal="left" vertical="center" wrapText="0"/>
    </x:xf>
    <x:xf numFmtId="164" fontId="6" fillId="0" borderId="0" xfId="0" applyFont="1" applyBorder="0" applyAlignment="1">
      <x:alignment horizontal="general" vertical="center" wrapText="1"/>
    </x:xf>
    <x:xf numFmtId="166" fontId="6" fillId="0" borderId="0" xfId="0" applyFont="1" applyBorder="0" applyAlignment="1">
      <x:alignment horizontal="general" vertical="bottom" wrapText="0"/>
    </x:xf>
    <x:xf numFmtId="164" fontId="0" fillId="0" borderId="0" xfId="0" applyFont="0" applyBorder="0" applyAlignment="1">
      <x:alignment horizontal="general" vertical="bottom" wrapText="0"/>
    </x:xf>
    <x:xf numFmtId="164" fontId="18" fillId="2" borderId="1" xfId="0" applyFont="1" applyBorder="1" applyAlignment="1">
      <x:alignment horizontal="left" vertical="center" wrapText="1"/>
    </x:xf>
    <x:xf numFmtId="164" fontId="18" fillId="2" borderId="1" xfId="0" applyFont="1" applyBorder="1" applyAlignment="1">
      <x:alignment horizontal="center" vertical="center" wrapText="1"/>
    </x:xf>
    <x:xf numFmtId="166" fontId="18" fillId="2" borderId="1" xfId="0" applyFont="1" applyBorder="1" applyAlignment="1">
      <x:alignment horizontal="center" vertical="center" wrapText="1"/>
    </x:xf>
    <x:xf numFmtId="172" fontId="18" fillId="0" borderId="1" xfId="0" applyFont="1" applyBorder="1" applyAlignment="1">
      <x:alignment horizontal="left" vertical="center" wrapText="0"/>
    </x:xf>
    <x:xf numFmtId="164" fontId="18" fillId="0" borderId="1" xfId="0" applyFont="1" applyBorder="1" applyAlignment="1">
      <x:alignment horizontal="general" vertical="center" wrapText="1"/>
    </x:xf>
    <x:xf numFmtId="166" fontId="18" fillId="0" borderId="1" xfId="0" applyFont="1" applyBorder="1" applyAlignment="1">
      <x:alignment horizontal="general" vertical="bottom" wrapText="0"/>
    </x:xf>
    <x:xf numFmtId="172" fontId="6" fillId="0" borderId="1" xfId="0" applyFont="1" applyBorder="1" applyAlignment="1">
      <x:alignment horizontal="left" vertical="center" wrapText="0"/>
    </x:xf>
    <x:xf numFmtId="164" fontId="6" fillId="0" borderId="1" xfId="0" applyFont="1" applyBorder="1" applyAlignment="1">
      <x:alignment horizontal="general" vertical="center" wrapText="1"/>
    </x:xf>
    <x:xf numFmtId="166" fontId="6" fillId="0" borderId="1" xfId="0" applyFont="1" applyBorder="1" applyAlignment="1">
      <x:alignment horizontal="general" vertical="bottom" wrapText="0"/>
    </x:xf>
    <x:xf numFmtId="165" fontId="0" fillId="0" borderId="0" xfId="0" applyFont="0" applyBorder="0" applyAlignment="1">
      <x:alignment horizontal="general" vertical="bottom" wrapText="0"/>
    </x:xf>
    <x:xf numFmtId="164" fontId="6" fillId="0" borderId="1" xfId="0" applyFont="1" applyBorder="1" applyAlignment="1">
      <x:alignment horizontal="left" vertical="center" wrapText="1"/>
    </x:xf>
    <x:xf numFmtId="164" fontId="5" fillId="0" borderId="6" xfId="0" applyFont="1" applyBorder="1" applyAlignment="1">
      <x:alignment horizontal="left" vertical="bottom" wrapText="0"/>
    </x:xf>
    <x:xf numFmtId="164" fontId="5" fillId="0" borderId="7" xfId="0" applyFont="1" applyBorder="1" applyAlignment="1">
      <x:alignment horizontal="general" vertical="center" wrapText="1"/>
    </x:xf>
    <x:xf numFmtId="166" fontId="0" fillId="0" borderId="0" xfId="0" applyFont="0" applyBorder="0" applyAlignment="1">
      <x:alignment horizontal="general" vertical="bottom" wrapText="0"/>
    </x:xf>
    <x:xf numFmtId="173" fontId="6" fillId="0" borderId="1" xfId="0" applyFont="1" applyBorder="1" applyAlignment="1">
      <x:alignment horizontal="left" vertical="center" wrapText="0"/>
    </x:xf>
    <x:xf numFmtId="164" fontId="5" fillId="0" borderId="0" xfId="0" applyFont="1" applyBorder="0" applyAlignment="1">
      <x:alignment horizontal="left" vertical="top" wrapText="0"/>
    </x:xf>
    <x:xf numFmtId="164" fontId="19" fillId="3" borderId="6" xfId="0" applyFont="1" applyBorder="1" applyAlignment="1">
      <x:alignment horizontal="center" vertical="center" wrapText="0"/>
    </x:xf>
    <x:xf numFmtId="164" fontId="19" fillId="3" borderId="8" xfId="0" applyFont="1" applyBorder="1" applyAlignment="1">
      <x:alignment horizontal="center" vertical="center" wrapText="0"/>
    </x:xf>
    <x:xf numFmtId="164" fontId="5" fillId="3" borderId="6" xfId="0" applyFont="1" applyBorder="1" applyAlignment="1">
      <x:alignment horizontal="center" vertical="center" wrapText="0"/>
    </x:xf>
    <x:xf numFmtId="164" fontId="5" fillId="0" borderId="7" xfId="0" applyFont="1" applyBorder="1" applyAlignment="1">
      <x:alignment horizontal="general" vertical="center" wrapText="0"/>
    </x:xf>
    <x:xf numFmtId="164" fontId="5" fillId="0" borderId="9" xfId="0" applyFont="1" applyBorder="1" applyAlignment="1">
      <x:alignment horizontal="right" vertical="center" wrapText="0"/>
    </x:xf>
    <x:xf numFmtId="164" fontId="5" fillId="0" borderId="9" xfId="0" applyFont="1" applyBorder="1" applyAlignment="1">
      <x:alignment horizontal="general" vertical="center" wrapText="0"/>
    </x:xf>
    <x:xf numFmtId="164" fontId="11" fillId="0" borderId="9" xfId="0" applyFont="1" applyBorder="1" applyAlignment="1">
      <x:alignment horizontal="general" vertical="bottom" wrapText="0"/>
    </x:xf>
    <x:xf numFmtId="164" fontId="5" fillId="2" borderId="7" xfId="0" applyFont="1" applyBorder="1" applyAlignment="1">
      <x:alignment horizontal="general" vertical="center" wrapText="0"/>
    </x:xf>
    <x:xf numFmtId="164" fontId="5" fillId="2" borderId="9" xfId="0" applyFont="1" applyBorder="1" applyAlignment="1">
      <x:alignment horizontal="right" vertical="center" wrapText="0"/>
    </x:xf>
    <x:xf numFmtId="164" fontId="5" fillId="2" borderId="9" xfId="0" applyFont="1" applyBorder="1" applyAlignment="1">
      <x:alignment horizontal="general" vertical="center" wrapText="0"/>
    </x:xf>
    <x:xf numFmtId="164" fontId="5" fillId="2" borderId="9" xfId="0" applyFont="1" applyBorder="1" applyAlignment="1">
      <x:alignment horizontal="general" vertical="center" wrapText="1"/>
    </x:xf>
    <x:xf numFmtId="164" fontId="5" fillId="2" borderId="0" xfId="0" applyFont="1" applyBorder="0" applyAlignment="1">
      <x:alignment horizontal="left" vertical="top" wrapText="0"/>
    </x:xf>
    <x:xf numFmtId="164" fontId="18" fillId="0" borderId="0" xfId="0" applyFont="1" applyBorder="0" applyAlignment="1">
      <x:alignment horizontal="center" vertical="bottom" wrapText="0"/>
    </x:xf>
    <x:xf numFmtId="173" fontId="0" fillId="0" borderId="0" xfId="0" applyFont="0" applyBorder="0" applyAlignment="1">
      <x:alignment horizontal="general" vertical="bottom" wrapText="0"/>
    </x:xf>
    <x:xf numFmtId="171" fontId="0" fillId="0" borderId="0" xfId="0" applyFont="0" applyBorder="0" applyAlignment="1">
      <x:alignment horizontal="general" vertical="bottom" wrapText="0"/>
    </x:xf>
    <x:xf numFmtId="164" fontId="18" fillId="0" borderId="0" xfId="0" applyFont="1" applyBorder="0" applyAlignment="1">
      <x:alignment horizontal="general" vertical="bottom" wrapText="0"/>
    </x:xf>
    <x:xf numFmtId="164" fontId="6" fillId="0" borderId="0" xfId="0" applyFont="1" applyBorder="0" applyAlignment="1">
      <x:alignment horizontal="center" vertical="bottom" wrapText="1"/>
    </x:xf>
    <x:xf numFmtId="164" fontId="6" fillId="0" borderId="0" xfId="0" applyFont="1" applyBorder="1" applyAlignment="1">
      <x:alignment horizontal="center" vertical="bottom" wrapText="1"/>
    </x:xf>
    <x:xf numFmtId="164" fontId="0" fillId="0" borderId="0" xfId="0" applyFont="1" applyBorder="1" applyAlignment="1">
      <x:alignment horizontal="center" vertical="bottom" wrapText="1"/>
    </x:xf>
    <x:xf numFmtId="164" fontId="0" fillId="0" borderId="0" xfId="0" applyFont="1" applyBorder="0" applyAlignment="1">
      <x:alignment horizontal="center" vertical="bottom" wrapText="1"/>
    </x:xf>
    <x:xf numFmtId="164" fontId="21" fillId="0" borderId="0" xfId="0" applyFont="1" applyBorder="0" applyAlignment="1">
      <x:alignment horizontal="center" vertical="bottom" wrapText="1"/>
    </x:xf>
    <x:xf numFmtId="164" fontId="0" fillId="0" borderId="0" xfId="0" applyFont="0" applyBorder="0" applyAlignment="1">
      <x:alignment horizontal="general" vertical="bottom" wrapText="1"/>
    </x:xf>
    <x:xf numFmtId="174" fontId="7" fillId="0" borderId="0" xfId="0" applyFont="1" applyBorder="0" applyAlignment="1">
      <x:alignment horizontal="left" vertical="bottom" wrapText="1"/>
    </x:xf>
    <x:xf numFmtId="174" fontId="8" fillId="0" borderId="1" xfId="0" applyFont="1" applyBorder="1" applyAlignment="1">
      <x:alignment horizontal="left" vertical="bottom" wrapText="1"/>
    </x:xf>
    <x:xf numFmtId="164" fontId="9" fillId="4" borderId="1" xfId="0" applyFont="1" applyBorder="1" applyAlignment="1">
      <x:alignment horizontal="left" vertical="bottom" wrapText="1"/>
    </x:xf>
    <x:xf numFmtId="174" fontId="5" fillId="0" borderId="1" xfId="0" applyFont="1" applyBorder="1" applyAlignment="1">
      <x:alignment horizontal="left" vertical="bottom" wrapText="1"/>
    </x:xf>
    <x:xf numFmtId="164" fontId="13" fillId="5" borderId="1" xfId="0" applyFont="1" applyBorder="1" applyAlignment="1">
      <x:alignment horizontal="left" vertical="bottom" wrapText="0"/>
    </x:xf>
    <x:xf numFmtId="167" fontId="13" fillId="0" borderId="1" xfId="0" applyFont="1" applyBorder="1" applyAlignment="1">
      <x:alignment horizontal="general" vertical="bottom" wrapText="0"/>
    </x:xf>
    <x:xf numFmtId="164" fontId="13" fillId="0" borderId="1" xfId="0" applyFont="1" applyBorder="1" applyAlignment="1">
      <x:alignment horizontal="left" vertical="bottom" wrapText="0"/>
    </x:xf>
    <x:xf numFmtId="167" fontId="13" fillId="0" borderId="1" xfId="0" applyFont="1" applyBorder="1" applyAlignment="1">
      <x:alignment horizontal="right" vertical="bottom" wrapText="0"/>
    </x:xf>
    <x:xf numFmtId="164" fontId="13" fillId="0" borderId="1" xfId="0" applyFont="1" applyBorder="1" applyAlignment="1">
      <x:alignment horizontal="right" vertical="bottom" wrapText="0"/>
    </x:xf>
    <x:xf numFmtId="164" fontId="13" fillId="0" borderId="1" xfId="0" applyFont="1" applyBorder="1" applyAlignment="1">
      <x:alignment horizontal="left" vertical="bottom" wrapText="1"/>
    </x:xf>
    <x:xf numFmtId="166" fontId="22" fillId="0" borderId="1" xfId="0" applyFont="1" applyBorder="1" applyAlignment="1">
      <x:alignment horizontal="right" vertical="bottom" wrapText="0"/>
    </x:xf>
    <x:xf numFmtId="164" fontId="22" fillId="0" borderId="1" xfId="0" applyFont="1" applyBorder="1" applyAlignment="1">
      <x:alignment horizontal="left" vertical="bottom" wrapText="0"/>
    </x:xf>
    <x:xf numFmtId="164" fontId="23" fillId="5" borderId="1" xfId="0" applyFont="1" applyBorder="1" applyAlignment="1">
      <x:alignment horizontal="left" vertical="bottom" wrapText="0"/>
    </x:xf>
    <x:xf numFmtId="167" fontId="23" fillId="0" borderId="1" xfId="0" applyFont="1" applyBorder="1" applyAlignment="1">
      <x:alignment horizontal="general" vertical="bottom" wrapText="0"/>
    </x:xf>
    <x:xf numFmtId="167" fontId="22" fillId="0" borderId="1" xfId="0" applyFont="1" applyBorder="1" applyAlignment="1">
      <x:alignment horizontal="right" vertical="bottom" wrapText="0"/>
    </x:xf>
    <x:xf numFmtId="164" fontId="23" fillId="0" borderId="1" xfId="0" applyFont="1" applyBorder="1" applyAlignment="1">
      <x:alignment horizontal="right" vertical="bottom" wrapText="0"/>
    </x:xf>
    <x:xf numFmtId="164" fontId="23" fillId="0" borderId="1" xfId="0" applyFont="1" applyBorder="1" applyAlignment="1">
      <x:alignment horizontal="left" vertical="bottom" wrapText="0"/>
    </x:xf>
    <x:xf numFmtId="164" fontId="23" fillId="0" borderId="1" xfId="0" applyFont="1" applyBorder="1" applyAlignment="1">
      <x:alignment horizontal="left" vertical="bottom" wrapText="1"/>
    </x:xf>
    <x:xf numFmtId="166" fontId="24" fillId="0" borderId="1" xfId="0" applyFont="1" applyBorder="1" applyAlignment="1">
      <x:alignment horizontal="right" vertical="bottom" wrapText="0"/>
    </x:xf>
    <x:xf numFmtId="167" fontId="11" fillId="6" borderId="1" xfId="0" applyFont="1" applyBorder="1" applyAlignment="1">
      <x:alignment horizontal="general" vertical="bottom" wrapText="0"/>
    </x:xf>
    <x:xf numFmtId="167" fontId="11" fillId="6" borderId="1" xfId="0" applyFont="1" applyBorder="1" applyAlignment="1">
      <x:alignment horizontal="right" vertical="bottom" wrapText="0"/>
    </x:xf>
    <x:xf numFmtId="167" fontId="11" fillId="6" borderId="1" xfId="0" applyFont="1" applyBorder="1" applyAlignment="1">
      <x:alignment horizontal="general" vertical="bottom" wrapText="1"/>
    </x:xf>
    <x:xf numFmtId="164" fontId="11" fillId="6" borderId="1" xfId="0" applyFont="1" applyBorder="1" applyAlignment="1">
      <x:alignment horizontal="general" vertical="bottom" wrapText="0"/>
    </x:xf>
    <x:xf numFmtId="168" fontId="11" fillId="6" borderId="1" xfId="0" applyFont="1" applyBorder="1" applyAlignment="1">
      <x:alignment horizontal="right" vertical="bottom" wrapText="0"/>
    </x:xf>
    <x:xf numFmtId="164" fontId="11" fillId="6" borderId="1" xfId="0" applyFont="1" applyBorder="1" applyAlignment="1">
      <x:alignment horizontal="right" vertical="bottom" wrapText="0"/>
    </x:xf>
    <x:xf numFmtId="164" fontId="5" fillId="6" borderId="1" xfId="0" applyFont="1" applyBorder="1" applyAlignment="1">
      <x:alignment horizontal="left" vertical="bottom" wrapText="0"/>
    </x:xf>
    <x:xf numFmtId="166" fontId="5" fillId="6" borderId="1" xfId="0" applyFont="1" applyBorder="1" applyAlignment="1">
      <x:alignment horizontal="left" vertical="bottom" wrapText="0"/>
    </x:xf>
    <x:xf numFmtId="164" fontId="5" fillId="6" borderId="1" xfId="0" applyFont="1" applyBorder="1" applyAlignment="1">
      <x:alignment horizontal="left" vertical="bottom" wrapText="1"/>
    </x:xf>
    <x:xf numFmtId="166" fontId="5" fillId="6" borderId="1" xfId="0" applyFont="1" applyBorder="1" applyAlignment="1">
      <x:alignment horizontal="left" vertical="bottom" wrapText="1"/>
    </x:xf>
    <x:xf numFmtId="166" fontId="25" fillId="6" borderId="1" xfId="0" applyFont="1" applyBorder="1" applyAlignment="1">
      <x:alignment horizontal="left" vertical="bottom" wrapText="1"/>
    </x:xf>
    <x:xf numFmtId="174" fontId="5" fillId="6" borderId="1" xfId="0" applyFont="1" applyBorder="1" applyAlignment="1">
      <x:alignment horizontal="left" vertical="bottom" wrapText="1"/>
    </x:xf>
    <x:xf numFmtId="166" fontId="11" fillId="6" borderId="1" xfId="0" applyFont="1" applyBorder="1" applyAlignment="1">
      <x:alignment horizontal="right" vertical="bottom" wrapText="0"/>
    </x:xf>
    <x:xf numFmtId="167" fontId="24" fillId="6" borderId="1" xfId="0" applyFont="1" applyBorder="1" applyAlignment="1">
      <x:alignment horizontal="general" vertical="bottom" wrapText="1"/>
    </x:xf>
    <x:xf numFmtId="175" fontId="11" fillId="6" borderId="1" xfId="0" applyFont="1" applyBorder="1" applyAlignment="1">
      <x:alignment horizontal="right" vertical="bottom" wrapText="0"/>
    </x:xf>
    <x:xf numFmtId="164" fontId="26" fillId="6" borderId="1" xfId="0" applyFont="1" applyBorder="1" applyAlignment="1">
      <x:alignment horizontal="left" vertical="bottom" wrapText="0"/>
    </x:xf>
    <x:xf numFmtId="166" fontId="26" fillId="6" borderId="1" xfId="0" applyFont="1" applyBorder="1" applyAlignment="1">
      <x:alignment horizontal="left" vertical="bottom" wrapText="0"/>
    </x:xf>
    <x:xf numFmtId="164" fontId="26" fillId="6" borderId="1" xfId="0" applyFont="1" applyBorder="1" applyAlignment="1">
      <x:alignment horizontal="left" vertical="bottom" wrapText="1"/>
    </x:xf>
    <x:xf numFmtId="166" fontId="26" fillId="6" borderId="1" xfId="0" applyFont="1" applyBorder="1" applyAlignment="1">
      <x:alignment horizontal="left" vertical="bottom" wrapText="1"/>
    </x:xf>
    <x:xf numFmtId="167" fontId="27" fillId="6" borderId="1" xfId="0" applyFont="1" applyBorder="1" applyAlignment="1">
      <x:alignment horizontal="general" vertical="bottom" wrapText="1"/>
    </x:xf>
    <x:xf numFmtId="166" fontId="26" fillId="6" borderId="1" xfId="0" applyFont="1" applyBorder="1" applyAlignment="1">
      <x:alignment horizontal="right" vertical="bottom" wrapText="0"/>
    </x:xf>
    <x:xf numFmtId="164" fontId="11" fillId="6" borderId="1" xfId="0" applyFont="1" applyBorder="1" applyAlignment="1">
      <x:alignment horizontal="left" vertical="bottom" wrapText="0"/>
    </x:xf>
    <x:xf numFmtId="164" fontId="5" fillId="6" borderId="1" xfId="0" applyFont="1" applyBorder="1" applyAlignment="1">
      <x:alignment horizontal="general" vertical="bottom" wrapText="1"/>
    </x:xf>
    <x:xf numFmtId="164" fontId="11" fillId="6" borderId="1" xfId="0" applyFont="1" applyBorder="1" applyAlignment="1">
      <x:alignment horizontal="general" vertical="bottom" wrapText="1"/>
    </x:xf>
    <x:xf numFmtId="164" fontId="11" fillId="6" borderId="1" xfId="0" applyFont="1" applyBorder="1" applyAlignment="1">
      <x:alignment horizontal="left" vertical="bottom" wrapText="1"/>
    </x:xf>
    <x:xf numFmtId="164" fontId="4" fillId="6" borderId="1" xfId="0" applyFont="1" applyBorder="1" applyAlignment="1">
      <x:alignment horizontal="left" vertical="bottom" wrapText="0"/>
    </x:xf>
    <x:xf numFmtId="166" fontId="28" fillId="0" borderId="1" xfId="0" applyFont="1" applyBorder="1" applyAlignment="1">
      <x:alignment horizontal="right" vertical="bottom" wrapText="1"/>
    </x:xf>
    <x:xf numFmtId="164" fontId="11" fillId="7" borderId="1" xfId="0" applyFont="1" applyBorder="1" applyAlignment="1">
      <x:alignment horizontal="general" vertical="bottom" wrapText="0"/>
    </x:xf>
    <x:xf numFmtId="164" fontId="23" fillId="0" borderId="1" xfId="0" applyFont="1" applyBorder="1" applyAlignment="1">
      <x:alignment horizontal="general" vertical="bottom" wrapText="1"/>
    </x:xf>
    <x:xf numFmtId="164" fontId="23" fillId="0" borderId="0" xfId="0" applyFont="1" applyBorder="0" applyAlignment="1">
      <x:alignment horizontal="general" vertical="bottom" wrapText="0"/>
    </x:xf>
    <x:xf numFmtId="164" fontId="23" fillId="0" borderId="1" xfId="0" applyFont="1" applyBorder="1" applyAlignment="1">
      <x:alignment horizontal="general" vertical="bottom" wrapText="0"/>
    </x:xf>
    <x:xf numFmtId="166" fontId="29" fillId="0" borderId="1" xfId="0" applyFont="1" applyBorder="1" applyAlignment="1">
      <x:alignment horizontal="right" vertical="bottom" wrapText="0"/>
    </x:xf>
    <x:xf numFmtId="166" fontId="11" fillId="0" borderId="1" xfId="0" applyFont="1" applyBorder="1" applyAlignment="1">
      <x:alignment horizontal="left" vertical="bottom" wrapText="0"/>
    </x:xf>
    <x:xf numFmtId="166" fontId="13" fillId="0" borderId="1" xfId="0" applyFont="1" applyBorder="1" applyAlignment="1">
      <x:alignment horizontal="right" vertical="bottom" wrapText="1"/>
    </x:xf>
    <x:xf numFmtId="176" fontId="13" fillId="0" borderId="1" xfId="0" applyFont="1" applyBorder="1" applyAlignment="1">
      <x:alignment horizontal="right" vertical="bottom" wrapText="1"/>
    </x:xf>
    <x:xf numFmtId="166" fontId="30" fillId="0" borderId="1" xfId="0" applyFont="1" applyBorder="1" applyAlignment="1">
      <x:alignment horizontal="right" vertical="bottom" wrapText="0"/>
    </x:xf>
    <x:xf numFmtId="164" fontId="30" fillId="0" borderId="1" xfId="0" applyFont="1" applyBorder="1" applyAlignment="1">
      <x:alignment horizontal="general" vertical="bottom" wrapText="1"/>
    </x:xf>
    <x:xf numFmtId="166" fontId="11" fillId="0" borderId="5" xfId="0" applyFont="1" applyBorder="1" applyAlignment="1">
      <x:alignment horizontal="right" vertical="bottom" wrapText="0"/>
    </x:xf>
    <x:xf numFmtId="164" fontId="11" fillId="0" borderId="5" xfId="0" applyFont="1" applyBorder="1" applyAlignment="1">
      <x:alignment horizontal="right" vertical="bottom" wrapText="0"/>
    </x:xf>
    <x:xf numFmtId="164" fontId="31" fillId="0" borderId="1" xfId="0" applyFont="1" applyBorder="1" applyAlignment="1">
      <x:alignment horizontal="general" vertical="bottom" wrapText="1"/>
    </x:xf>
    <x:xf numFmtId="164" fontId="31" fillId="0" borderId="1" xfId="0" applyFont="1" applyBorder="1" applyAlignment="1">
      <x:alignment horizontal="center" vertical="bottom" wrapText="1"/>
    </x:xf>
    <x:xf numFmtId="174" fontId="7" fillId="0" borderId="1" xfId="0" applyFont="1" applyBorder="1" applyAlignment="1">
      <x:alignment horizontal="left" vertical="bottom" wrapText="1"/>
    </x:xf>
    <x:xf numFmtId="164" fontId="7" fillId="0" borderId="1" xfId="0" applyFont="1" applyBorder="1" applyAlignment="1">
      <x:alignment horizontal="left" vertical="bottom" wrapText="1"/>
    </x:xf>
    <x:xf numFmtId="166" fontId="7" fillId="0" borderId="1" xfId="0" applyFont="1" applyBorder="1" applyAlignment="1">
      <x:alignment horizontal="right" vertical="bottom" wrapText="0"/>
    </x:xf>
    <x:xf numFmtId="164" fontId="7" fillId="0" borderId="1" xfId="0" applyFont="1" applyBorder="1" applyAlignment="1">
      <x:alignment horizontal="right" vertical="bottom" wrapText="0"/>
    </x:xf>
    <x:xf numFmtId="164" fontId="7" fillId="0" borderId="1" xfId="0" applyFont="1" applyBorder="1" applyAlignment="1">
      <x:alignment horizontal="general" vertical="bottom" wrapText="0"/>
    </x:xf>
    <x:xf numFmtId="166" fontId="27" fillId="0" borderId="1" xfId="0" applyFont="1" applyBorder="1" applyAlignment="1">
      <x:alignment horizontal="right" vertical="bottom" wrapText="0"/>
    </x:xf>
    <x:xf numFmtId="177" fontId="11" fillId="6" borderId="1" xfId="0" applyFont="1" applyBorder="1" applyAlignment="1">
      <x:alignment horizontal="right" vertical="bottom" wrapText="0"/>
    </x:xf>
    <x:xf numFmtId="166" fontId="13" fillId="0" borderId="1" xfId="0" applyFont="1" applyBorder="1" applyAlignment="1">
      <x:alignment horizontal="right" vertical="bottom" wrapText="0"/>
    </x:xf>
    <x:xf numFmtId="166" fontId="8" fillId="6" borderId="1" xfId="0" applyFont="1" applyBorder="1" applyAlignment="1">
      <x:alignment horizontal="left" vertical="bottom" wrapText="0"/>
    </x:xf>
    <x:xf numFmtId="178" fontId="11" fillId="6" borderId="1" xfId="0" applyFont="1" applyBorder="1" applyAlignment="1">
      <x:alignment horizontal="general" vertical="bottom" wrapText="0"/>
    </x:xf>
    <x:xf numFmtId="164" fontId="11" fillId="0" borderId="0" xfId="0" applyFont="1" applyBorder="0" applyAlignment="1">
      <x:alignment horizontal="general" vertical="bottom" wrapText="0"/>
    </x:xf>
    <x:xf numFmtId="168" fontId="11" fillId="0" borderId="1" xfId="0" applyFont="1" applyBorder="1" applyAlignment="1">
      <x:alignment horizontal="right" vertical="bottom" wrapText="0"/>
    </x:xf>
  </x:cellXfs>
  <x:cellStyles count="11">
    <x:cellStyle name="Normal" xfId="0"/>
    <x:cellStyle name="Comma" xfId="15"/>
    <x:cellStyle name="Comma [0]" xfId="16"/>
    <x:cellStyle name="Currency" xfId="17"/>
    <x:cellStyle name="Currency [0]" xfId="18"/>
    <x:cellStyle name="Percent" xfId="19"/>
    <x:cellStyle name="Comma 2" xfId="20"/>
    <x:cellStyle name="Hyperlink 1" xfId="21"/>
    <x:cellStyle name="Hyperlink 2" xfId="22"/>
    <x:cellStyle name="Normal 2" xfId="23"/>
    <x:cellStyle name="Normal 2 5" xfId="24"/>
  </x:cellStyles>
  <x:dxfs count="6">
    <x:dxf>
      <x:font>
        <x:b/>
      </x:font>
    </x:dxf>
    <x:dxf>
      <x:fill>
        <x:patternFill>
          <x:bgColor theme="9" tint="0.3999"/>
        </x:patternFill>
      </x:fill>
    </x:dxf>
    <x:dxf>
      <x:fill>
        <x:patternFill>
          <x:bgColor rgb="FFFFFFBA"/>
        </x:patternFill>
      </x:fill>
    </x:dxf>
    <x:dxf>
      <x:fill>
        <x:patternFill>
          <x:bgColor theme="6" tint="0.7999"/>
        </x:patternFill>
      </x:fill>
    </x:dxf>
    <x:dxf>
      <x:fill>
        <x:patternFill>
          <x:bgColor rgb="FFFF0000"/>
        </x:patternFill>
      </x:fill>
    </x:dxf>
    <x:dxf>
      <x:font>
        <x:b/>
        <x:i/>
      </x:font>
      <x:fill>
        <x:patternFill>
          <x:bgColor rgb="FFE0E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008080"/>
      <x:rgbColor rgb="FFCCC1DA"/>
      <x:rgbColor rgb="FF808080"/>
      <x:rgbColor rgb="FF9999FF"/>
      <x:rgbColor rgb="FF7030A0"/>
      <x:rgbColor rgb="FFFFFFBA"/>
      <x:rgbColor rgb="FFF2F2F2"/>
      <x:rgbColor rgb="FF660066"/>
      <x:rgbColor rgb="FFFF8080"/>
      <x:rgbColor rgb="FF0066CC"/>
      <x:rgbColor rgb="FFE0E0E0"/>
      <x:rgbColor rgb="FF000080"/>
      <x:rgbColor rgb="FFFF00FF"/>
      <x:rgbColor rgb="FFFFFF00"/>
      <x:rgbColor rgb="FF00FFFF"/>
      <x:rgbColor rgb="FF800080"/>
      <x:rgbColor rgb="FF800000"/>
      <x:rgbColor rgb="FF008080"/>
      <x:rgbColor rgb="FF0000FF"/>
      <x:rgbColor rgb="FF00B0F0"/>
      <x:rgbColor rgb="FFCCFFFF"/>
      <x:rgbColor rgb="FFEBF1DE"/>
      <x:rgbColor rgb="FFFFFF99"/>
      <x:rgbColor rgb="FF99CCFF"/>
      <x:rgbColor rgb="FFFF99CC"/>
      <x:rgbColor rgb="FFCC99FF"/>
      <x:rgbColor rgb="FFFAC090"/>
      <x:rgbColor rgb="FF3366FF"/>
      <x:rgbColor rgb="FF33CCCC"/>
      <x:rgbColor rgb="FF92D050"/>
      <x:rgbColor rgb="FFFFC000"/>
      <x:rgbColor rgb="FFF79646"/>
      <x:rgbColor rgb="FFFF6600"/>
      <x:rgbColor rgb="FF666699"/>
      <x:rgbColor rgb="FF969696"/>
      <x:rgbColor rgb="FF003366"/>
      <x:rgbColor rgb="FF339966"/>
      <x:rgbColor rgb="FF003300"/>
      <x:rgbColor rgb="FF212529"/>
      <x:rgbColor rgb="FF993300"/>
      <x:rgbColor rgb="FF993366"/>
      <x:rgbColor rgb="FF333399"/>
      <x:rgbColor rgb="FF383A42"/>
    </x:indexedColors>
  </x:colors>
</x:styleSheet>
</file>

<file path=xl/_rels/workbook.xml.rels>&#65279;<?xml version="1.0" encoding="utf-8"?><Relationships xmlns="http://schemas.openxmlformats.org/package/2006/relationships"><Relationship Type="http://schemas.openxmlformats.org/officeDocument/2006/relationships/styles" Target="/xl/styles.xml" Id="R6016d8b6cbb6494a" /><Relationship Type="http://schemas.openxmlformats.org/officeDocument/2006/relationships/theme" Target="/xl/theme/theme1.xml" Id="R9643bc9552474dad" /><Relationship Type="http://schemas.openxmlformats.org/officeDocument/2006/relationships/sharedStrings" Target="/xl/sharedStrings.xml" Id="R56f9572798b84a4b" /><Relationship Type="http://schemas.openxmlformats.org/officeDocument/2006/relationships/worksheet" Target="/xl/worksheets/sheet1.xml" Id="R28542a0b963b4497" /><Relationship Type="http://schemas.openxmlformats.org/officeDocument/2006/relationships/worksheet" Target="/xl/worksheets/sheet2.xml" Id="R705dea454ee14cbd" /><Relationship Type="http://schemas.openxmlformats.org/officeDocument/2006/relationships/worksheet" Target="/xl/worksheets/sheet3.xml" Id="R65b36353ed684584" /><Relationship Type="http://schemas.openxmlformats.org/officeDocument/2006/relationships/worksheet" Target="/xl/worksheets/sheet4.xml" Id="Rae9b78a8be8247e8" /><Relationship Type="http://schemas.openxmlformats.org/officeDocument/2006/relationships/worksheet" Target="/xl/worksheets/sheet5.xml" Id="Rba9de4c268404871" /><Relationship Type="http://schemas.openxmlformats.org/officeDocument/2006/relationships/worksheet" Target="/xl/worksheets/sheet6.xml" Id="R782b3974a9d44c58" /><Relationship Type="http://schemas.openxmlformats.org/officeDocument/2006/relationships/worksheet" Target="/xl/worksheets/sheet7.xml" Id="Ra09d52d167b44dd4" /><Relationship Type="http://schemas.microsoft.com/office/2017/10/relationships/person" Target="/xl/persons/person.xml" Id="R33d696879b3049fc" /></Relationships>
</file>

<file path=xl/persons/person.xml><?xml version="1.0" encoding="utf-8"?>
<xltc:personList xmlns:xltc="http://schemas.microsoft.com/office/spreadsheetml/2018/threadedcomments">
  <xltc:person displayName="tc={14B9AD5A-4980-0741-8976-E2B49F6BC03E}" id="{F958915C-F001-E1CD-5C3F-9120E8E0C351}"/>
  <xltc:person displayName="tc={0D27F3AA-38CC-DB4F-AC46-7D5540427668}" id="{811F632D-A90B-6B83-358A-C3DD522EB774}"/>
  <xltc:person displayName="tc={1451C5AC-86F9-9D4C-ADB7-F5287324A13C}" id="{ABF2BCC0-5807-1262-BE61-4401CE8BD3D0}"/>
  <xltc:person displayName="tc={16341CCD-5222-FC40-8EBB-593EC0FFF72E}" id="{B34D64F8-6FC8-5AB6-A839-AFA685B31CCF}"/>
  <xltc:person displayName="tc={1C878FC3-0C22-684D-A4EA-C16FEF511196}" id="{97E1FD1C-06F2-7EC3-66B1-6C31FFBDA6FA}"/>
  <xltc:person displayName="tc={1F5B41FD-B8FA-3344-AB56-3A82A0AC634A}" id="{EE719DBD-0C45-811A-886E-F1680CC37470}"/>
  <xltc:person displayName="tc={33147556-F71F-7A43-971C-9B8F006567B7}" id="{12DE8673-7DDD-8B19-EEC3-CB998C69B835}"/>
  <xltc:person displayName="tc={437E448C-B153-DF4D-8B36-7B4214F8C9F3}" id="{39232144-8217-6643-1836-EC543E53F74F}"/>
  <xltc:person displayName="tc={48DF5501-B371-7E41-90FF-D81D54A249F2}" id="{3B93BE2C-CD8D-5D6B-944B-8D30221A561D}"/>
  <xltc:person displayName="tc={49B63920-8E43-C046-B216-2C01BA9CE7A0}" id="{4C249BFF-89CA-CAEF-3FCC-BB068050D37E}"/>
  <xltc:person displayName="tc={70E9F01D-2BEC-9B46-A224-A418B36BD6CE}" id="{CF6875A8-3027-5F01-88C4-6CBDAB2167D7}"/>
  <xltc:person displayName="tc={806AF0A4-3C68-E146-B5C0-D43CE320EB2F}" id="{DAA51381-7620-AB90-ACC8-0BAF5EA3EDF1}"/>
  <xltc:person displayName="tc={841BB18A-10BB-C449-896A-170D65AA9EC4}" id="{ABB82089-510F-0911-7019-6767D06B6E8D}"/>
  <xltc:person displayName="tc={85BD6978-DC7A-F447-9579-DA811C96A522}" id="{2E4B2C74-3068-3ECE-418E-BAF1703DB735}"/>
  <xltc:person displayName="tc={9EDD4E9A-2FB7-4A42-9935-F81FB339B754}" id="{8D906752-4BA5-2B32-C5DA-B6334765FC8F}"/>
  <xltc:person displayName="tc={9FBD0A37-C76D-6349-A76E-48D6929A0DF4}" id="{1C320F9A-713F-D95F-366A-A6055D60AFF1}"/>
  <xltc:person displayName="tc={ABD35BF5-1223-2A41-9141-B2F65B4B5936}" id="{329DDD36-81C9-2D76-2324-D7EC5CE101BD}"/>
  <xltc:person displayName="tc={CD071524-0D2D-5740-9CA2-6D5016623B2D}" id="{FAF7475B-1257-FF06-4136-CD20566DA636}"/>
  <xltc:person displayName="tc={D3E4FAF8-F186-F242-81DE-8ABCC981E10E}" id="{DE1DA09B-A42E-7B08-5EBA-B2FE30BC8370}"/>
  <xltc:person displayName="tc={D75E3E48-A60A-AD43-88F8-01198D38080D}" id="{D13885D0-AC1E-9BCA-4F67-418DDE6ECB09}"/>
  <xltc:person displayName="tc={DE759A45-C01A-A84F-A3F1-21F5CBF9CA1F}" id="{D27B0947-170F-AF21-5D10-FC2DCDA0183C}"/>
  <xltc:person displayName="tc={E0FA3B8C-0C66-5649-B827-96667637FB12}" id="{7F01831D-538C-ADF3-B591-BF48DF217942}"/>
  <xltc:person displayName="tc={E952D9A1-B772-A443-8512-7233EC4484C6}" id="{EC494961-D13F-1AD2-3FCF-FFEB0C6A52E4}"/>
  <xltc:person displayName="tc={EC46ECDF-4166-1042-8714-CC863AB4C9DC}" id="{3D105DB6-6202-61B5-EB8E-F5D1F88AAE1F}"/>
  <xltc:person displayName="tc={F07104D1-80C1-1B4A-9262-11D29360C7DF}" id="{390CF0FC-3E37-26EE-CBD2-F2A0F76C4834}"/>
  <xltc:person displayName="tc={F15FDEF3-AC54-6846-AEB6-C531CF049D15}" id="{0AD3445E-D784-0157-BBCD-0B27F8A97CCD}"/>
  <xltc:person displayName="tc={00CAA713-9512-5445-90A4-5D27383117B3}" id="{D01B34F7-C29A-19A7-BC53-DEF32E8B1EA3}"/>
  <xltc:person displayName="tc={01D910D6-D0EF-B64E-AB1A-798C5EAAE77D}" id="{CFCF2364-469D-C4B5-37B4-FED9E28C2065}"/>
  <xltc:person displayName="tc={150700D9-DE03-5A4A-9F48-0320DBEB5C8B}" id="{9AD9BD38-B4DA-AA70-4C0C-0D8472A56AC3}"/>
  <xltc:person displayName="tc={1622A235-B716-BC47-94B3-551C20F87DE9}" id="{9869C043-9BE6-2E34-F7B6-2570FB56358D}"/>
  <xltc:person displayName="tc={1B5C92AE-DE6B-3F4C-AFA9-C968755E97AB}" id="{85FB971D-3CC4-B0F6-99EE-A20CC5E6642F}"/>
  <xltc:person displayName="tc={22EA1450-731C-6944-B891-9A8D84A5802D}" id="{D4730454-2E01-F3BA-BA82-D22DE31512ED}"/>
  <xltc:person displayName="tc={46F76420-F647-5548-BAD6-9921DBCA32F7}" id="{3369A9BB-1A78-4ECD-0FF7-AAE56017178A}"/>
  <xltc:person displayName="tc={4739994C-9A88-DC4E-AFA3-C0D7631DBB1C}" id="{E4B26982-5145-CD0C-48B9-6B6869C90818}"/>
  <xltc:person displayName="tc={4FD8D647-2C74-FD4E-B5AC-2661DA9F6A09}" id="{B0562F74-DAC6-EBC3-0C8F-DBBF7CC9B84D}"/>
  <xltc:person displayName="tc={53C43D05-92B8-9F48-939B-F3FBE16A5817}" id="{06AE5F13-AACD-40B0-5EC7-11FA8E53C29F}"/>
  <xltc:person displayName="tc={5FCBCCF5-4602-2F44-8FF0-272E5BD75B13}" id="{264F02AB-007B-61C9-D98F-464A2D404B68}"/>
  <xltc:person displayName="tc={896F2DD5-33DE-5C40-B1CB-3BBF5687AD91}" id="{6C56809A-2BA4-C927-801E-E71AE7653DB7}"/>
  <xltc:person displayName="tc={9DADA3C6-CD31-E24A-882A-11BA227AC95D}" id="{DBB3F19B-A8C5-B57E-6299-85388AD803F7}"/>
  <xltc:person displayName="tc={9F67DBF5-6CC3-0E42-A35A-602F07FF75D2}" id="{6F0BA6D9-7A4C-FA78-5824-A2139D2AE2DC}"/>
  <xltc:person displayName="tc={A23BB27C-8A83-1145-A8C6-4542F1B37F4B}" id="{D69EB8EF-49D6-E8E7-A862-2DAD5609C749}"/>
  <xltc:person displayName="tc={A7F6B025-DF75-1B4D-BB6E-78D7BDF89D61}" id="{0F295B4A-8215-2F40-0DD5-81B06178F52C}"/>
  <xltc:person displayName="tc={AB5F9B1D-5CEA-0748-9C9C-08F49EF9D82D}" id="{C72DDF12-5AD5-5F57-1672-839B94DAA5D9}"/>
  <xltc:person displayName="tc={B277A2D1-32F8-E64E-BAF9-E26A832BF4BA}" id="{89AAC3F5-6D18-A7BC-14FB-745FBE6311F2}"/>
  <xltc:person displayName="tc={B319B878-16C2-E748-BF12-825CD47D15A7}" id="{D0CE9112-2260-AF56-6A7C-EDF4261B6DAD}"/>
  <xltc:person displayName="tc={BE5735B6-19F9-2D4D-85A4-72EC1F2550FD}" id="{B100C440-2889-2963-9E49-D54E037D5699}"/>
  <xltc:person displayName="tc={C62007AF-D4CE-3C4A-9750-66C61B4C214D}" id="{350E2548-9F94-B782-1B24-D120E8093884}"/>
  <xltc:person displayName="tc={CEE90A41-0E60-8B43-96B8-62267258F84F}" id="{3E8CFEEF-D6D5-7B5A-E62D-CDBA9CE9ABF2}"/>
  <xltc:person displayName="tc={D28B59D1-CF3C-C84E-9126-C142D72CABF1}" id="{2F92DA48-E775-AEF4-5CFF-7DA35CF8B691}"/>
  <xltc:person displayName="tc={D2D3A3B9-FDE8-6246-971B-A939B6A538BC}" id="{6596F29D-1AD1-9FE0-3D78-8DFB94945683}"/>
  <xltc:person displayName="tc={D6C35B5A-ACF3-C041-BC35-B58887848BE5}" id="{959F05F4-61D8-DD2D-0C23-C3F5352CBC55}"/>
  <xltc:person displayName="tc={D6E9C969-8971-D34E-8111-1B0774F0B5EE}" id="{1934D002-73AB-CE96-C27A-E28E7ABB36B8}"/>
  <xltc:person displayName="tc={E2026613-98C6-E24B-B1FF-E32D689F264B}" id="{E5C8DA5B-B760-9C7A-B0CD-E936621B9497}"/>
  <xltc:person displayName="tc={E2226D40-FDD4-9D4D-ACC0-32E3A2C81741}" id="{DDD35396-015A-0908-6A46-33575F6FA14A}"/>
  <xltc:person displayName="tc={E616E209-0C4E-BF43-B848-297779CFC43B}" id="{4DD8347B-5803-92CF-A8DC-A084EB208966}"/>
  <xltc:person displayName="tc={EB0DDE92-CDBB-7B41-807A-4B8D0391610E}" id="{76315217-3FE3-5069-15E8-EEF073C1BA68}"/>
  <xltc:person displayName="tc={FD2A8D91-2C6F-CF41-BA10-C8F0BF664466}" id="{1AE2CCE0-3616-0712-ADAE-AF052C6F5339}"/>
  <xltc:person displayName="tc={FEA175E2-EA97-2545-882D-C0FA555D98B9}" id="{A2F82FF6-E821-4B0E-7336-57B800187E48}"/>
</xltc: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hyperlink" Target="https://inldigitallibrary.inl.gov/sites/sti/sti/Sort_107010.pdf" TargetMode="External" Id="R6422c651c89b4be0" /><Relationship Type="http://schemas.openxmlformats.org/officeDocument/2006/relationships/hyperlink" Target="https://art.inl.gov/NGNP/INL Documents/Year 2012/Assessment of High Temperature Gas-Cooled Reactor - HTGR - Capital and Operating Costs.pdf" TargetMode="External" Id="R4bd0ddf9137e49c8" /><Relationship Type="http://schemas.openxmlformats.org/officeDocument/2006/relationships/hyperlink" Target="https://doi.org/10.1016/j.rser.2021.111880" TargetMode="External" Id="R99151cdbcf5a4ec0" /><Relationship Type="http://schemas.openxmlformats.org/officeDocument/2006/relationships/hyperlink" Target="https://doi.org/10.1016/j.rser.2021.111880" TargetMode="External" Id="Rd35725a6fc194955" /><Relationship Type="http://schemas.openxmlformats.org/officeDocument/2006/relationships/hyperlink" Target="https://doi.org/10.1016/j.rser.2021.111880" TargetMode="External" Id="Rfc580d06b8a445d5" /><Relationship Type="http://schemas.openxmlformats.org/officeDocument/2006/relationships/hyperlink" Target="https://inldigitallibrary.inl.gov/sites/sti/sti/Sort_129862.pdf" TargetMode="External" Id="R0b59e8fa3512483d" /><Relationship Type="http://schemas.openxmlformats.org/officeDocument/2006/relationships/hyperlink" Target="https://www.sciencedirect.com/science/article/pii/S1290072903000218" TargetMode="External" Id="Rb5cf359afa0b4dfa" /><Relationship Type="http://schemas.openxmlformats.org/officeDocument/2006/relationships/hyperlink" Target="https://doi.org/10.3929/ethz-b-000709311" TargetMode="External" Id="R020b9dd5e34e4c5d" /><Relationship Type="http://schemas.openxmlformats.org/officeDocument/2006/relationships/hyperlink" Target="https://www.osti.gov/servlets/purl/5084245" TargetMode="External" Id="R0d4c4dab7e1f44eb" /><Relationship Type="http://schemas.openxmlformats.org/officeDocument/2006/relationships/hyperlink" Target="https://doi.org/10.1016/j.nucengdes.2023.112470" TargetMode="External" Id="R42cbcd45ec3748c6" /><Relationship Type="http://schemas.openxmlformats.org/officeDocument/2006/relationships/hyperlink" Target="https://www.osti.gov/biblio/2447366" TargetMode="External" Id="R391420c37f1e475d" /><Relationship Type="http://schemas.openxmlformats.org/officeDocument/2006/relationships/hyperlink" Target="https://doi.org/10.1016/j.nucengdes.2023.112470" TargetMode="External" Id="R236878ad560a48ec" /><Relationship Type="http://schemas.openxmlformats.org/officeDocument/2006/relationships/hyperlink" Target="https://doi.org/10.3929/ethz-b-000709311" TargetMode="External" Id="R656f6ef0f11b4ff3" /></Relationships>
</file>

<file path=xl/worksheets/_rels/sheet4.xml.rels>&#65279;<?xml version="1.0" encoding="utf-8"?><Relationships xmlns="http://schemas.openxmlformats.org/package/2006/relationships"><Relationship Type="http://schemas.openxmlformats.org/officeDocument/2006/relationships/comments" Target="/xl/comments1.xml" Id="R662a2841397b4956" /><Relationship Type="http://schemas.openxmlformats.org/officeDocument/2006/relationships/vmlDrawing" Target="/xl/drawings/vmldrawing.vml" Id="Rccbb6372b3124017" /></Relationships>
</file>

<file path=xl/worksheets/_rels/sheet6.xml.rels>&#65279;<?xml version="1.0" encoding="utf-8"?><Relationships xmlns="http://schemas.openxmlformats.org/package/2006/relationships"><Relationship Type="http://schemas.openxmlformats.org/officeDocument/2006/relationships/hyperlink" Target="https://inldigitallibrary.inl.gov/sites/sti/sti/Sort_107010.pdf" TargetMode="External" Id="R07b2c33cf2d545d3" /><Relationship Type="http://schemas.openxmlformats.org/officeDocument/2006/relationships/hyperlink" Target="https://doi.org/10.1016/j.nucengdes.2023.112470" TargetMode="External" Id="R5c64fc4185584bbb" /><Relationship Type="http://schemas.openxmlformats.org/officeDocument/2006/relationships/hyperlink" Target="https://doi.org/10.3929/ethz-b-000709311" TargetMode="External" Id="R649e0878b73443e6" /><Relationship Type="http://schemas.openxmlformats.org/officeDocument/2006/relationships/comments" Target="/xl/comments2.xml" Id="R10dc57dcb3674398" /><Relationship Type="http://schemas.openxmlformats.org/officeDocument/2006/relationships/vmlDrawing" Target="/xl/drawings/vmldrawing2.vml" Id="R5f06304c474d47ab" /></Relationships>
</file>

<file path=xl/worksheets/_rels/sheet7.xml.rels>&#65279;<?xml version="1.0" encoding="utf-8"?><Relationships xmlns="http://schemas.openxmlformats.org/package/2006/relationships"><Relationship Type="http://schemas.openxmlformats.org/officeDocument/2006/relationships/hyperlink" Target="https://inldigitallibrary.inl.gov/sites/sti/sti/Sort_107010.pdf" TargetMode="External" Id="R22f7641388434e56" /><Relationship Type="http://schemas.openxmlformats.org/officeDocument/2006/relationships/hyperlink" Target="https://www.epri.com/research/products/1018722" TargetMode="External" Id="R6448aca57cb2412b" /><Relationship Type="http://schemas.openxmlformats.org/officeDocument/2006/relationships/hyperlink" Target="https://doi.org/10.3929/ethz-b-000709311" TargetMode="External" Id="R2589b5facbf24658" /><Relationship Type="http://schemas.openxmlformats.org/officeDocument/2006/relationships/hyperlink" Target="https://publications.anl.gov/anlpubs/2019/06/152862.pdf" TargetMode="External" Id="R15501e57be8a42df" /><Relationship Type="http://schemas.openxmlformats.org/officeDocument/2006/relationships/comments" Target="/xl/comments3.xml" Id="R83a2a3dbd2694d31" /><Relationship Type="http://schemas.openxmlformats.org/officeDocument/2006/relationships/vmlDrawing" Target="/xl/drawings/vmldrawing3.vml" Id="R1dae92165e704c87" /></Relationships>
</file>

<file path=xl/worksheets/sheet1.xml><?xml version="1.0" encoding="utf-8"?>
<x:worksheet xmlns:x="http://schemas.openxmlformats.org/spreadsheetml/2006/main">
  <x:sheetViews>
    <x:sheetView showGridLines="1" workbookViewId="0"/>
  </x:sheetViews>
  <x:sheetFormatPr defaultColWidth="10.66015625" defaultRowHeight="13.5"/>
  <x:cols>
    <x:col min="1" max="1" width="8.670000076293945" style="1" hidden="0" customWidth="1"/>
    <x:col min="2" max="2" width="9.520000457763672" style="1" hidden="0" customWidth="1"/>
    <x:col min="3" max="3" width="29.520000457763672" style="1" hidden="0" customWidth="1"/>
    <x:col min="4" max="4" width="41.66999816894531" style="2" hidden="0" customWidth="1"/>
    <x:col min="5" max="5" width="14.329999923706055" style="2" hidden="0" customWidth="1"/>
    <x:col min="6" max="6" width="21.329999923706055" style="2" hidden="0" customWidth="1"/>
    <x:col min="7" max="7" width="18.5" style="2" hidden="0" customWidth="1"/>
    <x:col min="8" max="8" width="9.15999984741211" style="2" hidden="0" customWidth="1"/>
    <x:col min="9" max="9" width="17.670000076293945" style="2" hidden="0" customWidth="1"/>
    <x:col min="10" max="10" width="12.329999923706055" style="3" hidden="0" customWidth="1"/>
    <x:col min="11" max="11" width="15.329999923706055" style="3" hidden="0" customWidth="1"/>
    <x:col min="12" max="12" width="10" style="1" hidden="0" customWidth="1"/>
    <x:col min="13" max="13" width="15.65999984741211" style="1" hidden="0" customWidth="1"/>
    <x:col min="14" max="14" width="8.670000076293945" style="1" hidden="0" customWidth="1"/>
    <x:col min="15" max="15" width="7.329999923706055" style="1" hidden="0" customWidth="1"/>
    <x:col min="16" max="16" width="7.670000076293945" style="1" hidden="0" customWidth="1"/>
    <x:col min="17" max="17" width="19.829999923706055" style="1" hidden="0" customWidth="1"/>
    <x:col min="18" max="18" width="10.65999984741211" style="1" hidden="0" customWidth="0"/>
    <x:col min="19" max="19" width="29" style="1" hidden="0" customWidth="1"/>
    <x:col min="20" max="20" width="37.15999984741211" style="1" hidden="0" customWidth="1"/>
    <x:col min="21" max="21" width="81.16000366210938" style="1" hidden="0" customWidth="1"/>
    <x:col min="22" max="22" width="18.670000076293945" style="1" hidden="0" customWidth="1"/>
    <x:col min="23" max="23" width="28.15999984741211" style="1" hidden="0" customWidth="1"/>
    <x:col min="24" max="25" width="16.670000076293945" style="3" hidden="0" customWidth="1"/>
    <x:col min="26" max="26" width="12.5" style="1" hidden="0" customWidth="1"/>
    <x:col min="27" max="28" width="16.670000076293945" style="3" hidden="0" customWidth="1"/>
    <x:col min="29" max="29" width="12.5" style="1" hidden="0" customWidth="1"/>
    <x:col min="30" max="30" width="6.670000076293945" style="3" hidden="0" customWidth="1"/>
    <x:col min="31" max="31" width="21.5" style="3" hidden="0" customWidth="1"/>
    <x:col min="32" max="32" width="12.329999923706055" style="3" hidden="0" customWidth="1"/>
    <x:col min="33" max="33" width="15.329999923706055" style="1" hidden="0" customWidth="1"/>
    <x:col min="34" max="16384" width="10.65999984741211" style="1" hidden="0" customWidth="0"/>
  </x:cols>
  <x:sheetData>
    <x:row r="1" s="8" customFormat="1" ht="93.75" hidden="0" customHeight="1">
      <x:c r="A1" s="4" t="s">
        <x:v>0</x:v>
      </x:c>
      <x:c r="B1" s="5" t="s">
        <x:v>1</x:v>
      </x:c>
      <x:c r="C1" s="4" t="s">
        <x:v>2</x:v>
      </x:c>
      <x:c r="D1" s="5" t="s">
        <x:v>3</x:v>
      </x:c>
      <x:c r="E1" s="5" t="s">
        <x:v>4</x:v>
      </x:c>
      <x:c r="F1" s="5" t="s">
        <x:v>5</x:v>
      </x:c>
      <x:c r="G1" s="5" t="s">
        <x:v>6</x:v>
      </x:c>
      <x:c r="H1" s="5" t="s">
        <x:v>7</x:v>
      </x:c>
      <x:c r="I1" s="5" t="s">
        <x:v>8</x:v>
      </x:c>
      <x:c r="J1" s="4" t="s">
        <x:v>9</x:v>
      </x:c>
      <x:c r="K1" s="4" t="s">
        <x:v>10</x:v>
      </x:c>
      <x:c r="L1" s="4" t="s">
        <x:v>11</x:v>
      </x:c>
      <x:c r="M1" s="6" t="s">
        <x:v>12</x:v>
      </x:c>
      <x:c r="N1" s="4" t="s">
        <x:v>13</x:v>
      </x:c>
      <x:c r="O1" s="4" t="s">
        <x:v>14</x:v>
      </x:c>
      <x:c r="P1" s="4" t="s">
        <x:v>15</x:v>
      </x:c>
      <x:c r="Q1" s="4" t="s">
        <x:v>16</x:v>
      </x:c>
      <x:c r="R1" s="4" t="s">
        <x:v>17</x:v>
      </x:c>
      <x:c r="S1" s="4" t="s">
        <x:v>18</x:v>
      </x:c>
      <x:c r="T1" s="4" t="s">
        <x:v>19</x:v>
      </x:c>
      <x:c r="U1" s="4" t="s">
        <x:v>20</x:v>
      </x:c>
      <x:c r="V1" s="4" t="s">
        <x:v>21</x:v>
      </x:c>
      <x:c r="W1" s="7" t="s">
        <x:v>22</x:v>
      </x:c>
      <x:c r="X1" s="7" t="s">
        <x:v>23</x:v>
      </x:c>
      <x:c r="Y1" s="7" t="s">
        <x:v>24</x:v>
      </x:c>
      <x:c r="Z1" s="7" t="s">
        <x:v>25</x:v>
      </x:c>
      <x:c r="AA1" s="7" t="s">
        <x:v>26</x:v>
      </x:c>
      <x:c r="AB1" s="7" t="s">
        <x:v>27</x:v>
      </x:c>
      <x:c r="AC1" s="7" t="s">
        <x:v>28</x:v>
      </x:c>
      <x:c r="AD1" s="7" t="s">
        <x:v>29</x:v>
      </x:c>
      <x:c r="AE1" s="7" t="s">
        <x:v>30</x:v>
      </x:c>
      <x:c r="AF1" s="7" t="s">
        <x:v>31</x:v>
      </x:c>
      <x:c r="AG1" s="7" t="s">
        <x:v>32</x:v>
      </x:c>
    </x:row>
    <x:row r="2" s="14" customFormat="1" ht="26.25" hidden="0" customHeight="1">
      <x:c r="A2" s="6" t="n">
        <x:v>10</x:v>
      </x:c>
      <x:c r="B2" s="9" t="n">
        <x:f aca="0">IF(ISNUMBER(A2),
    IF(AND(A2=INT(A2), MOD(A2, 10) = 0), 0,
        IF(AND(A2=INT(A2), LEN(A2)=2), 1,
            IF(AND(A2=INT(A2), LEN(A2)=3), 2,
                LEN(A2) - FIND(".", A2) + 2)
        )
    ),
"")</x:f>
        <x:v>0</x:v>
      </x:c>
      <x:c r="C2" s="10" t="s">
        <x:v>33</x:v>
      </x:c>
      <x:c r="D2" s="10" t="str">
        <x:f aca="0">REPT("   ", B2*2) &amp; C2</x:f>
        <x:v>Capitalized Pre-Construction Costs</x:v>
      </x:c>
      <x:c r="E2" s="10"/>
      <x:c r="F2" s="10"/>
      <x:c r="G2" s="10"/>
      <x:c r="H2" s="10"/>
      <x:c r="I2" s="10"/>
      <x:c r="J2" s="11"/>
      <x:c r="K2" s="11"/>
      <x:c r="L2" s="9"/>
      <x:c r="M2" s="9"/>
      <x:c r="N2" s="9"/>
      <x:c r="O2" s="9"/>
      <x:c r="P2" s="9"/>
      <x:c r="Q2" s="11"/>
      <x:c r="R2" s="9"/>
      <x:c r="S2" s="5"/>
      <x:c r="T2" s="9"/>
      <x:c r="U2" s="9"/>
      <x:c r="V2" s="9"/>
      <x:c r="W2" s="12"/>
      <x:c r="X2" s="13"/>
      <x:c r="Y2" s="13"/>
      <x:c r="Z2" s="12"/>
      <x:c r="AA2" s="13"/>
      <x:c r="AB2" s="13"/>
      <x:c r="AC2" s="12"/>
      <x:c r="AD2" s="13"/>
      <x:c r="AE2" s="13"/>
      <x:c r="AF2" s="13"/>
      <x:c r="AG2" s="12"/>
    </x:row>
    <x:row r="3" ht="45" hidden="0" customHeight="1">
      <x:c r="A3" s="6" t="n">
        <x:v>11</x:v>
      </x:c>
      <x:c r="B3" s="9" t="n">
        <x:f aca="0">IF(ISNUMBER(A3),
    IF(AND(A3=INT(A3), MOD(A3, 10) = 0), 0,
        IF(AND(A3=INT(A3), LEN(A3)=2), 1,
            IF(AND(A3=INT(A3), LEN(A3)=3), 2,
                LEN(A3) - FIND(".", A3) + 2)
        )
    ),
"")</x:f>
        <x:v>1</x:v>
      </x:c>
      <x:c r="C3" s="15" t="s">
        <x:v>34</x:v>
      </x:c>
      <x:c r="D3" s="10" t="str">
        <x:f aca="0">REPT("   ", B3*2) &amp; C3</x:f>
        <x:v>      Land Cost</x:v>
      </x:c>
      <x:c r="E3" s="10" t="s">
        <x:v>35</x:v>
      </x:c>
      <x:c r="F3" s="10"/>
      <x:c r="G3" s="10"/>
      <x:c r="H3" s="10"/>
      <x:c r="I3" s="10"/>
      <x:c r="J3" s="16"/>
      <x:c r="K3" s="17" t="n">
        <x:v>3800</x:v>
      </x:c>
      <x:c r="L3" s="18" t="s">
        <x:v>36</x:v>
      </x:c>
      <x:c r="M3" s="18" t="s">
        <x:v>37</x:v>
      </x:c>
      <x:c r="N3" s="19"/>
      <x:c r="O3" s="18" t="s">
        <x:v>38</x:v>
      </x:c>
      <x:c r="P3" s="18"/>
      <x:c r="Q3" s="20" t="n">
        <x:v>2022</x:v>
      </x:c>
      <x:c r="R3" s="18" t="s">
        <x:v>39</x:v>
      </x:c>
      <x:c r="S3" s="21" t="s">
        <x:v>40</x:v>
      </x:c>
      <x:c r="T3" s="21" t="s">
        <x:v>41</x:v>
      </x:c>
      <x:c r="U3" s="22" t="s">
        <x:v>42</x:v>
      </x:c>
      <x:c r="V3" s="23"/>
      <x:c r="W3" s="12" t="s">
        <x:v>43</x:v>
      </x:c>
      <x:c r="X3" s="24" t="n">
        <x:f aca="0">0.9*$J3</x:f>
        <x:v>0</x:v>
      </x:c>
      <x:c r="Y3" s="24" t="n">
        <x:f aca="0">1.5*J3</x:f>
        <x:v>0</x:v>
      </x:c>
      <x:c r="Z3" s="12" t="s">
        <x:v>44</x:v>
      </x:c>
      <x:c r="AA3" s="13" t="n">
        <x:f aca="0">0.9*K3</x:f>
        <x:v>3420</x:v>
      </x:c>
      <x:c r="AB3" s="13" t="n">
        <x:f aca="0">1.3*K3</x:f>
        <x:v>4940</x:v>
      </x:c>
      <x:c r="AC3" s="12" t="s">
        <x:v>44</x:v>
      </x:c>
      <x:c r="AD3" s="13" t="s">
        <x:v>45</x:v>
      </x:c>
      <x:c r="AE3" s="13" t="s">
        <x:v>46</x:v>
      </x:c>
      <x:c r="AF3" s="13" t="s">
        <x:v>47</x:v>
      </x:c>
      <x:c r="AG3" s="12" t="s">
        <x:v>48</x:v>
      </x:c>
    </x:row>
    <x:row r="4" ht="26.25" hidden="0" customHeight="1">
      <x:c r="A4" s="6" t="n">
        <x:v>12</x:v>
      </x:c>
      <x:c r="B4" s="9" t="n">
        <x:f aca="0">IF(ISNUMBER(A4),
IF(AND(A4=INT(A4), MOD(A4, 10) = 0), 0,
IF(AND(A4=INT(A4), LEN(A4)=2), 1,
IF(AND(A4=INT(A4), LEN(A4)=3), 2,
LEN(A4) - FIND(".", A4) + 2)
)
),
"")</x:f>
        <x:v>1</x:v>
      </x:c>
      <x:c r="C4" s="15" t="s">
        <x:v>49</x:v>
      </x:c>
      <x:c r="D4" s="10" t="str">
        <x:f aca="0">REPT("   ", B4*2) &amp; C4</x:f>
        <x:v>      Site Permits</x:v>
      </x:c>
      <x:c r="E4" s="10" t="s">
        <x:v>35</x:v>
      </x:c>
      <x:c r="F4" s="10"/>
      <x:c r="G4" s="10"/>
      <x:c r="H4" s="10"/>
      <x:c r="I4" s="10"/>
      <x:c r="J4" s="16"/>
      <x:c r="K4" s="17" t="n">
        <x:f aca="0">10.03*1000</x:f>
        <x:v>10030</x:v>
      </x:c>
      <x:c r="L4" s="18" t="s">
        <x:v>50</x:v>
      </x:c>
      <x:c r="M4" s="18" t="s">
        <x:v>51</x:v>
      </x:c>
      <x:c r="N4" s="19"/>
      <x:c r="O4" s="18" t="s">
        <x:v>52</x:v>
      </x:c>
      <x:c r="P4" s="18"/>
      <x:c r="Q4" s="20" t="n">
        <x:v>2022</x:v>
      </x:c>
      <x:c r="R4" s="18" t="s">
        <x:v>53</x:v>
      </x:c>
      <x:c r="S4" s="21" t="s">
        <x:v>54</x:v>
      </x:c>
      <x:c r="T4" s="21"/>
      <x:c r="U4" s="21"/>
      <x:c r="V4" s="23"/>
      <x:c r="W4" s="12" t="s">
        <x:v>43</x:v>
      </x:c>
      <x:c r="X4" s="24" t="n">
        <x:f aca="0">0.9*$J4</x:f>
        <x:v>0</x:v>
      </x:c>
      <x:c r="Y4" s="24" t="n">
        <x:f aca="0">1.5*J4</x:f>
        <x:v>0</x:v>
      </x:c>
      <x:c r="Z4" s="12" t="s">
        <x:v>44</x:v>
      </x:c>
      <x:c r="AA4" s="13" t="n">
        <x:f aca="0">0.9*K4</x:f>
        <x:v>9027</x:v>
      </x:c>
      <x:c r="AB4" s="13" t="n">
        <x:f aca="0">1.3*K4</x:f>
        <x:v>13039</x:v>
      </x:c>
      <x:c r="AC4" s="12" t="s">
        <x:v>44</x:v>
      </x:c>
      <x:c r="AD4" s="13" t="s">
        <x:v>45</x:v>
      </x:c>
      <x:c r="AE4" s="13" t="s">
        <x:v>46</x:v>
      </x:c>
      <x:c r="AF4" s="13" t="s">
        <x:v>47</x:v>
      </x:c>
      <x:c r="AG4" s="12" t="s">
        <x:v>48</x:v>
      </x:c>
    </x:row>
    <x:row r="5" ht="113.25" hidden="0" customHeight="1">
      <x:c r="A5" s="6" t="n">
        <x:v>13</x:v>
      </x:c>
      <x:c r="B5" s="9" t="n">
        <x:f aca="0">IF(ISNUMBER(A5),
IF(AND(A5=INT(A5), MOD(A5, 10) = 0), 0,
IF(AND(A5=INT(A5), LEN(A5)=2), 1,
IF(AND(A5=INT(A5), LEN(A5)=3), 2,
LEN(A5) - FIND(".", A5) + 2)
)
),
"")</x:f>
        <x:v>1</x:v>
      </x:c>
      <x:c r="C5" s="15" t="s">
        <x:v>55</x:v>
      </x:c>
      <x:c r="D5" s="10" t="str">
        <x:f aca="0">REPT("   ", B5*2) &amp; C5</x:f>
        <x:v>      Plant Licensing</x:v>
      </x:c>
      <x:c r="E5" s="10" t="s">
        <x:v>35</x:v>
      </x:c>
      <x:c r="F5" s="10"/>
      <x:c r="G5" s="10"/>
      <x:c r="H5" s="10"/>
      <x:c r="I5" s="10"/>
      <x:c r="J5" s="16" t="n">
        <x:f aca="0">0.5*(X5+Y5)</x:f>
        <x:v>28113008</x:v>
      </x:c>
      <x:c r="K5" s="17"/>
      <x:c r="L5" s="19"/>
      <x:c r="M5" s="19"/>
      <x:c r="N5" s="19"/>
      <x:c r="O5" s="18"/>
      <x:c r="P5" s="18"/>
      <x:c r="Q5" s="20" t="n">
        <x:v>2025</x:v>
      </x:c>
      <x:c r="R5" s="18" t="s">
        <x:v>53</x:v>
      </x:c>
      <x:c r="S5" s="21" t="s">
        <x:v>56</x:v>
      </x:c>
      <x:c r="T5" s="25" t="s">
        <x:v>57</x:v>
      </x:c>
      <x:c r="U5" s="22" t="s">
        <x:v>58</x:v>
      </x:c>
      <x:c r="V5" s="23"/>
      <x:c r="W5" s="12" t="s">
        <x:v>59</x:v>
      </x:c>
      <x:c r="X5" s="24" t="n">
        <x:f aca="0">154*108000</x:f>
        <x:v>16632000</x:v>
      </x:c>
      <x:c r="Y5" s="24" t="n">
        <x:f aca="0">154*257104</x:f>
        <x:v>39594016</x:v>
      </x:c>
      <x:c r="Z5" s="12" t="s">
        <x:v>60</x:v>
      </x:c>
      <x:c r="AA5" s="13" t="n">
        <x:f aca="0">0.9*K5</x:f>
        <x:v>0</x:v>
      </x:c>
      <x:c r="AB5" s="13" t="n">
        <x:f aca="0">1.3*K5</x:f>
        <x:v>0</x:v>
      </x:c>
      <x:c r="AC5" s="12" t="s">
        <x:v>44</x:v>
      </x:c>
      <x:c r="AD5" s="13" t="s">
        <x:v>45</x:v>
      </x:c>
      <x:c r="AE5" s="13" t="s">
        <x:v>46</x:v>
      </x:c>
      <x:c r="AF5" s="13" t="s">
        <x:v>47</x:v>
      </x:c>
      <x:c r="AG5" s="12" t="s">
        <x:v>48</x:v>
      </x:c>
    </x:row>
    <x:row r="6" ht="26.25" hidden="0" customHeight="1">
      <x:c r="A6" s="6" t="n">
        <x:v>14</x:v>
      </x:c>
      <x:c r="B6" s="9" t="n">
        <x:f aca="0">IF(ISNUMBER(A6),
IF(AND(A6=INT(A6), MOD(A6, 10) = 0), 0,
IF(AND(A6=INT(A6), LEN(A6)=2), 1,
IF(AND(A6=INT(A6), LEN(A6)=3), 2,
LEN(A6) - FIND(".", A6) + 2)
)
),
"")</x:f>
        <x:v>1</x:v>
      </x:c>
      <x:c r="C6" s="15" t="s">
        <x:v>61</x:v>
      </x:c>
      <x:c r="D6" s="10" t="str">
        <x:f aca="0">REPT("   ", B6*2) &amp; C6</x:f>
        <x:v>      Plant Permits</x:v>
      </x:c>
      <x:c r="E6" s="10" t="s">
        <x:v>35</x:v>
      </x:c>
      <x:c r="F6" s="10"/>
      <x:c r="G6" s="10"/>
      <x:c r="H6" s="10"/>
      <x:c r="I6" s="10"/>
      <x:c r="J6" s="16" t="n">
        <x:v>3000000</x:v>
      </x:c>
      <x:c r="K6" s="17"/>
      <x:c r="L6" s="19"/>
      <x:c r="M6" s="19"/>
      <x:c r="N6" s="19"/>
      <x:c r="O6" s="18"/>
      <x:c r="P6" s="18"/>
      <x:c r="Q6" s="20" t="n">
        <x:v>2009</x:v>
      </x:c>
      <x:c r="R6" s="18" t="s">
        <x:v>53</x:v>
      </x:c>
      <x:c r="S6" s="21" t="s">
        <x:v>62</x:v>
      </x:c>
      <x:c r="T6" s="26" t="s">
        <x:v>63</x:v>
      </x:c>
      <x:c r="U6" s="22"/>
      <x:c r="V6" s="23"/>
      <x:c r="W6" s="12" t="s">
        <x:v>43</x:v>
      </x:c>
      <x:c r="X6" s="24" t="n">
        <x:f aca="0">0.9*$J6</x:f>
        <x:v>2700000</x:v>
      </x:c>
      <x:c r="Y6" s="24" t="n">
        <x:f aca="0">1.5*J6</x:f>
        <x:v>4500000</x:v>
      </x:c>
      <x:c r="Z6" s="12" t="s">
        <x:v>44</x:v>
      </x:c>
      <x:c r="AA6" s="13" t="n">
        <x:f aca="0">0.9*K6</x:f>
        <x:v>0</x:v>
      </x:c>
      <x:c r="AB6" s="13" t="n">
        <x:f aca="0">1.3*K6</x:f>
        <x:v>0</x:v>
      </x:c>
      <x:c r="AC6" s="12" t="s">
        <x:v>44</x:v>
      </x:c>
      <x:c r="AD6" s="13" t="s">
        <x:v>45</x:v>
      </x:c>
      <x:c r="AE6" s="13" t="s">
        <x:v>46</x:v>
      </x:c>
      <x:c r="AF6" s="13" t="s">
        <x:v>47</x:v>
      </x:c>
      <x:c r="AG6" s="12" t="s">
        <x:v>48</x:v>
      </x:c>
    </x:row>
    <x:row r="7" ht="42.75" hidden="0" customHeight="1">
      <x:c r="A7" s="6" t="n">
        <x:v>15</x:v>
      </x:c>
      <x:c r="B7" s="9" t="n">
        <x:f aca="0">IF(ISNUMBER(A7),
IF(AND(A7=INT(A7), MOD(A7, 10) = 0), 0,
IF(AND(A7=INT(A7), LEN(A7)=2), 1,
IF(AND(A7=INT(A7), LEN(A7)=3), 2,
LEN(A7) - FIND(".", A7) + 2)
)
),
"")</x:f>
        <x:v>1</x:v>
      </x:c>
      <x:c r="C7" s="15" t="s">
        <x:v>64</x:v>
      </x:c>
      <x:c r="D7" s="10" t="str">
        <x:f aca="0">REPT("   ", B7*2) &amp; C7</x:f>
        <x:v>      Plant Studies</x:v>
      </x:c>
      <x:c r="E7" s="10" t="s">
        <x:v>35</x:v>
      </x:c>
      <x:c r="F7" s="10"/>
      <x:c r="G7" s="10"/>
      <x:c r="H7" s="10"/>
      <x:c r="I7" s="10"/>
      <x:c r="J7" s="16" t="n">
        <x:f aca="0">MARVEL_Cost!C4</x:f>
        <x:v>5210451</x:v>
      </x:c>
      <x:c r="K7" s="17"/>
      <x:c r="L7" s="19"/>
      <x:c r="M7" s="19"/>
      <x:c r="N7" s="19"/>
      <x:c r="O7" s="18"/>
      <x:c r="P7" s="18"/>
      <x:c r="Q7" s="20" t="n">
        <x:v>2024</x:v>
      </x:c>
      <x:c r="R7" s="18" t="s">
        <x:v>53</x:v>
      </x:c>
      <x:c r="S7" s="21" t="s">
        <x:v>65</x:v>
      </x:c>
      <x:c r="T7" s="21" t="s">
        <x:v>66</x:v>
      </x:c>
      <x:c r="U7" s="23" t="s">
        <x:v>67</x:v>
      </x:c>
      <x:c r="V7" s="18" t="s">
        <x:v>68</x:v>
      </x:c>
      <x:c r="W7" s="12" t="s">
        <x:v>43</x:v>
      </x:c>
      <x:c r="X7" s="24" t="n">
        <x:f aca="0">0.9*$J7</x:f>
        <x:v>4689405.9</x:v>
      </x:c>
      <x:c r="Y7" s="24" t="n">
        <x:f aca="0">1.5*J7</x:f>
        <x:v>7815676.5</x:v>
      </x:c>
      <x:c r="Z7" s="12" t="s">
        <x:v>44</x:v>
      </x:c>
      <x:c r="AA7" s="13" t="n">
        <x:f aca="0">0.9*K7</x:f>
        <x:v>0</x:v>
      </x:c>
      <x:c r="AB7" s="13" t="n">
        <x:f aca="0">1.3*K7</x:f>
        <x:v>0</x:v>
      </x:c>
      <x:c r="AC7" s="12" t="s">
        <x:v>44</x:v>
      </x:c>
      <x:c r="AD7" s="13" t="s">
        <x:v>45</x:v>
      </x:c>
      <x:c r="AE7" s="13" t="s">
        <x:v>46</x:v>
      </x:c>
      <x:c r="AF7" s="13" t="s">
        <x:v>47</x:v>
      </x:c>
      <x:c r="AG7" s="12" t="s">
        <x:v>48</x:v>
      </x:c>
    </x:row>
    <x:row r="8" ht="26.25" hidden="0" customHeight="1">
      <x:c r="A8" s="4" t="n">
        <x:v>20</x:v>
      </x:c>
      <x:c r="B8" s="9" t="n">
        <x:f aca="0">IF(ISNUMBER(A8),
    IF(AND(A8=INT(A8), MOD(A8, 10) = 0), 0,
        IF(AND(A8=INT(A8), LEN(A8)=2), 1,
            IF(AND(A8=INT(A8), LEN(A8)=3), 2,
                LEN(A8) - FIND(".", A8) + 2)
        )
    ),
"")</x:f>
        <x:v>0</x:v>
      </x:c>
      <x:c r="C8" s="15" t="s">
        <x:v>69</x:v>
      </x:c>
      <x:c r="D8" s="10" t="str">
        <x:f aca="0">REPT("   ", B8*2) &amp; C8</x:f>
        <x:v>Capitalized Direct Costs</x:v>
      </x:c>
      <x:c r="E8" s="10"/>
      <x:c r="F8" s="10"/>
      <x:c r="G8" s="10"/>
      <x:c r="H8" s="10"/>
      <x:c r="I8" s="10"/>
      <x:c r="J8" s="16"/>
      <x:c r="K8" s="27"/>
      <x:c r="L8" s="4"/>
      <x:c r="M8" s="6"/>
      <x:c r="N8" s="4"/>
      <x:c r="O8" s="4"/>
      <x:c r="P8" s="4"/>
      <x:c r="Q8" s="28"/>
      <x:c r="R8" s="4"/>
      <x:c r="S8" s="4"/>
      <x:c r="T8" s="4"/>
      <x:c r="U8" s="4"/>
      <x:c r="V8" s="4"/>
      <x:c r="W8" s="12"/>
      <x:c r="X8" s="24"/>
      <x:c r="Y8" s="24"/>
      <x:c r="Z8" s="12"/>
      <x:c r="AA8" s="13"/>
      <x:c r="AB8" s="13"/>
      <x:c r="AC8" s="12"/>
      <x:c r="AD8" s="13"/>
      <x:c r="AE8" s="13"/>
      <x:c r="AF8" s="13"/>
      <x:c r="AG8" s="12"/>
    </x:row>
    <x:row r="9" ht="26.25" hidden="0" customHeight="1">
      <x:c r="A9" s="6" t="n">
        <x:v>21</x:v>
      </x:c>
      <x:c r="B9" s="9" t="n">
        <x:f aca="0">IF(ISNUMBER(A9),
IF(AND(A9=INT(A9), MOD(A9, 10) = 0), 0,
IF(AND(A9=INT(A9), LEN(A9)=2), 1,
IF(AND(A9=INT(A9), LEN(A9)=3), 2,
LEN(A9) - FIND(".", A9) + 2)
)
),
"")</x:f>
        <x:v>1</x:v>
      </x:c>
      <x:c r="C9" s="15" t="s">
        <x:v>70</x:v>
      </x:c>
      <x:c r="D9" s="10" t="str">
        <x:f aca="0">REPT("   ", B9*2) &amp; C9</x:f>
        <x:v>      Structures and Improvements</x:v>
      </x:c>
      <x:c r="E9" s="10"/>
      <x:c r="F9" s="10"/>
      <x:c r="G9" s="10"/>
      <x:c r="H9" s="10"/>
      <x:c r="I9" s="10"/>
      <x:c r="J9" s="16"/>
      <x:c r="K9" s="17"/>
      <x:c r="L9" s="19"/>
      <x:c r="M9" s="19"/>
      <x:c r="N9" s="19"/>
      <x:c r="O9" s="19"/>
      <x:c r="P9" s="19"/>
      <x:c r="Q9" s="16"/>
      <x:c r="R9" s="19"/>
      <x:c r="S9" s="29"/>
      <x:c r="T9" s="19"/>
      <x:c r="U9" s="19"/>
      <x:c r="V9" s="23"/>
      <x:c r="W9" s="12"/>
      <x:c r="X9" s="24"/>
      <x:c r="Y9" s="24"/>
      <x:c r="Z9" s="12"/>
      <x:c r="AA9" s="13"/>
      <x:c r="AB9" s="13"/>
      <x:c r="AC9" s="12"/>
      <x:c r="AD9" s="13"/>
      <x:c r="AE9" s="13"/>
      <x:c r="AF9" s="13"/>
      <x:c r="AG9" s="12"/>
    </x:row>
    <x:row r="10" ht="26.25" hidden="0" customHeight="1">
      <x:c r="A10" s="30" t="n">
        <x:v>211</x:v>
      </x:c>
      <x:c r="B10" s="9" t="n">
        <x:f aca="0">IF(ISNUMBER(A10),
IF(AND(A10=INT(A10), MOD(A10, 10) = 0), 0,
IF(AND(A10=INT(A10), LEN(A10)=2), 1,
IF(AND(A10=INT(A10), LEN(A10)=3), 2,
LEN(A10) - FIND(".", A10) + 2)
)
),
"")</x:f>
        <x:v>2</x:v>
      </x:c>
      <x:c r="C10" s="15" t="s">
        <x:v>71</x:v>
      </x:c>
      <x:c r="D10" s="10" t="str">
        <x:f aca="0">REPT("   ", B10*2) &amp; C10</x:f>
        <x:v>            Site Preparation/ Yard Work</x:v>
      </x:c>
      <x:c r="E10" s="10"/>
      <x:c r="F10" s="10"/>
      <x:c r="G10" s="10"/>
      <x:c r="H10" s="10"/>
      <x:c r="I10" s="10"/>
      <x:c r="J10" s="16"/>
      <x:c r="K10" s="17"/>
      <x:c r="L10" s="19"/>
      <x:c r="M10" s="19"/>
      <x:c r="N10" s="19"/>
      <x:c r="O10" s="19"/>
      <x:c r="P10" s="19"/>
      <x:c r="Q10" s="16"/>
      <x:c r="R10" s="19"/>
      <x:c r="S10" s="29"/>
      <x:c r="T10" s="19"/>
      <x:c r="U10" s="19"/>
      <x:c r="V10" s="23"/>
      <x:c r="W10" s="12"/>
      <x:c r="X10" s="24"/>
      <x:c r="Y10" s="24"/>
      <x:c r="Z10" s="12"/>
      <x:c r="AA10" s="13"/>
      <x:c r="AB10" s="13"/>
      <x:c r="AC10" s="12"/>
      <x:c r="AD10" s="13"/>
      <x:c r="AE10" s="13"/>
      <x:c r="AF10" s="13"/>
      <x:c r="AG10" s="12"/>
    </x:row>
    <x:row r="11" ht="26.25" hidden="0" customHeight="1">
      <x:c r="A11" s="31" t="n">
        <x:v>211.1</x:v>
      </x:c>
      <x:c r="B11" s="9" t="n">
        <x:f aca="0">IF(ISNUMBER(A11),
IF(AND(A11=INT(A11), MOD(A11, 10) = 0), 0,
IF(AND(A11=INT(A11), LEN(A11)=2), 1,
IF(AND(A11=INT(A11), LEN(A11)=3), 2,
LEN(A11) - FIND(".", A11) + 2)
)
),
"")</x:f>
        <x:v>3</x:v>
      </x:c>
      <x:c r="C11" s="15" t="s">
        <x:v>72</x:v>
      </x:c>
      <x:c r="D11" s="10" t="str">
        <x:f aca="0">REPT("   ", B11*2) &amp; C11</x:f>
        <x:v>                  Cleaning and Grubbing</x:v>
      </x:c>
      <x:c r="E11" s="10" t="s">
        <x:v>35</x:v>
      </x:c>
      <x:c r="F11" s="10"/>
      <x:c r="G11" s="10"/>
      <x:c r="H11" s="10"/>
      <x:c r="I11" s="10"/>
      <x:c r="J11" s="16"/>
      <x:c r="K11" s="17" t="n">
        <x:f aca="0">4408.18*1.33</x:f>
        <x:v>5862.879400000001</x:v>
      </x:c>
      <x:c r="L11" s="18" t="s">
        <x:v>36</x:v>
      </x:c>
      <x:c r="M11" s="18" t="s">
        <x:v>37</x:v>
      </x:c>
      <x:c r="N11" s="19"/>
      <x:c r="O11" s="18" t="s">
        <x:v>38</x:v>
      </x:c>
      <x:c r="P11" s="19"/>
      <x:c r="Q11" s="20" t="n">
        <x:v>2024</x:v>
      </x:c>
      <x:c r="R11" s="18" t="s">
        <x:v>73</x:v>
      </x:c>
      <x:c r="S11" s="21" t="s">
        <x:v>74</x:v>
      </x:c>
      <x:c r="T11" s="21" t="s">
        <x:v>75</x:v>
      </x:c>
      <x:c r="U11" s="32" t="s">
        <x:v>76</x:v>
      </x:c>
      <x:c r="V11" s="23"/>
      <x:c r="W11" s="12" t="s">
        <x:v>77</x:v>
      </x:c>
      <x:c r="X11" s="24" t="n">
        <x:f aca="0">0.9*$J11</x:f>
        <x:v>0</x:v>
      </x:c>
      <x:c r="Y11" s="24" t="n">
        <x:f aca="0">1.5*J11</x:f>
        <x:v>0</x:v>
      </x:c>
      <x:c r="Z11" s="12" t="s">
        <x:v>44</x:v>
      </x:c>
      <x:c r="AA11" s="13" t="n">
        <x:f aca="0">0.9*K11</x:f>
        <x:v>5276.591460000001</x:v>
      </x:c>
      <x:c r="AB11" s="13" t="n">
        <x:f aca="0">1.3*K11</x:f>
        <x:v>7621.743220000001</x:v>
      </x:c>
      <x:c r="AC11" s="12" t="s">
        <x:v>44</x:v>
      </x:c>
      <x:c r="AD11" s="13" t="s">
        <x:v>45</x:v>
      </x:c>
      <x:c r="AE11" s="13" t="s">
        <x:v>46</x:v>
      </x:c>
      <x:c r="AF11" s="13" t="s">
        <x:v>47</x:v>
      </x:c>
      <x:c r="AG11" s="12" t="s">
        <x:v>48</x:v>
      </x:c>
    </x:row>
    <x:row r="12" ht="26.25" hidden="0" customHeight="1">
      <x:c r="A12" s="30" t="n">
        <x:v>211.2</x:v>
      </x:c>
      <x:c r="B12" s="9" t="n">
        <x:f aca="0">IF(ISNUMBER(A12),
    IF(AND(A12=INT(A12), MOD(A12, 10) = 0), 0,
        IF(AND(A12=INT(A12), LEN(A12)=2), 1,
            IF(AND(A12=INT(A12), LEN(A12)=3), 2,
                LEN(A12) - FIND(".", A12) + 2)
        )
    ),
"")</x:f>
        <x:v>3</x:v>
      </x:c>
      <x:c r="C12" s="15" t="s">
        <x:v>78</x:v>
      </x:c>
      <x:c r="D12" s="10" t="str">
        <x:f aca="0">REPT("   ", B12*2) &amp; C12</x:f>
        <x:v>                  Stripping Topsoil</x:v>
      </x:c>
      <x:c r="E12" s="10" t="s">
        <x:v>35</x:v>
      </x:c>
      <x:c r="F12" s="10"/>
      <x:c r="G12" s="10"/>
      <x:c r="H12" s="10"/>
      <x:c r="I12" s="10"/>
      <x:c r="J12" s="16"/>
      <x:c r="K12" s="17" t="n">
        <x:f aca="0">2565.2*1.33</x:f>
        <x:v>3411.716</x:v>
      </x:c>
      <x:c r="L12" s="18" t="s">
        <x:v>36</x:v>
      </x:c>
      <x:c r="M12" s="18" t="s">
        <x:v>37</x:v>
      </x:c>
      <x:c r="N12" s="19"/>
      <x:c r="O12" s="18" t="s">
        <x:v>38</x:v>
      </x:c>
      <x:c r="P12" s="19"/>
      <x:c r="Q12" s="20" t="n">
        <x:v>2024</x:v>
      </x:c>
      <x:c r="R12" s="18" t="s">
        <x:v>73</x:v>
      </x:c>
      <x:c r="S12" s="21"/>
      <x:c r="T12" s="21"/>
      <x:c r="U12" s="21"/>
      <x:c r="V12" s="23"/>
      <x:c r="W12" s="12" t="s">
        <x:v>77</x:v>
      </x:c>
      <x:c r="X12" s="24" t="n">
        <x:f aca="0">0.9*$J12</x:f>
        <x:v>0</x:v>
      </x:c>
      <x:c r="Y12" s="24" t="n">
        <x:f aca="0">1.5*J12</x:f>
        <x:v>0</x:v>
      </x:c>
      <x:c r="Z12" s="12" t="s">
        <x:v>44</x:v>
      </x:c>
      <x:c r="AA12" s="13" t="n">
        <x:f aca="0">0.9*K12</x:f>
        <x:v>3070.5443999999998</x:v>
      </x:c>
      <x:c r="AB12" s="13" t="n">
        <x:f aca="0">1.3*K12</x:f>
        <x:v>4435.2308</x:v>
      </x:c>
      <x:c r="AC12" s="12" t="s">
        <x:v>44</x:v>
      </x:c>
      <x:c r="AD12" s="13" t="s">
        <x:v>45</x:v>
      </x:c>
      <x:c r="AE12" s="13" t="s">
        <x:v>46</x:v>
      </x:c>
      <x:c r="AF12" s="13" t="s">
        <x:v>47</x:v>
      </x:c>
      <x:c r="AG12" s="12" t="s">
        <x:v>48</x:v>
      </x:c>
    </x:row>
    <x:row r="13" ht="147.75" hidden="0" customHeight="1">
      <x:c r="A13" s="30" t="n">
        <x:v>211.3</x:v>
      </x:c>
      <x:c r="B13" s="9" t="n">
        <x:f aca="0">IF(ISNUMBER(A13),
IF(AND(A13=INT(A13), MOD(A13, 10) = 0), 0,
IF(AND(A13=INT(A13), LEN(A13)=2), 1,
IF(AND(A13=INT(A13), LEN(A13)=3), 2,
LEN(A13) - FIND(".", A13) + 2)
)
),
"")</x:f>
        <x:v>3</x:v>
      </x:c>
      <x:c r="C13" s="15" t="s">
        <x:v>79</x:v>
      </x:c>
      <x:c r="D13" s="10" t="str">
        <x:f aca="0">REPT("   ", B13*2) &amp; C13</x:f>
        <x:v>                  Excavation</x:v>
      </x:c>
      <x:c r="E13" s="10" t="s">
        <x:v>35</x:v>
      </x:c>
      <x:c r="F13" s="10"/>
      <x:c r="G13" s="10"/>
      <x:c r="H13" s="10"/>
      <x:c r="I13" s="10"/>
      <x:c r="J13" s="16"/>
      <x:c r="K13" s="17" t="n">
        <x:f aca="0">22.86*1.4</x:f>
        <x:v>32.004</x:v>
      </x:c>
      <x:c r="L13" s="18" t="s">
        <x:v>80</x:v>
      </x:c>
      <x:c r="M13" s="18" t="s">
        <x:v>81</x:v>
      </x:c>
      <x:c r="N13" s="19"/>
      <x:c r="O13" s="18" t="s">
        <x:v>82</x:v>
      </x:c>
      <x:c r="P13" s="19"/>
      <x:c r="Q13" s="20" t="n">
        <x:v>2024</x:v>
      </x:c>
      <x:c r="R13" s="18" t="s">
        <x:v>73</x:v>
      </x:c>
      <x:c r="S13" s="21"/>
      <x:c r="T13" s="21"/>
      <x:c r="U13" s="21"/>
      <x:c r="V13" s="23"/>
      <x:c r="W13" s="12" t="s">
        <x:v>77</x:v>
      </x:c>
      <x:c r="X13" s="24" t="n">
        <x:f aca="0">0.9*$J13</x:f>
        <x:v>0</x:v>
      </x:c>
      <x:c r="Y13" s="24" t="n">
        <x:f aca="0">1.5*J13</x:f>
        <x:v>0</x:v>
      </x:c>
      <x:c r="Z13" s="12" t="s">
        <x:v>44</x:v>
      </x:c>
      <x:c r="AA13" s="13" t="n">
        <x:f aca="0">0.9*K13</x:f>
        <x:v>28.8036</x:v>
      </x:c>
      <x:c r="AB13" s="13" t="n">
        <x:f aca="0">1.3*K13</x:f>
        <x:v>41.605199999999996</x:v>
      </x:c>
      <x:c r="AC13" s="12" t="s">
        <x:v>44</x:v>
      </x:c>
      <x:c r="AD13" s="13" t="s">
        <x:v>45</x:v>
      </x:c>
      <x:c r="AE13" s="13" t="s">
        <x:v>46</x:v>
      </x:c>
      <x:c r="AF13" s="13" t="s">
        <x:v>47</x:v>
      </x:c>
      <x:c r="AG13" s="12" t="s">
        <x:v>48</x:v>
      </x:c>
    </x:row>
    <x:row r="14" ht="34.5" hidden="0" customHeight="1">
      <x:c r="A14" s="30" t="n">
        <x:v>211.4</x:v>
      </x:c>
      <x:c r="B14" s="9" t="n">
        <x:f aca="0">IF(ISNUMBER(A14),
    IF(AND(A14=INT(A14), MOD(A14, 10) = 0), 0,
        IF(AND(A14=INT(A14), LEN(A14)=2), 1,
            IF(AND(A14=INT(A14), LEN(A14)=3), 2,
                LEN(A14) - FIND(".", A14) + 2)
        )
    ),
"")</x:f>
        <x:v>3</x:v>
      </x:c>
      <x:c r="C14" s="15" t="s">
        <x:v>83</x:v>
      </x:c>
      <x:c r="D14" s="10" t="str">
        <x:f aca="0">REPT("   ", B14*2) &amp; C14</x:f>
        <x:v>                  Roads</x:v>
      </x:c>
      <x:c r="E14" s="10" t="s">
        <x:v>35</x:v>
      </x:c>
      <x:c r="F14" s="10"/>
      <x:c r="G14" s="10"/>
      <x:c r="H14" s="10"/>
      <x:c r="I14" s="10"/>
      <x:c r="J14" s="16"/>
      <x:c r="K14" s="17" t="n">
        <x:f aca="0">0.7*7873200*1.609/1000</x:f>
        <x:v>8867.58516</x:v>
      </x:c>
      <x:c r="L14" s="18" t="s">
        <x:v>84</x:v>
      </x:c>
      <x:c r="M14" s="18" t="s">
        <x:v>85</x:v>
      </x:c>
      <x:c r="N14" s="19"/>
      <x:c r="O14" s="18" t="s">
        <x:v>86</x:v>
      </x:c>
      <x:c r="P14" s="19"/>
      <x:c r="Q14" s="20" t="n">
        <x:v>2025</x:v>
      </x:c>
      <x:c r="R14" s="18" t="s">
        <x:v>39</x:v>
      </x:c>
      <x:c r="S14" s="33" t="s">
        <x:v>87</x:v>
      </x:c>
      <x:c r="T14" s="21"/>
      <x:c r="U14" s="34"/>
      <x:c r="V14" s="23"/>
      <x:c r="W14" s="12" t="s">
        <x:v>77</x:v>
      </x:c>
      <x:c r="X14" s="24" t="n">
        <x:f aca="0">0.9*$J14</x:f>
        <x:v>0</x:v>
      </x:c>
      <x:c r="Y14" s="24" t="n">
        <x:f aca="0">1.5*J14</x:f>
        <x:v>0</x:v>
      </x:c>
      <x:c r="Z14" s="12" t="s">
        <x:v>44</x:v>
      </x:c>
      <x:c r="AA14" s="13" t="n">
        <x:f aca="0">0.9*K14</x:f>
        <x:v>7980.826644000001</x:v>
      </x:c>
      <x:c r="AB14" s="13" t="n">
        <x:f aca="0">1.3*K14</x:f>
        <x:v>11527.860708000002</x:v>
      </x:c>
      <x:c r="AC14" s="12" t="s">
        <x:v>44</x:v>
      </x:c>
      <x:c r="AD14" s="13" t="s">
        <x:v>45</x:v>
      </x:c>
      <x:c r="AE14" s="13" t="s">
        <x:v>46</x:v>
      </x:c>
      <x:c r="AF14" s="13" t="s">
        <x:v>47</x:v>
      </x:c>
      <x:c r="AG14" s="12" t="s">
        <x:v>48</x:v>
      </x:c>
    </x:row>
    <x:row r="15" ht="13.5" hidden="0" customHeight="1">
      <x:c r="A15" s="30" t="n">
        <x:v>211.9</x:v>
      </x:c>
      <x:c r="B15" s="9" t="n">
        <x:f aca="0">IF(ISNUMBER(A15),
    IF(AND(A15=INT(A15), MOD(A15, 10) = 0), 0,
        IF(AND(A15=INT(A15), LEN(A15)=2), 1,
            IF(AND(A15=INT(A15), LEN(A15)=3), 2,
                LEN(A15) - FIND(".", A15) + 2)
        )
    ),
"")</x:f>
        <x:v>3</x:v>
      </x:c>
      <x:c r="C15" s="15" t="s">
        <x:v>88</x:v>
      </x:c>
      <x:c r="D15" s="10" t="str">
        <x:f aca="0">REPT("   ", B15*2) &amp; C15</x:f>
        <x:v>                  Security Fencing</x:v>
      </x:c>
      <x:c r="E15" s="10"/>
      <x:c r="F15" s="10"/>
      <x:c r="G15" s="10"/>
      <x:c r="H15" s="10"/>
      <x:c r="I15" s="10"/>
      <x:c r="J15" s="16"/>
      <x:c r="K15" s="17"/>
      <x:c r="L15" s="18"/>
      <x:c r="M15" s="18"/>
      <x:c r="N15" s="19"/>
      <x:c r="O15" s="18"/>
      <x:c r="P15" s="19"/>
      <x:c r="Q15" s="20"/>
      <x:c r="R15" s="18"/>
      <x:c r="S15" s="21"/>
      <x:c r="T15" s="21"/>
      <x:c r="U15" s="34"/>
      <x:c r="V15" s="23"/>
      <x:c r="W15" s="12"/>
      <x:c r="X15" s="24"/>
      <x:c r="Y15" s="24"/>
      <x:c r="Z15" s="12"/>
      <x:c r="AA15" s="13"/>
      <x:c r="AB15" s="13"/>
      <x:c r="AC15" s="12"/>
      <x:c r="AD15" s="13"/>
      <x:c r="AE15" s="13"/>
      <x:c r="AF15" s="13"/>
      <x:c r="AG15" s="12"/>
    </x:row>
    <x:row r="16" ht="34.5" hidden="0" customHeight="1">
      <x:c r="A16" s="30" t="n">
        <x:v>211.91</x:v>
      </x:c>
      <x:c r="B16" s="9" t="n">
        <x:f aca="0">IF(ISNUMBER(A16),
    IF(AND(A16=INT(A16), MOD(A16, 10) = 0), 0,
        IF(AND(A16=INT(A16), LEN(A16)=2), 1,
            IF(AND(A16=INT(A16), LEN(A16)=3), 2,
                LEN(A16) - FIND(".", A16) + 2)
        )
    ),
"")</x:f>
        <x:v>4</x:v>
      </x:c>
      <x:c r="C16" s="15" t="s">
        <x:v>89</x:v>
      </x:c>
      <x:c r="D16" s="10" t="str">
        <x:f aca="0">REPT("   ", B16*2) &amp; C16</x:f>
        <x:v>                        Security Fencing Limited</x:v>
      </x:c>
      <x:c r="E16" s="10" t="s">
        <x:v>35</x:v>
      </x:c>
      <x:c r="F16" s="10"/>
      <x:c r="G16" s="10"/>
      <x:c r="H16" s="10"/>
      <x:c r="I16" s="10"/>
      <x:c r="J16" s="16"/>
      <x:c r="K16" s="17" t="n">
        <x:f aca="0">0.47*273*3.2808</x:f>
        <x:v>420.959448</x:v>
      </x:c>
      <x:c r="L16" s="18" t="s">
        <x:v>84</x:v>
      </x:c>
      <x:c r="M16" s="18" t="s">
        <x:v>90</x:v>
      </x:c>
      <x:c r="N16" s="19"/>
      <x:c r="O16" s="18" t="s">
        <x:v>86</x:v>
      </x:c>
      <x:c r="P16" s="19"/>
      <x:c r="Q16" s="20" t="n">
        <x:v>2025</x:v>
      </x:c>
      <x:c r="R16" s="18" t="s">
        <x:v>39</x:v>
      </x:c>
      <x:c r="S16" s="33" t="s">
        <x:v>87</x:v>
      </x:c>
      <x:c r="T16" s="21"/>
      <x:c r="U16" s="34"/>
      <x:c r="V16" s="23"/>
      <x:c r="W16" s="12" t="s">
        <x:v>77</x:v>
      </x:c>
      <x:c r="X16" s="24" t="n">
        <x:f aca="0">0.9*$J16</x:f>
        <x:v>0</x:v>
      </x:c>
      <x:c r="Y16" s="24" t="n">
        <x:f aca="0">1.5*J16</x:f>
        <x:v>0</x:v>
      </x:c>
      <x:c r="Z16" s="12" t="s">
        <x:v>44</x:v>
      </x:c>
      <x:c r="AA16" s="13" t="n">
        <x:f aca="0">0.9*K16</x:f>
        <x:v>378.8635032</x:v>
      </x:c>
      <x:c r="AB16" s="13" t="n">
        <x:f aca="0">1.3*K16</x:f>
        <x:v>547.2472824</x:v>
      </x:c>
      <x:c r="AC16" s="12" t="s">
        <x:v>44</x:v>
      </x:c>
      <x:c r="AD16" s="13" t="s">
        <x:v>45</x:v>
      </x:c>
      <x:c r="AE16" s="13" t="s">
        <x:v>46</x:v>
      </x:c>
      <x:c r="AF16" s="13" t="s">
        <x:v>47</x:v>
      </x:c>
      <x:c r="AG16" s="12" t="s">
        <x:v>48</x:v>
      </x:c>
    </x:row>
    <x:row r="17" ht="34.5" hidden="0" customHeight="1">
      <x:c r="A17" s="30" t="n">
        <x:v>211.92</x:v>
      </x:c>
      <x:c r="B17" s="9" t="n">
        <x:f aca="0">IF(ISNUMBER(A17),
    IF(AND(A17=INT(A17), MOD(A17, 10) = 0), 0,
        IF(AND(A17=INT(A17), LEN(A17)=2), 1,
            IF(AND(A17=INT(A17), LEN(A17)=3), 2,
                LEN(A17) - FIND(".", A17) + 2)
        )
    ),
"")</x:f>
        <x:v>4</x:v>
      </x:c>
      <x:c r="C17" s="15" t="s">
        <x:v>91</x:v>
      </x:c>
      <x:c r="D17" s="10" t="str">
        <x:f aca="0">REPT("   ", B17*2) &amp; C17</x:f>
        <x:v>                        Security Fencing Protected</x:v>
      </x:c>
      <x:c r="E17" s="10" t="s">
        <x:v>35</x:v>
      </x:c>
      <x:c r="F17" s="10"/>
      <x:c r="G17" s="10"/>
      <x:c r="H17" s="10"/>
      <x:c r="I17" s="10"/>
      <x:c r="J17" s="16"/>
      <x:c r="K17" s="17" t="n">
        <x:f aca="0">0.7*15746*3.2808</x:f>
        <x:v>36161.63376</x:v>
      </x:c>
      <x:c r="L17" s="18" t="s">
        <x:v>84</x:v>
      </x:c>
      <x:c r="M17" s="18" t="s">
        <x:v>92</x:v>
      </x:c>
      <x:c r="N17" s="19"/>
      <x:c r="O17" s="18" t="s">
        <x:v>86</x:v>
      </x:c>
      <x:c r="P17" s="19"/>
      <x:c r="Q17" s="20" t="n">
        <x:v>2025</x:v>
      </x:c>
      <x:c r="R17" s="18" t="s">
        <x:v>39</x:v>
      </x:c>
      <x:c r="S17" s="33" t="s">
        <x:v>87</x:v>
      </x:c>
      <x:c r="T17" s="21"/>
      <x:c r="U17" s="34"/>
      <x:c r="V17" s="23"/>
      <x:c r="W17" s="12" t="s">
        <x:v>77</x:v>
      </x:c>
      <x:c r="X17" s="24" t="n">
        <x:f aca="0">0.9*$J17</x:f>
        <x:v>0</x:v>
      </x:c>
      <x:c r="Y17" s="24" t="n">
        <x:f aca="0">1.5*J17</x:f>
        <x:v>0</x:v>
      </x:c>
      <x:c r="Z17" s="12" t="s">
        <x:v>44</x:v>
      </x:c>
      <x:c r="AA17" s="13" t="n">
        <x:f aca="0">0.9*K17</x:f>
        <x:v>32545.470383999997</x:v>
      </x:c>
      <x:c r="AB17" s="13" t="n">
        <x:f aca="0">1.3*K17</x:f>
        <x:v>47010.123887999995</x:v>
      </x:c>
      <x:c r="AC17" s="12" t="s">
        <x:v>44</x:v>
      </x:c>
      <x:c r="AD17" s="13" t="s">
        <x:v>45</x:v>
      </x:c>
      <x:c r="AE17" s="13" t="s">
        <x:v>46</x:v>
      </x:c>
      <x:c r="AF17" s="13" t="s">
        <x:v>47</x:v>
      </x:c>
      <x:c r="AG17" s="12" t="s">
        <x:v>48</x:v>
      </x:c>
    </x:row>
    <x:row r="18" ht="26.25" hidden="0" customHeight="1">
      <x:c r="A18" s="30" t="n">
        <x:v>212</x:v>
      </x:c>
      <x:c r="B18" s="9" t="n">
        <x:f aca="0">IF(ISNUMBER(A18),
IF(AND(A18=INT(A18), MOD(A18, 10) = 0), 0,
IF(AND(A18=INT(A18), LEN(A18)=2), 1,
IF(AND(A18=INT(A18), LEN(A18)=3), 2,
LEN(A18) - FIND(".", A18) + 2)
)
),
"")</x:f>
        <x:v>2</x:v>
      </x:c>
      <x:c r="C18" s="15" t="s">
        <x:v>93</x:v>
      </x:c>
      <x:c r="D18" s="10" t="str">
        <x:f aca="0">REPT("   ", B18*2) &amp; C18</x:f>
        <x:v>            Reactor Island Civil Structures</x:v>
      </x:c>
      <x:c r="E18" s="10"/>
      <x:c r="F18" s="10"/>
      <x:c r="G18" s="10"/>
      <x:c r="H18" s="10"/>
      <x:c r="I18" s="10"/>
      <x:c r="J18" s="16"/>
      <x:c r="K18" s="17"/>
      <x:c r="L18" s="19"/>
      <x:c r="M18" s="19"/>
      <x:c r="N18" s="19"/>
      <x:c r="O18" s="19"/>
      <x:c r="P18" s="19"/>
      <x:c r="Q18" s="20"/>
      <x:c r="R18" s="19"/>
      <x:c r="S18" s="21"/>
      <x:c r="T18" s="18"/>
      <x:c r="U18" s="23"/>
      <x:c r="V18" s="23"/>
      <x:c r="W18" s="12"/>
      <x:c r="X18" s="24"/>
      <x:c r="Y18" s="24"/>
      <x:c r="Z18" s="12"/>
      <x:c r="AA18" s="13"/>
      <x:c r="AB18" s="13"/>
      <x:c r="AC18" s="12"/>
      <x:c r="AD18" s="13"/>
      <x:c r="AE18" s="13"/>
      <x:c r="AF18" s="13"/>
      <x:c r="AG18" s="12"/>
    </x:row>
    <x:row r="19" ht="51.75" hidden="0" customHeight="1">
      <x:c r="A19" s="30" t="n">
        <x:v>212.1</x:v>
      </x:c>
      <x:c r="B19" s="9" t="n">
        <x:f aca="0">IF(ISNUMBER(A19),
IF(AND(A19=INT(A19), MOD(A19, 10) = 0), 0,
IF(AND(A19=INT(A19), LEN(A19)=2), 1,
IF(AND(A19=INT(A19), LEN(A19)=3), 2,
LEN(A19) - FIND(".", A19) + 2)
)
),
"")</x:f>
        <x:v>3</x:v>
      </x:c>
      <x:c r="C19" s="15" t="s">
        <x:v>94</x:v>
      </x:c>
      <x:c r="D19" s="10" t="str">
        <x:f aca="0">REPT("   ", B19*2) &amp; C19</x:f>
        <x:v>                  Reactor Building Slab Roof</x:v>
      </x:c>
      <x:c r="E19" s="10" t="s">
        <x:v>35</x:v>
      </x:c>
      <x:c r="F19" s="21"/>
      <x:c r="G19" s="10"/>
      <x:c r="H19" s="10"/>
      <x:c r="I19" s="10"/>
      <x:c r="J19" s="16"/>
      <x:c r="K19" s="17" t="n">
        <x:f aca="0">1200 *1.53</x:f>
        <x:v>1836</x:v>
      </x:c>
      <x:c r="L19" s="18" t="s">
        <x:v>80</x:v>
      </x:c>
      <x:c r="M19" s="21" t="s">
        <x:v>95</x:v>
      </x:c>
      <x:c r="N19" s="19"/>
      <x:c r="O19" s="18" t="s">
        <x:v>82</x:v>
      </x:c>
      <x:c r="P19" s="19"/>
      <x:c r="Q19" s="20" t="n">
        <x:v>2024</x:v>
      </x:c>
      <x:c r="R19" s="18" t="s">
        <x:v>96</x:v>
      </x:c>
      <x:c r="S19" s="21" t="s">
        <x:v>74</x:v>
      </x:c>
      <x:c r="T19" s="21" t="s">
        <x:v>75</x:v>
      </x:c>
      <x:c r="U19" s="32" t="s">
        <x:v>76</x:v>
      </x:c>
      <x:c r="V19" s="23"/>
      <x:c r="W19" s="12" t="s">
        <x:v>77</x:v>
      </x:c>
      <x:c r="X19" s="24" t="n">
        <x:f aca="0">0.9*$J19</x:f>
        <x:v>0</x:v>
      </x:c>
      <x:c r="Y19" s="24" t="n">
        <x:f aca="0">1.5*J19</x:f>
        <x:v>0</x:v>
      </x:c>
      <x:c r="Z19" s="12" t="s">
        <x:v>44</x:v>
      </x:c>
      <x:c r="AA19" s="13" t="n">
        <x:f aca="0">0.9*K19</x:f>
        <x:v>1652.4</x:v>
      </x:c>
      <x:c r="AB19" s="13" t="n">
        <x:f aca="0">1.3*K19</x:f>
        <x:v>2386.8</x:v>
      </x:c>
      <x:c r="AC19" s="12" t="s">
        <x:v>44</x:v>
      </x:c>
      <x:c r="AD19" s="13" t="s">
        <x:v>45</x:v>
      </x:c>
      <x:c r="AE19" s="13" t="s">
        <x:v>46</x:v>
      </x:c>
      <x:c r="AF19" s="13" t="s">
        <x:v>47</x:v>
      </x:c>
      <x:c r="AG19" s="12" t="s">
        <x:v>48</x:v>
      </x:c>
    </x:row>
    <x:row r="20" ht="51.75" hidden="0" customHeight="1">
      <x:c r="A20" s="30" t="n">
        <x:v>212.2</x:v>
      </x:c>
      <x:c r="B20" s="9" t="n">
        <x:f aca="0">IF(ISNUMBER(A20),
IF(AND(A20=INT(A20), MOD(A20, 10) = 0), 0,
IF(AND(A20=INT(A20), LEN(A20)=2), 1,
IF(AND(A20=INT(A20), LEN(A20)=3), 2,
LEN(A20) - FIND(".", A20) + 2)
)
),
"")</x:f>
        <x:v>3</x:v>
      </x:c>
      <x:c r="C20" s="15" t="s">
        <x:v>97</x:v>
      </x:c>
      <x:c r="D20" s="10" t="str">
        <x:f aca="0">REPT("   ", B20*2) &amp; C20</x:f>
        <x:v>                  Reactor Building Basement</x:v>
      </x:c>
      <x:c r="E20" s="10" t="s">
        <x:v>35</x:v>
      </x:c>
      <x:c r="F20" s="10"/>
      <x:c r="G20" s="10"/>
      <x:c r="H20" s="10"/>
      <x:c r="I20" s="10"/>
      <x:c r="J20" s="16"/>
      <x:c r="K20" s="17" t="n">
        <x:f aca="0">943.9*1.53</x:f>
        <x:v>1444.167</x:v>
      </x:c>
      <x:c r="L20" s="18" t="s">
        <x:v>80</x:v>
      </x:c>
      <x:c r="M20" s="21" t="s">
        <x:v>98</x:v>
      </x:c>
      <x:c r="N20" s="19"/>
      <x:c r="O20" s="18" t="s">
        <x:v>82</x:v>
      </x:c>
      <x:c r="P20" s="19"/>
      <x:c r="Q20" s="20" t="n">
        <x:v>2024</x:v>
      </x:c>
      <x:c r="R20" s="18" t="s">
        <x:v>96</x:v>
      </x:c>
      <x:c r="S20" s="21"/>
      <x:c r="T20" s="21"/>
      <x:c r="U20" s="21"/>
      <x:c r="V20" s="23"/>
      <x:c r="W20" s="12" t="s">
        <x:v>77</x:v>
      </x:c>
      <x:c r="X20" s="24" t="n">
        <x:f aca="0">0.9*$J20</x:f>
        <x:v>0</x:v>
      </x:c>
      <x:c r="Y20" s="24" t="n">
        <x:f aca="0">1.5*J20</x:f>
        <x:v>0</x:v>
      </x:c>
      <x:c r="Z20" s="12" t="s">
        <x:v>44</x:v>
      </x:c>
      <x:c r="AA20" s="13" t="n">
        <x:f aca="0">0.9*K20</x:f>
        <x:v>1299.7503</x:v>
      </x:c>
      <x:c r="AB20" s="13" t="n">
        <x:f aca="0">1.3*K20</x:f>
        <x:v>1877.4171</x:v>
      </x:c>
      <x:c r="AC20" s="12" t="s">
        <x:v>44</x:v>
      </x:c>
      <x:c r="AD20" s="13" t="s">
        <x:v>45</x:v>
      </x:c>
      <x:c r="AE20" s="13" t="s">
        <x:v>46</x:v>
      </x:c>
      <x:c r="AF20" s="13" t="s">
        <x:v>47</x:v>
      </x:c>
      <x:c r="AG20" s="12" t="s">
        <x:v>48</x:v>
      </x:c>
    </x:row>
    <x:row r="21" ht="75.75" hidden="0" customHeight="1">
      <x:c r="A21" s="30" t="n">
        <x:v>212.3</x:v>
      </x:c>
      <x:c r="B21" s="9" t="n">
        <x:f aca="0">IF(ISNUMBER(A21),
IF(AND(A21=INT(A21), MOD(A21, 10) = 0), 0,
IF(AND(A21=INT(A21), LEN(A21)=2), 1,
IF(AND(A21=INT(A21), LEN(A21)=3), 2,
LEN(A21) - FIND(".", A21) + 2)
)
),
"")</x:f>
        <x:v>3</x:v>
      </x:c>
      <x:c r="C21" s="15" t="s">
        <x:v>99</x:v>
      </x:c>
      <x:c r="D21" s="10" t="str">
        <x:f aca="0">REPT("   ", B21*2) &amp; C21</x:f>
        <x:v>                  Reactor Building Walls</x:v>
      </x:c>
      <x:c r="E21" s="10" t="s">
        <x:v>35</x:v>
      </x:c>
      <x:c r="F21" s="10"/>
      <x:c r="G21" s="10"/>
      <x:c r="H21" s="10"/>
      <x:c r="I21" s="10"/>
      <x:c r="J21" s="16"/>
      <x:c r="K21" s="17" t="n">
        <x:f aca="0">721.21*1.53</x:f>
        <x:v>1103.4513000000002</x:v>
      </x:c>
      <x:c r="L21" s="18" t="s">
        <x:v>80</x:v>
      </x:c>
      <x:c r="M21" s="21" t="s">
        <x:v>100</x:v>
      </x:c>
      <x:c r="N21" s="19"/>
      <x:c r="O21" s="18" t="s">
        <x:v>82</x:v>
      </x:c>
      <x:c r="P21" s="19"/>
      <x:c r="Q21" s="20" t="n">
        <x:v>2024</x:v>
      </x:c>
      <x:c r="R21" s="18" t="s">
        <x:v>96</x:v>
      </x:c>
      <x:c r="S21" s="21"/>
      <x:c r="T21" s="21"/>
      <x:c r="U21" s="21"/>
      <x:c r="V21" s="23"/>
      <x:c r="W21" s="12" t="s">
        <x:v>77</x:v>
      </x:c>
      <x:c r="X21" s="24" t="n">
        <x:f aca="0">0.9*$J21</x:f>
        <x:v>0</x:v>
      </x:c>
      <x:c r="Y21" s="24" t="n">
        <x:f aca="0">1.5*J21</x:f>
        <x:v>0</x:v>
      </x:c>
      <x:c r="Z21" s="12" t="s">
        <x:v>44</x:v>
      </x:c>
      <x:c r="AA21" s="13" t="n">
        <x:f aca="0">0.9*K21</x:f>
        <x:v>993.1061700000001</x:v>
      </x:c>
      <x:c r="AB21" s="13" t="n">
        <x:f aca="0">1.3*K21</x:f>
        <x:v>1434.4866900000002</x:v>
      </x:c>
      <x:c r="AC21" s="12" t="s">
        <x:v>44</x:v>
      </x:c>
      <x:c r="AD21" s="13" t="s">
        <x:v>45</x:v>
      </x:c>
      <x:c r="AE21" s="13" t="s">
        <x:v>46</x:v>
      </x:c>
      <x:c r="AF21" s="13" t="s">
        <x:v>47</x:v>
      </x:c>
      <x:c r="AG21" s="12" t="s">
        <x:v>48</x:v>
      </x:c>
    </x:row>
    <x:row r="22" ht="101.25" hidden="0" customHeight="1">
      <x:c r="A22" s="30" t="n">
        <x:v>212.4</x:v>
      </x:c>
      <x:c r="B22" s="9" t="n">
        <x:f aca="0">IF(ISNUMBER(A22),
IF(AND(A22=INT(A22), MOD(A22, 10) = 0), 0,
IF(AND(A22=INT(A22), LEN(A22)=2), 1,
IF(AND(A22=INT(A22), LEN(A22)=3), 2,
LEN(A22) - FIND(".", A22) + 2)
)
),
"")</x:f>
        <x:v>3</x:v>
      </x:c>
      <x:c r="C22" s="15" t="s">
        <x:v>101</x:v>
      </x:c>
      <x:c r="D22" s="10" t="str">
        <x:f aca="0">REPT("   ", B22*2) &amp; C22</x:f>
        <x:v>                  Reactor Building Liner</x:v>
      </x:c>
      <x:c r="E22" s="10" t="s">
        <x:v>35</x:v>
      </x:c>
      <x:c r="F22" s="10"/>
      <x:c r="G22" s="10"/>
      <x:c r="H22" s="10"/>
      <x:c r="I22" s="10"/>
      <x:c r="J22" s="16"/>
      <x:c r="K22" s="17" t="n">
        <x:f aca="0">60848829/9373</x:f>
        <x:v>6491.926704363597</x:v>
      </x:c>
      <x:c r="L22" s="18" t="s">
        <x:v>102</x:v>
      </x:c>
      <x:c r="M22" s="21" t="s">
        <x:v>103</x:v>
      </x:c>
      <x:c r="N22" s="19" t="n">
        <x:v>9373</x:v>
      </x:c>
      <x:c r="O22" s="18" t="s">
        <x:v>104</x:v>
      </x:c>
      <x:c r="P22" s="19" t="n">
        <x:v>1</x:v>
      </x:c>
      <x:c r="Q22" s="20" t="n">
        <x:v>2018</x:v>
      </x:c>
      <x:c r="R22" s="18" t="s">
        <x:v>96</x:v>
      </x:c>
      <x:c r="S22" s="21" t="s">
        <x:v>105</x:v>
      </x:c>
      <x:c r="T22" s="21" t="s">
        <x:v>105</x:v>
      </x:c>
      <x:c r="U22" s="35" t="s">
        <x:v>106</x:v>
      </x:c>
      <x:c r="V22" s="23"/>
      <x:c r="W22" s="12" t="s">
        <x:v>77</x:v>
      </x:c>
      <x:c r="X22" s="24" t="n">
        <x:f aca="0">0.9*$J22</x:f>
        <x:v>0</x:v>
      </x:c>
      <x:c r="Y22" s="24" t="n">
        <x:f aca="0">1.5*J22</x:f>
        <x:v>0</x:v>
      </x:c>
      <x:c r="Z22" s="12" t="s">
        <x:v>44</x:v>
      </x:c>
      <x:c r="AA22" s="13" t="n">
        <x:f aca="0">0.9*K22</x:f>
        <x:v>5842.734033927238</x:v>
      </x:c>
      <x:c r="AB22" s="13" t="n">
        <x:f aca="0">1.3*K22</x:f>
        <x:v>8439.504715672676</x:v>
      </x:c>
      <x:c r="AC22" s="12" t="s">
        <x:v>44</x:v>
      </x:c>
      <x:c r="AD22" s="13" t="s">
        <x:v>45</x:v>
      </x:c>
      <x:c r="AE22" s="13" t="s">
        <x:v>46</x:v>
      </x:c>
      <x:c r="AF22" s="13" t="s">
        <x:v>47</x:v>
      </x:c>
      <x:c r="AG22" s="12" t="s">
        <x:v>48</x:v>
      </x:c>
    </x:row>
    <x:row r="23" ht="101.25" hidden="0" customHeight="1">
      <x:c r="A23" s="30" t="n">
        <x:v>212.5</x:v>
      </x:c>
      <x:c r="B23" s="9" t="n">
        <x:f aca="0">IF(ISNUMBER(A23),
IF(AND(A23=INT(A23), MOD(A23, 10) = 0), 0,
IF(AND(A23=INT(A23), LEN(A23)=2), 1,
IF(AND(A23=INT(A23), LEN(A23)=3), 2,
LEN(A23) - FIND(".", A23) + 2)
)
),
"")</x:f>
        <x:v>3</x:v>
      </x:c>
      <x:c r="C23" s="15" t="s">
        <x:v>107</x:v>
      </x:c>
      <x:c r="D23" s="10" t="str">
        <x:f aca="0">REPT("   ", B23*2) &amp; C23</x:f>
        <x:v>                  Reactor Building HVAC</x:v>
      </x:c>
      <x:c r="E23" s="10" t="s">
        <x:v>35</x:v>
      </x:c>
      <x:c r="F23" s="10"/>
      <x:c r="G23" s="10"/>
      <x:c r="H23" s="10"/>
      <x:c r="I23" s="10"/>
      <x:c r="J23" s="16"/>
      <x:c r="K23" s="17" t="n">
        <x:f aca="0">5917967/N23</x:f>
        <x:v>1731.9189347380743</x:v>
      </x:c>
      <x:c r="L23" s="18" t="s">
        <x:v>108</x:v>
      </x:c>
      <x:c r="M23" s="21" t="s">
        <x:v>109</x:v>
      </x:c>
      <x:c r="N23" s="19" t="n">
        <x:v>3417</x:v>
      </x:c>
      <x:c r="O23" s="18" t="s">
        <x:v>110</x:v>
      </x:c>
      <x:c r="P23" s="19" t="n">
        <x:v>0.8</x:v>
      </x:c>
      <x:c r="Q23" s="20" t="n">
        <x:v>2018</x:v>
      </x:c>
      <x:c r="R23" s="18" t="s">
        <x:v>96</x:v>
      </x:c>
      <x:c r="S23" s="21" t="s">
        <x:v>105</x:v>
      </x:c>
      <x:c r="T23" s="21" t="s">
        <x:v>105</x:v>
      </x:c>
      <x:c r="U23" s="35" t="s">
        <x:v>106</x:v>
      </x:c>
      <x:c r="V23" s="23"/>
      <x:c r="W23" s="12" t="s">
        <x:v>77</x:v>
      </x:c>
      <x:c r="X23" s="24" t="n">
        <x:f aca="0">0.9*$J23</x:f>
        <x:v>0</x:v>
      </x:c>
      <x:c r="Y23" s="24" t="n">
        <x:f aca="0">1.5*J23</x:f>
        <x:v>0</x:v>
      </x:c>
      <x:c r="Z23" s="12" t="s">
        <x:v>44</x:v>
      </x:c>
      <x:c r="AA23" s="13" t="n">
        <x:f aca="0">0.9*K23</x:f>
        <x:v>1558.727041264267</x:v>
      </x:c>
      <x:c r="AB23" s="13" t="n">
        <x:f aca="0">1.3*K23</x:f>
        <x:v>2251.494615159497</x:v>
      </x:c>
      <x:c r="AC23" s="12" t="s">
        <x:v>44</x:v>
      </x:c>
      <x:c r="AD23" s="13" t="s">
        <x:v>45</x:v>
      </x:c>
      <x:c r="AE23" s="13" t="s">
        <x:v>46</x:v>
      </x:c>
      <x:c r="AF23" s="13" t="s">
        <x:v>47</x:v>
      </x:c>
      <x:c r="AG23" s="12" t="s">
        <x:v>48</x:v>
      </x:c>
    </x:row>
    <x:row r="24" ht="26.25" hidden="0" customHeight="1">
      <x:c r="A24" s="30" t="n">
        <x:v>213</x:v>
      </x:c>
      <x:c r="B24" s="9" t="n">
        <x:f aca="0">IF(ISNUMBER(A24),
IF(AND(A24=INT(A24), MOD(A24, 10) = 0), 0,
IF(AND(A24=INT(A24), LEN(A24)=2), 1,
IF(AND(A24=INT(A24), LEN(A24)=3), 2,
LEN(A24) - FIND(".", A24) + 2)
)
),
"")</x:f>
        <x:v>2</x:v>
      </x:c>
      <x:c r="C24" s="15" t="s">
        <x:v>111</x:v>
      </x:c>
      <x:c r="D24" s="10" t="str">
        <x:f aca="0">REPT("   ", B24*2) &amp; C24</x:f>
        <x:v>            Main Function Buildings</x:v>
      </x:c>
      <x:c r="E24" s="10"/>
      <x:c r="F24" s="10"/>
      <x:c r="G24" s="10"/>
      <x:c r="H24" s="10"/>
      <x:c r="I24" s="10"/>
      <x:c r="J24" s="16"/>
      <x:c r="K24" s="17"/>
      <x:c r="L24" s="19"/>
      <x:c r="M24" s="29"/>
      <x:c r="N24" s="19"/>
      <x:c r="O24" s="19"/>
      <x:c r="P24" s="19"/>
      <x:c r="Q24" s="16"/>
      <x:c r="R24" s="19"/>
      <x:c r="S24" s="29"/>
      <x:c r="T24" s="21"/>
      <x:c r="U24" s="22"/>
      <x:c r="V24" s="23"/>
      <x:c r="W24" s="12"/>
      <x:c r="X24" s="24"/>
      <x:c r="Y24" s="24"/>
      <x:c r="Z24" s="12"/>
      <x:c r="AA24" s="13"/>
      <x:c r="AB24" s="13"/>
      <x:c r="AC24" s="12"/>
      <x:c r="AD24" s="13"/>
      <x:c r="AE24" s="13"/>
      <x:c r="AF24" s="13"/>
      <x:c r="AG24" s="12"/>
    </x:row>
    <x:row r="25" ht="26.25" hidden="0" customHeight="1">
      <x:c r="A25" s="30" t="n">
        <x:v>213.1</x:v>
      </x:c>
      <x:c r="B25" s="9" t="n">
        <x:f aca="0">IF(ISNUMBER(A25),
IF(AND(A25=INT(A25), MOD(A25, 10) = 0), 0,
IF(AND(A25=INT(A25), LEN(A25)=2), 1,
IF(AND(A25=INT(A25), LEN(A25)=3), 2,
LEN(A25) - FIND(".", A25) + 2)
)
),
"")</x:f>
        <x:v>3</x:v>
      </x:c>
      <x:c r="C25" s="15" t="s">
        <x:v>112</x:v>
      </x:c>
      <x:c r="D25" s="10" t="str">
        <x:f aca="0">REPT("   ", B25*2) &amp; C25</x:f>
        <x:v>                  Energy conversion Building</x:v>
      </x:c>
      <x:c r="E25" s="10"/>
      <x:c r="F25" s="10"/>
      <x:c r="G25" s="10"/>
      <x:c r="H25" s="10"/>
      <x:c r="I25" s="10"/>
      <x:c r="J25" s="16"/>
      <x:c r="K25" s="17"/>
      <x:c r="L25" s="19"/>
      <x:c r="M25" s="29"/>
      <x:c r="N25" s="19"/>
      <x:c r="O25" s="19"/>
      <x:c r="P25" s="19"/>
      <x:c r="Q25" s="16"/>
      <x:c r="R25" s="19"/>
      <x:c r="S25" s="29"/>
      <x:c r="T25" s="21"/>
      <x:c r="U25" s="22"/>
      <x:c r="V25" s="23"/>
      <x:c r="W25" s="12"/>
      <x:c r="X25" s="24"/>
      <x:c r="Y25" s="24"/>
      <x:c r="Z25" s="12"/>
      <x:c r="AA25" s="13"/>
      <x:c r="AB25" s="13"/>
      <x:c r="AC25" s="12"/>
      <x:c r="AD25" s="13"/>
      <x:c r="AE25" s="13"/>
      <x:c r="AF25" s="13"/>
      <x:c r="AG25" s="12"/>
    </x:row>
    <x:row r="26" ht="51.75" hidden="0" customHeight="1">
      <x:c r="A26" s="30" t="n">
        <x:v>213.11</x:v>
      </x:c>
      <x:c r="B26" s="9" t="n">
        <x:f aca="0">IF(ISNUMBER(A26),
IF(AND(A26=INT(A26), MOD(A26, 10) = 0), 0,
IF(AND(A26=INT(A26), LEN(A26)=2), 1,
IF(AND(A26=INT(A26), LEN(A26)=3), 2,
LEN(A26) - FIND(".", A26) + 2)
)
),
"")</x:f>
        <x:v>4</x:v>
      </x:c>
      <x:c r="C26" s="15" t="s">
        <x:v>113</x:v>
      </x:c>
      <x:c r="D26" s="10" t="str">
        <x:f aca="0">REPT("   ", B26*2) &amp; C26</x:f>
        <x:v>                        Energy Conversion Building Slab Roof</x:v>
      </x:c>
      <x:c r="E26" s="10" t="s">
        <x:v>35</x:v>
      </x:c>
      <x:c r="F26" s="10"/>
      <x:c r="G26" s="10"/>
      <x:c r="H26" s="10"/>
      <x:c r="I26" s="10"/>
      <x:c r="J26" s="16"/>
      <x:c r="K26" s="17" t="n">
        <x:f aca="0">1200</x:f>
        <x:v>1200</x:v>
      </x:c>
      <x:c r="L26" s="18" t="s">
        <x:v>80</x:v>
      </x:c>
      <x:c r="M26" s="21" t="s">
        <x:v>114</x:v>
      </x:c>
      <x:c r="N26" s="19"/>
      <x:c r="O26" s="18" t="s">
        <x:v>82</x:v>
      </x:c>
      <x:c r="P26" s="19"/>
      <x:c r="Q26" s="20" t="n">
        <x:v>2024</x:v>
      </x:c>
      <x:c r="R26" s="18" t="s">
        <x:v>96</x:v>
      </x:c>
      <x:c r="S26" s="21" t="s">
        <x:v>115</x:v>
      </x:c>
      <x:c r="T26" s="21" t="s">
        <x:v>75</x:v>
      </x:c>
      <x:c r="U26" s="32" t="s">
        <x:v>76</x:v>
      </x:c>
      <x:c r="V26" s="23"/>
      <x:c r="W26" s="12" t="s">
        <x:v>77</x:v>
      </x:c>
      <x:c r="X26" s="24" t="n">
        <x:f aca="0">0.9*$J26</x:f>
        <x:v>0</x:v>
      </x:c>
      <x:c r="Y26" s="24" t="n">
        <x:f aca="0">1.5*J26</x:f>
        <x:v>0</x:v>
      </x:c>
      <x:c r="Z26" s="12" t="s">
        <x:v>44</x:v>
      </x:c>
      <x:c r="AA26" s="13" t="n">
        <x:f aca="0">0.9*K26</x:f>
        <x:v>1080</x:v>
      </x:c>
      <x:c r="AB26" s="13" t="n">
        <x:f aca="0">1.3*K26</x:f>
        <x:v>1560</x:v>
      </x:c>
      <x:c r="AC26" s="12" t="s">
        <x:v>44</x:v>
      </x:c>
      <x:c r="AD26" s="13" t="s">
        <x:v>45</x:v>
      </x:c>
      <x:c r="AE26" s="13" t="s">
        <x:v>46</x:v>
      </x:c>
      <x:c r="AF26" s="13" t="s">
        <x:v>47</x:v>
      </x:c>
      <x:c r="AG26" s="12" t="s">
        <x:v>48</x:v>
      </x:c>
    </x:row>
    <x:row r="27" ht="51.75" hidden="0" customHeight="1">
      <x:c r="A27" s="30" t="n">
        <x:v>213.12</x:v>
      </x:c>
      <x:c r="B27" s="9" t="n">
        <x:f aca="0">IF(ISNUMBER(A27),
IF(AND(A27=INT(A27), MOD(A27, 10) = 0), 0,
IF(AND(A27=INT(A27), LEN(A27)=2), 1,
IF(AND(A27=INT(A27), LEN(A27)=3), 2,
LEN(A27) - FIND(".", A27) + 2)
)
),
"")</x:f>
        <x:v>4</x:v>
      </x:c>
      <x:c r="C27" s="15" t="s">
        <x:v>116</x:v>
      </x:c>
      <x:c r="D27" s="10" t="str">
        <x:f aca="0">REPT("   ", B27*2) &amp; C27</x:f>
        <x:v>                        Energy Conversion Building Basement</x:v>
      </x:c>
      <x:c r="E27" s="10" t="s">
        <x:v>35</x:v>
      </x:c>
      <x:c r="F27" s="10"/>
      <x:c r="G27" s="10"/>
      <x:c r="H27" s="10"/>
      <x:c r="I27" s="10"/>
      <x:c r="J27" s="16"/>
      <x:c r="K27" s="17" t="n">
        <x:f aca="0">943.9</x:f>
        <x:v>943.9</x:v>
      </x:c>
      <x:c r="L27" s="18" t="s">
        <x:v>80</x:v>
      </x:c>
      <x:c r="M27" s="21" t="s">
        <x:v>117</x:v>
      </x:c>
      <x:c r="N27" s="19"/>
      <x:c r="O27" s="18" t="s">
        <x:v>82</x:v>
      </x:c>
      <x:c r="P27" s="19"/>
      <x:c r="Q27" s="20" t="n">
        <x:v>2024</x:v>
      </x:c>
      <x:c r="R27" s="18" t="s">
        <x:v>96</x:v>
      </x:c>
      <x:c r="S27" s="21"/>
      <x:c r="T27" s="21"/>
      <x:c r="U27" s="21"/>
      <x:c r="V27" s="23"/>
      <x:c r="W27" s="12" t="s">
        <x:v>77</x:v>
      </x:c>
      <x:c r="X27" s="24" t="n">
        <x:f aca="0">0.9*$J27</x:f>
        <x:v>0</x:v>
      </x:c>
      <x:c r="Y27" s="24" t="n">
        <x:f aca="0">1.5*J27</x:f>
        <x:v>0</x:v>
      </x:c>
      <x:c r="Z27" s="12" t="s">
        <x:v>44</x:v>
      </x:c>
      <x:c r="AA27" s="13" t="n">
        <x:f aca="0">0.9*K27</x:f>
        <x:v>849.51</x:v>
      </x:c>
      <x:c r="AB27" s="13" t="n">
        <x:f aca="0">1.3*K27</x:f>
        <x:v>1227.07</x:v>
      </x:c>
      <x:c r="AC27" s="12" t="s">
        <x:v>44</x:v>
      </x:c>
      <x:c r="AD27" s="13" t="s">
        <x:v>45</x:v>
      </x:c>
      <x:c r="AE27" s="13" t="s">
        <x:v>46</x:v>
      </x:c>
      <x:c r="AF27" s="13" t="s">
        <x:v>47</x:v>
      </x:c>
      <x:c r="AG27" s="12" t="s">
        <x:v>48</x:v>
      </x:c>
    </x:row>
    <x:row r="28" ht="75.75" hidden="0" customHeight="1">
      <x:c r="A28" s="30" t="n">
        <x:v>213.13</x:v>
      </x:c>
      <x:c r="B28" s="9" t="n">
        <x:f aca="0">IF(ISNUMBER(A28),
IF(AND(A28=INT(A28), MOD(A28, 10) = 0), 0,
IF(AND(A28=INT(A28), LEN(A28)=2), 1,
IF(AND(A28=INT(A28), LEN(A28)=3), 2,
LEN(A28) - FIND(".", A28) + 2)
)
),
"")</x:f>
        <x:v>4</x:v>
      </x:c>
      <x:c r="C28" s="15" t="s">
        <x:v>118</x:v>
      </x:c>
      <x:c r="D28" s="10" t="str">
        <x:f aca="0">REPT("   ", B28*2) &amp; C28</x:f>
        <x:v>                        Energy Conversion Building Walls</x:v>
      </x:c>
      <x:c r="E28" s="10" t="s">
        <x:v>35</x:v>
      </x:c>
      <x:c r="F28" s="10"/>
      <x:c r="G28" s="10"/>
      <x:c r="H28" s="10"/>
      <x:c r="I28" s="10"/>
      <x:c r="J28" s="16"/>
      <x:c r="K28" s="17" t="n">
        <x:f aca="0">721.21</x:f>
        <x:v>721.21</x:v>
      </x:c>
      <x:c r="L28" s="18" t="s">
        <x:v>80</x:v>
      </x:c>
      <x:c r="M28" s="21" t="s">
        <x:v>119</x:v>
      </x:c>
      <x:c r="N28" s="19"/>
      <x:c r="O28" s="18" t="s">
        <x:v>82</x:v>
      </x:c>
      <x:c r="P28" s="19"/>
      <x:c r="Q28" s="20" t="n">
        <x:v>2024</x:v>
      </x:c>
      <x:c r="R28" s="18" t="s">
        <x:v>96</x:v>
      </x:c>
      <x:c r="S28" s="21"/>
      <x:c r="T28" s="21"/>
      <x:c r="U28" s="21"/>
      <x:c r="V28" s="23"/>
      <x:c r="W28" s="12" t="s">
        <x:v>77</x:v>
      </x:c>
      <x:c r="X28" s="24" t="n">
        <x:f aca="0">0.9*$J28</x:f>
        <x:v>0</x:v>
      </x:c>
      <x:c r="Y28" s="24" t="n">
        <x:f aca="0">1.5*J28</x:f>
        <x:v>0</x:v>
      </x:c>
      <x:c r="Z28" s="12" t="s">
        <x:v>44</x:v>
      </x:c>
      <x:c r="AA28" s="13" t="n">
        <x:f aca="0">0.9*K28</x:f>
        <x:v>649.089</x:v>
      </x:c>
      <x:c r="AB28" s="13" t="n">
        <x:f aca="0">1.3*K28</x:f>
        <x:v>937.5730000000001</x:v>
      </x:c>
      <x:c r="AC28" s="12" t="s">
        <x:v>44</x:v>
      </x:c>
      <x:c r="AD28" s="13" t="s">
        <x:v>45</x:v>
      </x:c>
      <x:c r="AE28" s="13" t="s">
        <x:v>46</x:v>
      </x:c>
      <x:c r="AF28" s="13" t="s">
        <x:v>47</x:v>
      </x:c>
      <x:c r="AG28" s="12" t="s">
        <x:v>48</x:v>
      </x:c>
    </x:row>
    <x:row r="29" ht="26.25" hidden="0" customHeight="1">
      <x:c r="A29" s="30" t="n">
        <x:v>213.2</x:v>
      </x:c>
      <x:c r="B29" s="9" t="n">
        <x:f aca="0">IF(ISNUMBER(A29),
IF(AND(A29=INT(A29), MOD(A29, 10) = 0), 0,
IF(AND(A29=INT(A29), LEN(A29)=2), 1,
IF(AND(A29=INT(A29), LEN(A29)=3), 2,
LEN(A29) - FIND(".", A29) + 2)
)
),
"")</x:f>
        <x:v>3</x:v>
      </x:c>
      <x:c r="C29" s="15" t="s">
        <x:v>120</x:v>
      </x:c>
      <x:c r="D29" s="10" t="str">
        <x:f aca="0">REPT("   ", B29*2) &amp; C29</x:f>
        <x:v>                  Control building</x:v>
      </x:c>
      <x:c r="E29" s="10"/>
      <x:c r="F29" s="10"/>
      <x:c r="G29" s="10"/>
      <x:c r="H29" s="10"/>
      <x:c r="I29" s="10"/>
      <x:c r="J29" s="16"/>
      <x:c r="K29" s="17"/>
      <x:c r="L29" s="19"/>
      <x:c r="M29" s="29"/>
      <x:c r="N29" s="19"/>
      <x:c r="O29" s="19"/>
      <x:c r="P29" s="19"/>
      <x:c r="Q29" s="16"/>
      <x:c r="R29" s="19"/>
      <x:c r="S29" s="29"/>
      <x:c r="T29" s="21"/>
      <x:c r="U29" s="22"/>
      <x:c r="V29" s="23"/>
      <x:c r="W29" s="12"/>
      <x:c r="X29" s="24"/>
      <x:c r="Y29" s="24"/>
      <x:c r="Z29" s="12"/>
      <x:c r="AA29" s="13"/>
      <x:c r="AB29" s="13"/>
      <x:c r="AC29" s="12"/>
      <x:c r="AD29" s="13"/>
      <x:c r="AE29" s="13"/>
      <x:c r="AF29" s="13"/>
      <x:c r="AG29" s="12"/>
    </x:row>
    <x:row r="30" ht="51.75" hidden="0" customHeight="1">
      <x:c r="A30" s="30" t="n">
        <x:v>213.21</x:v>
      </x:c>
      <x:c r="B30" s="9" t="n">
        <x:f aca="0">IF(ISNUMBER(A30),
IF(AND(A30=INT(A30), MOD(A30, 10) = 0), 0,
IF(AND(A30=INT(A30), LEN(A30)=2), 1,
IF(AND(A30=INT(A30), LEN(A30)=3), 2,
LEN(A30) - FIND(".", A30) + 2)
)
),
"")</x:f>
        <x:v>4</x:v>
      </x:c>
      <x:c r="C30" s="15" t="s">
        <x:v>121</x:v>
      </x:c>
      <x:c r="D30" s="10" t="str">
        <x:f aca="0">REPT("   ", B30*2) &amp; C30</x:f>
        <x:v>                        Control Building Slab Roof</x:v>
      </x:c>
      <x:c r="E30" s="10" t="s">
        <x:v>35</x:v>
      </x:c>
      <x:c r="F30" s="10"/>
      <x:c r="G30" s="10"/>
      <x:c r="H30" s="10"/>
      <x:c r="I30" s="10"/>
      <x:c r="J30" s="16"/>
      <x:c r="K30" s="17" t="n">
        <x:f aca="0">1200</x:f>
        <x:v>1200</x:v>
      </x:c>
      <x:c r="L30" s="18" t="s">
        <x:v>80</x:v>
      </x:c>
      <x:c r="M30" s="21" t="s">
        <x:v>122</x:v>
      </x:c>
      <x:c r="N30" s="19"/>
      <x:c r="O30" s="18" t="s">
        <x:v>82</x:v>
      </x:c>
      <x:c r="P30" s="19"/>
      <x:c r="Q30" s="20" t="n">
        <x:v>2024</x:v>
      </x:c>
      <x:c r="R30" s="18" t="s">
        <x:v>96</x:v>
      </x:c>
      <x:c r="S30" s="21" t="s">
        <x:v>115</x:v>
      </x:c>
      <x:c r="T30" s="21" t="s">
        <x:v>75</x:v>
      </x:c>
      <x:c r="U30" s="32" t="s">
        <x:v>76</x:v>
      </x:c>
      <x:c r="V30" s="23"/>
      <x:c r="W30" s="12" t="s">
        <x:v>77</x:v>
      </x:c>
      <x:c r="X30" s="24" t="n">
        <x:f aca="0">0.9*$J30</x:f>
        <x:v>0</x:v>
      </x:c>
      <x:c r="Y30" s="24" t="n">
        <x:f aca="0">1.5*J30</x:f>
        <x:v>0</x:v>
      </x:c>
      <x:c r="Z30" s="12" t="s">
        <x:v>44</x:v>
      </x:c>
      <x:c r="AA30" s="13" t="n">
        <x:f aca="0">0.9*K30</x:f>
        <x:v>1080</x:v>
      </x:c>
      <x:c r="AB30" s="13" t="n">
        <x:f aca="0">1.3*K30</x:f>
        <x:v>1560</x:v>
      </x:c>
      <x:c r="AC30" s="12" t="s">
        <x:v>44</x:v>
      </x:c>
      <x:c r="AD30" s="13" t="s">
        <x:v>45</x:v>
      </x:c>
      <x:c r="AE30" s="13" t="s">
        <x:v>46</x:v>
      </x:c>
      <x:c r="AF30" s="13" t="s">
        <x:v>47</x:v>
      </x:c>
      <x:c r="AG30" s="12" t="s">
        <x:v>48</x:v>
      </x:c>
    </x:row>
    <x:row r="31" ht="51.75" hidden="0" customHeight="1">
      <x:c r="A31" s="30" t="n">
        <x:v>213.22</x:v>
      </x:c>
      <x:c r="B31" s="9" t="n">
        <x:f aca="0">IF(ISNUMBER(A31),
IF(AND(A31=INT(A31), MOD(A31, 10) = 0), 0,
IF(AND(A31=INT(A31), LEN(A31)=2), 1,
IF(AND(A31=INT(A31), LEN(A31)=3), 2,
LEN(A31) - FIND(".", A31) + 2)
)
),
"")</x:f>
        <x:v>4</x:v>
      </x:c>
      <x:c r="C31" s="15" t="s">
        <x:v>123</x:v>
      </x:c>
      <x:c r="D31" s="10" t="str">
        <x:f aca="0">REPT("   ", B31*2) &amp; C31</x:f>
        <x:v>                        Control Building Basement</x:v>
      </x:c>
      <x:c r="E31" s="10" t="s">
        <x:v>35</x:v>
      </x:c>
      <x:c r="F31" s="10"/>
      <x:c r="G31" s="10"/>
      <x:c r="H31" s="10"/>
      <x:c r="I31" s="10"/>
      <x:c r="J31" s="16"/>
      <x:c r="K31" s="17" t="n">
        <x:f aca="0">943.9</x:f>
        <x:v>943.9</x:v>
      </x:c>
      <x:c r="L31" s="18" t="s">
        <x:v>80</x:v>
      </x:c>
      <x:c r="M31" s="21" t="s">
        <x:v>124</x:v>
      </x:c>
      <x:c r="N31" s="19"/>
      <x:c r="O31" s="18" t="s">
        <x:v>82</x:v>
      </x:c>
      <x:c r="P31" s="19"/>
      <x:c r="Q31" s="20" t="n">
        <x:v>2024</x:v>
      </x:c>
      <x:c r="R31" s="18" t="s">
        <x:v>96</x:v>
      </x:c>
      <x:c r="S31" s="21"/>
      <x:c r="T31" s="21"/>
      <x:c r="U31" s="21"/>
      <x:c r="V31" s="23"/>
      <x:c r="W31" s="12" t="s">
        <x:v>77</x:v>
      </x:c>
      <x:c r="X31" s="24" t="n">
        <x:f aca="0">0.9*$J31</x:f>
        <x:v>0</x:v>
      </x:c>
      <x:c r="Y31" s="24" t="n">
        <x:f aca="0">1.5*J31</x:f>
        <x:v>0</x:v>
      </x:c>
      <x:c r="Z31" s="12" t="s">
        <x:v>44</x:v>
      </x:c>
      <x:c r="AA31" s="13" t="n">
        <x:f aca="0">0.9*K31</x:f>
        <x:v>849.51</x:v>
      </x:c>
      <x:c r="AB31" s="13" t="n">
        <x:f aca="0">1.3*K31</x:f>
        <x:v>1227.07</x:v>
      </x:c>
      <x:c r="AC31" s="12" t="s">
        <x:v>44</x:v>
      </x:c>
      <x:c r="AD31" s="13" t="s">
        <x:v>45</x:v>
      </x:c>
      <x:c r="AE31" s="13" t="s">
        <x:v>46</x:v>
      </x:c>
      <x:c r="AF31" s="13" t="s">
        <x:v>47</x:v>
      </x:c>
      <x:c r="AG31" s="12" t="s">
        <x:v>48</x:v>
      </x:c>
    </x:row>
    <x:row r="32" ht="75.75" hidden="0" customHeight="1">
      <x:c r="A32" s="30" t="n">
        <x:v>213.23</x:v>
      </x:c>
      <x:c r="B32" s="9" t="n">
        <x:f aca="0">IF(ISNUMBER(A32),
IF(AND(A32=INT(A32), MOD(A32, 10) = 0), 0,
IF(AND(A32=INT(A32), LEN(A32)=2), 1,
IF(AND(A32=INT(A32), LEN(A32)=3), 2,
LEN(A32) - FIND(".", A32) + 2)
)
),
"")</x:f>
        <x:v>4</x:v>
      </x:c>
      <x:c r="C32" s="15" t="s">
        <x:v>125</x:v>
      </x:c>
      <x:c r="D32" s="10" t="str">
        <x:f aca="0">REPT("   ", B32*2) &amp; C32</x:f>
        <x:v>                        Control Building Walls</x:v>
      </x:c>
      <x:c r="E32" s="10" t="s">
        <x:v>35</x:v>
      </x:c>
      <x:c r="F32" s="10"/>
      <x:c r="G32" s="10"/>
      <x:c r="H32" s="10"/>
      <x:c r="I32" s="10"/>
      <x:c r="J32" s="16"/>
      <x:c r="K32" s="17" t="n">
        <x:f aca="0">721.21</x:f>
        <x:v>721.21</x:v>
      </x:c>
      <x:c r="L32" s="18" t="s">
        <x:v>80</x:v>
      </x:c>
      <x:c r="M32" s="21" t="s">
        <x:v>126</x:v>
      </x:c>
      <x:c r="N32" s="19"/>
      <x:c r="O32" s="18" t="s">
        <x:v>82</x:v>
      </x:c>
      <x:c r="P32" s="19"/>
      <x:c r="Q32" s="20" t="n">
        <x:v>2024</x:v>
      </x:c>
      <x:c r="R32" s="18" t="s">
        <x:v>96</x:v>
      </x:c>
      <x:c r="S32" s="21"/>
      <x:c r="T32" s="21"/>
      <x:c r="U32" s="21"/>
      <x:c r="V32" s="23"/>
      <x:c r="W32" s="12" t="s">
        <x:v>77</x:v>
      </x:c>
      <x:c r="X32" s="24" t="n">
        <x:f aca="0">0.9*$J32</x:f>
        <x:v>0</x:v>
      </x:c>
      <x:c r="Y32" s="24" t="n">
        <x:f aca="0">1.5*J32</x:f>
        <x:v>0</x:v>
      </x:c>
      <x:c r="Z32" s="12" t="s">
        <x:v>44</x:v>
      </x:c>
      <x:c r="AA32" s="13" t="n">
        <x:f aca="0">0.9*K32</x:f>
        <x:v>649.089</x:v>
      </x:c>
      <x:c r="AB32" s="13" t="n">
        <x:f aca="0">1.3*K32</x:f>
        <x:v>937.5730000000001</x:v>
      </x:c>
      <x:c r="AC32" s="12" t="s">
        <x:v>44</x:v>
      </x:c>
      <x:c r="AD32" s="13" t="s">
        <x:v>45</x:v>
      </x:c>
      <x:c r="AE32" s="13" t="s">
        <x:v>46</x:v>
      </x:c>
      <x:c r="AF32" s="13" t="s">
        <x:v>47</x:v>
      </x:c>
      <x:c r="AG32" s="12" t="s">
        <x:v>48</x:v>
      </x:c>
    </x:row>
    <x:row r="33" ht="26.25" hidden="0" customHeight="1">
      <x:c r="A33" s="30" t="n">
        <x:v>213.3</x:v>
      </x:c>
      <x:c r="B33" s="9" t="n">
        <x:f aca="0">IF(ISNUMBER(A33),
IF(AND(A33=INT(A33), MOD(A33, 10) = 0), 0,
IF(AND(A33=INT(A33), LEN(A33)=2), 1,
IF(AND(A33=INT(A33), LEN(A33)=3), 2,
LEN(A33) - FIND(".", A33) + 2)
)
),
"")</x:f>
        <x:v>3</x:v>
      </x:c>
      <x:c r="C33" s="15" t="s">
        <x:v>127</x:v>
      </x:c>
      <x:c r="D33" s="10" t="str">
        <x:f aca="0">REPT("   ", B33*2) &amp; C33</x:f>
        <x:v>                  Integrated Heat Exchanger Building</x:v>
      </x:c>
      <x:c r="E33" s="10"/>
      <x:c r="F33" s="10" t="s">
        <x:v>128</x:v>
      </x:c>
      <x:c r="G33" s="10" t="s">
        <x:v>129</x:v>
      </x:c>
      <x:c r="H33" s="10"/>
      <x:c r="I33" s="10"/>
      <x:c r="J33" s="16"/>
      <x:c r="K33" s="17"/>
      <x:c r="L33" s="18"/>
      <x:c r="M33" s="21"/>
      <x:c r="N33" s="19"/>
      <x:c r="O33" s="18"/>
      <x:c r="P33" s="19"/>
      <x:c r="Q33" s="20"/>
      <x:c r="R33" s="18"/>
      <x:c r="S33" s="21"/>
      <x:c r="T33" s="21"/>
      <x:c r="U33" s="22"/>
      <x:c r="V33" s="23"/>
      <x:c r="W33" s="12"/>
      <x:c r="X33" s="24"/>
      <x:c r="Y33" s="24"/>
      <x:c r="Z33" s="12"/>
      <x:c r="AA33" s="13"/>
      <x:c r="AB33" s="13"/>
      <x:c r="AC33" s="12"/>
      <x:c r="AD33" s="13"/>
      <x:c r="AE33" s="13"/>
      <x:c r="AF33" s="13"/>
      <x:c r="AG33" s="12"/>
    </x:row>
    <x:row r="34" ht="75.75" hidden="0" customHeight="1">
      <x:c r="A34" s="30" t="n">
        <x:v>213.31</x:v>
      </x:c>
      <x:c r="B34" s="9" t="n">
        <x:f aca="0">IF(ISNUMBER(A34),
IF(AND(A34=INT(A34), MOD(A34, 10) = 0), 0,
IF(AND(A34=INT(A34), LEN(A34)=2), 1,
IF(AND(A34=INT(A34), LEN(A34)=3), 2,
LEN(A34) - FIND(".", A34) + 2)
)
),
"")</x:f>
        <x:v>4</x:v>
      </x:c>
      <x:c r="C34" s="15" t="s">
        <x:v>130</x:v>
      </x:c>
      <x:c r="D34" s="10" t="str">
        <x:f aca="0">REPT("   ", B34*2) &amp; C34</x:f>
        <x:v>                        Integrated Heat Exchanger Building Slab Roof</x:v>
      </x:c>
      <x:c r="E34" s="10" t="s">
        <x:v>35</x:v>
      </x:c>
      <x:c r="F34" s="10" t="s">
        <x:v>128</x:v>
      </x:c>
      <x:c r="G34" s="10" t="s">
        <x:v>129</x:v>
      </x:c>
      <x:c r="H34" s="10"/>
      <x:c r="I34" s="10"/>
      <x:c r="J34" s="16"/>
      <x:c r="K34" s="17" t="n">
        <x:f aca="0">1200</x:f>
        <x:v>1200</x:v>
      </x:c>
      <x:c r="L34" s="18" t="s">
        <x:v>80</x:v>
      </x:c>
      <x:c r="M34" s="21" t="s">
        <x:v>131</x:v>
      </x:c>
      <x:c r="N34" s="19"/>
      <x:c r="O34" s="18" t="s">
        <x:v>82</x:v>
      </x:c>
      <x:c r="P34" s="19"/>
      <x:c r="Q34" s="20" t="n">
        <x:v>2024</x:v>
      </x:c>
      <x:c r="R34" s="18" t="s">
        <x:v>96</x:v>
      </x:c>
      <x:c r="S34" s="21" t="s">
        <x:v>115</x:v>
      </x:c>
      <x:c r="T34" s="21" t="s">
        <x:v>75</x:v>
      </x:c>
      <x:c r="U34" s="32" t="s">
        <x:v>76</x:v>
      </x:c>
      <x:c r="V34" s="23"/>
      <x:c r="W34" s="12" t="s">
        <x:v>77</x:v>
      </x:c>
      <x:c r="X34" s="24" t="n">
        <x:f aca="0">0.9*$J34</x:f>
        <x:v>0</x:v>
      </x:c>
      <x:c r="Y34" s="24" t="n">
        <x:f aca="0">1.5*J34</x:f>
        <x:v>0</x:v>
      </x:c>
      <x:c r="Z34" s="12" t="s">
        <x:v>44</x:v>
      </x:c>
      <x:c r="AA34" s="13" t="n">
        <x:f aca="0">0.9*K34</x:f>
        <x:v>1080</x:v>
      </x:c>
      <x:c r="AB34" s="13" t="n">
        <x:f aca="0">1.3*K34</x:f>
        <x:v>1560</x:v>
      </x:c>
      <x:c r="AC34" s="12" t="s">
        <x:v>44</x:v>
      </x:c>
      <x:c r="AD34" s="13" t="s">
        <x:v>45</x:v>
      </x:c>
      <x:c r="AE34" s="13" t="s">
        <x:v>46</x:v>
      </x:c>
      <x:c r="AF34" s="13" t="s">
        <x:v>47</x:v>
      </x:c>
      <x:c r="AG34" s="12" t="s">
        <x:v>48</x:v>
      </x:c>
    </x:row>
    <x:row r="35" ht="75.75" hidden="0" customHeight="1">
      <x:c r="A35" s="30" t="n">
        <x:v>213.32</x:v>
      </x:c>
      <x:c r="B35" s="9" t="n">
        <x:f aca="0">IF(ISNUMBER(A35),
IF(AND(A35=INT(A35), MOD(A35, 10) = 0), 0,
IF(AND(A35=INT(A35), LEN(A35)=2), 1,
IF(AND(A35=INT(A35), LEN(A35)=3), 2,
LEN(A35) - FIND(".", A35) + 2)
)
),
"")</x:f>
        <x:v>4</x:v>
      </x:c>
      <x:c r="C35" s="15" t="s">
        <x:v>132</x:v>
      </x:c>
      <x:c r="D35" s="10" t="str">
        <x:f aca="0">REPT("   ", B35*2) &amp; C35</x:f>
        <x:v>                        Integrated Heat Exchanger Building Basement</x:v>
      </x:c>
      <x:c r="E35" s="10" t="s">
        <x:v>35</x:v>
      </x:c>
      <x:c r="F35" s="10" t="s">
        <x:v>128</x:v>
      </x:c>
      <x:c r="G35" s="10" t="s">
        <x:v>129</x:v>
      </x:c>
      <x:c r="H35" s="10"/>
      <x:c r="I35" s="10"/>
      <x:c r="J35" s="16"/>
      <x:c r="K35" s="17" t="n">
        <x:f aca="0">943.9</x:f>
        <x:v>943.9</x:v>
      </x:c>
      <x:c r="L35" s="18" t="s">
        <x:v>80</x:v>
      </x:c>
      <x:c r="M35" s="21" t="s">
        <x:v>133</x:v>
      </x:c>
      <x:c r="N35" s="19"/>
      <x:c r="O35" s="18" t="s">
        <x:v>82</x:v>
      </x:c>
      <x:c r="P35" s="19"/>
      <x:c r="Q35" s="20" t="n">
        <x:v>2024</x:v>
      </x:c>
      <x:c r="R35" s="18" t="s">
        <x:v>96</x:v>
      </x:c>
      <x:c r="S35" s="21"/>
      <x:c r="T35" s="21"/>
      <x:c r="U35" s="21"/>
      <x:c r="V35" s="23"/>
      <x:c r="W35" s="12" t="s">
        <x:v>77</x:v>
      </x:c>
      <x:c r="X35" s="24" t="n">
        <x:f aca="0">0.9*$J35</x:f>
        <x:v>0</x:v>
      </x:c>
      <x:c r="Y35" s="24" t="n">
        <x:f aca="0">1.5*J35</x:f>
        <x:v>0</x:v>
      </x:c>
      <x:c r="Z35" s="12" t="s">
        <x:v>44</x:v>
      </x:c>
      <x:c r="AA35" s="13" t="n">
        <x:f aca="0">0.9*K35</x:f>
        <x:v>849.51</x:v>
      </x:c>
      <x:c r="AB35" s="13" t="n">
        <x:f aca="0">1.3*K35</x:f>
        <x:v>1227.07</x:v>
      </x:c>
      <x:c r="AC35" s="12" t="s">
        <x:v>44</x:v>
      </x:c>
      <x:c r="AD35" s="13" t="s">
        <x:v>45</x:v>
      </x:c>
      <x:c r="AE35" s="13" t="s">
        <x:v>46</x:v>
      </x:c>
      <x:c r="AF35" s="13" t="s">
        <x:v>47</x:v>
      </x:c>
      <x:c r="AG35" s="12" t="s">
        <x:v>48</x:v>
      </x:c>
    </x:row>
    <x:row r="36" ht="101.25" hidden="0" customHeight="1">
      <x:c r="A36" s="30" t="n">
        <x:v>213.33</x:v>
      </x:c>
      <x:c r="B36" s="9" t="n">
        <x:f aca="0">IF(ISNUMBER(A36),
IF(AND(A36=INT(A36), MOD(A36, 10) = 0), 0,
IF(AND(A36=INT(A36), LEN(A36)=2), 1,
IF(AND(A36=INT(A36), LEN(A36)=3), 2,
LEN(A36) - FIND(".", A36) + 2)
)
),
"")</x:f>
        <x:v>4</x:v>
      </x:c>
      <x:c r="C36" s="15" t="s">
        <x:v>134</x:v>
      </x:c>
      <x:c r="D36" s="10" t="str">
        <x:f aca="0">REPT("   ", B36*2) &amp; C36</x:f>
        <x:v>                        Integrated Heat Exchanger Building Walls</x:v>
      </x:c>
      <x:c r="E36" s="10" t="s">
        <x:v>35</x:v>
      </x:c>
      <x:c r="F36" s="10" t="s">
        <x:v>128</x:v>
      </x:c>
      <x:c r="G36" s="10" t="s">
        <x:v>129</x:v>
      </x:c>
      <x:c r="H36" s="10"/>
      <x:c r="I36" s="10"/>
      <x:c r="J36" s="16"/>
      <x:c r="K36" s="17" t="n">
        <x:f aca="0">721.21</x:f>
        <x:v>721.21</x:v>
      </x:c>
      <x:c r="L36" s="18" t="s">
        <x:v>80</x:v>
      </x:c>
      <x:c r="M36" s="21" t="s">
        <x:v>135</x:v>
      </x:c>
      <x:c r="N36" s="19"/>
      <x:c r="O36" s="18" t="s">
        <x:v>82</x:v>
      </x:c>
      <x:c r="P36" s="19"/>
      <x:c r="Q36" s="20" t="n">
        <x:v>2024</x:v>
      </x:c>
      <x:c r="R36" s="18" t="s">
        <x:v>96</x:v>
      </x:c>
      <x:c r="S36" s="21"/>
      <x:c r="T36" s="21"/>
      <x:c r="U36" s="21"/>
      <x:c r="V36" s="23"/>
      <x:c r="W36" s="12" t="s">
        <x:v>77</x:v>
      </x:c>
      <x:c r="X36" s="24" t="n">
        <x:f aca="0">0.9*$J36</x:f>
        <x:v>0</x:v>
      </x:c>
      <x:c r="Y36" s="24" t="n">
        <x:f aca="0">1.5*J36</x:f>
        <x:v>0</x:v>
      </x:c>
      <x:c r="Z36" s="12" t="s">
        <x:v>44</x:v>
      </x:c>
      <x:c r="AA36" s="13" t="n">
        <x:f aca="0">0.9*K36</x:f>
        <x:v>649.089</x:v>
      </x:c>
      <x:c r="AB36" s="13" t="n">
        <x:f aca="0">1.3*K36</x:f>
        <x:v>937.5730000000001</x:v>
      </x:c>
      <x:c r="AC36" s="12" t="s">
        <x:v>44</x:v>
      </x:c>
      <x:c r="AD36" s="13" t="s">
        <x:v>45</x:v>
      </x:c>
      <x:c r="AE36" s="13" t="s">
        <x:v>46</x:v>
      </x:c>
      <x:c r="AF36" s="13" t="s">
        <x:v>47</x:v>
      </x:c>
      <x:c r="AG36" s="12" t="s">
        <x:v>48</x:v>
      </x:c>
    </x:row>
    <x:row r="37" ht="101.25" hidden="0" customHeight="1">
      <x:c r="A37" s="30" t="n">
        <x:v>213.34</x:v>
      </x:c>
      <x:c r="B37" s="9" t="n">
        <x:f aca="0">IF(ISNUMBER(A37),
IF(AND(A37=INT(A37), MOD(A37, 10) = 0), 0,
IF(AND(A37=INT(A37), LEN(A37)=2), 1,
IF(AND(A37=INT(A37), LEN(A37)=3), 2,
LEN(A37) - FIND(".", A37) + 2)
)
),
"")</x:f>
        <x:v>4</x:v>
      </x:c>
      <x:c r="C37" s="15" t="s">
        <x:v>136</x:v>
      </x:c>
      <x:c r="D37" s="10" t="str">
        <x:f aca="0">REPT("   ", B37*2) &amp; C37</x:f>
        <x:v>                        Integrated Heat Exchanger Building Liner</x:v>
      </x:c>
      <x:c r="E37" s="10" t="s">
        <x:v>35</x:v>
      </x:c>
      <x:c r="F37" s="10" t="s">
        <x:v>128</x:v>
      </x:c>
      <x:c r="G37" s="10" t="s">
        <x:v>129</x:v>
      </x:c>
      <x:c r="H37" s="10"/>
      <x:c r="I37" s="10"/>
      <x:c r="J37" s="16"/>
      <x:c r="K37" s="17" t="n">
        <x:f aca="0">60848829/9373</x:f>
        <x:v>6491.926704363597</x:v>
      </x:c>
      <x:c r="L37" s="18" t="s">
        <x:v>102</x:v>
      </x:c>
      <x:c r="M37" s="21" t="s">
        <x:v>137</x:v>
      </x:c>
      <x:c r="N37" s="19" t="n">
        <x:v>9373</x:v>
      </x:c>
      <x:c r="O37" s="18" t="s">
        <x:v>104</x:v>
      </x:c>
      <x:c r="P37" s="19" t="n">
        <x:v>1</x:v>
      </x:c>
      <x:c r="Q37" s="20" t="n">
        <x:v>2018</x:v>
      </x:c>
      <x:c r="R37" s="18" t="s">
        <x:v>96</x:v>
      </x:c>
      <x:c r="S37" s="21" t="s">
        <x:v>105</x:v>
      </x:c>
      <x:c r="T37" s="21" t="s">
        <x:v>105</x:v>
      </x:c>
      <x:c r="U37" s="35" t="s">
        <x:v>106</x:v>
      </x:c>
      <x:c r="V37" s="23"/>
      <x:c r="W37" s="12" t="s">
        <x:v>77</x:v>
      </x:c>
      <x:c r="X37" s="24" t="n">
        <x:f aca="0">0.9*$J37</x:f>
        <x:v>0</x:v>
      </x:c>
      <x:c r="Y37" s="24" t="n">
        <x:f aca="0">1.5*J37</x:f>
        <x:v>0</x:v>
      </x:c>
      <x:c r="Z37" s="12" t="s">
        <x:v>44</x:v>
      </x:c>
      <x:c r="AA37" s="13" t="n">
        <x:f aca="0">0.9*K37</x:f>
        <x:v>5842.734033927238</x:v>
      </x:c>
      <x:c r="AB37" s="13" t="n">
        <x:f aca="0">1.3*K37</x:f>
        <x:v>8439.504715672676</x:v>
      </x:c>
      <x:c r="AC37" s="12" t="s">
        <x:v>44</x:v>
      </x:c>
      <x:c r="AD37" s="13" t="s">
        <x:v>45</x:v>
      </x:c>
      <x:c r="AE37" s="13" t="s">
        <x:v>46</x:v>
      </x:c>
      <x:c r="AF37" s="13" t="s">
        <x:v>47</x:v>
      </x:c>
      <x:c r="AG37" s="12" t="s">
        <x:v>48</x:v>
      </x:c>
    </x:row>
    <x:row r="38" ht="26.25" hidden="0" customHeight="1">
      <x:c r="A38" s="30" t="n">
        <x:v>214</x:v>
      </x:c>
      <x:c r="B38" s="9" t="n">
        <x:f aca="0">IF(ISNUMBER(A38),
IF(AND(A38=INT(A38), MOD(A38, 10) = 0), 0,
IF(AND(A38=INT(A38), LEN(A38)=2), 1,
IF(AND(A38=INT(A38), LEN(A38)=3), 2,
LEN(A38) - FIND(".", A38) + 2)
)
),
"")</x:f>
        <x:v>2</x:v>
      </x:c>
      <x:c r="C38" s="15" t="s">
        <x:v>138</x:v>
      </x:c>
      <x:c r="D38" s="10" t="str">
        <x:f aca="0">REPT("   ", B38*2) &amp; C38</x:f>
        <x:v>            Buildings to Support Main Function </x:v>
      </x:c>
      <x:c r="E38" s="10"/>
      <x:c r="F38" s="10"/>
      <x:c r="G38" s="10"/>
      <x:c r="H38" s="10"/>
      <x:c r="I38" s="10"/>
      <x:c r="J38" s="16"/>
      <x:c r="K38" s="17"/>
      <x:c r="L38" s="19"/>
      <x:c r="M38" s="29"/>
      <x:c r="N38" s="19"/>
      <x:c r="O38" s="19"/>
      <x:c r="P38" s="19"/>
      <x:c r="Q38" s="16"/>
      <x:c r="R38" s="19"/>
      <x:c r="S38" s="29"/>
      <x:c r="T38" s="18"/>
      <x:c r="U38" s="23"/>
      <x:c r="V38" s="23"/>
      <x:c r="W38" s="12"/>
      <x:c r="X38" s="24"/>
      <x:c r="Y38" s="24"/>
      <x:c r="Z38" s="12"/>
      <x:c r="AA38" s="13"/>
      <x:c r="AB38" s="13"/>
      <x:c r="AC38" s="12"/>
      <x:c r="AD38" s="13"/>
      <x:c r="AE38" s="13"/>
      <x:c r="AF38" s="13"/>
      <x:c r="AG38" s="12"/>
    </x:row>
    <x:row r="39" ht="26.25" hidden="0" customHeight="1">
      <x:c r="A39" s="30" t="n">
        <x:v>214.1</x:v>
      </x:c>
      <x:c r="B39" s="9" t="n">
        <x:f aca="0">IF(ISNUMBER(A39),
IF(AND(A39=INT(A39), MOD(A39, 10) = 0), 0,
IF(AND(A39=INT(A39), LEN(A39)=2), 1,
IF(AND(A39=INT(A39), LEN(A39)=3), 2,
LEN(A39) - FIND(".", A39) + 2)
)
),
"")</x:f>
        <x:v>3</x:v>
      </x:c>
      <x:c r="C39" s="15" t="s">
        <x:v>139</x:v>
      </x:c>
      <x:c r="D39" s="10" t="str">
        <x:f aca="0">REPT("   ", B39*2) &amp; C39</x:f>
        <x:v>                  Fuel Management Buildings</x:v>
      </x:c>
      <x:c r="E39" s="10"/>
      <x:c r="F39" s="10"/>
      <x:c r="G39" s="10"/>
      <x:c r="H39" s="10"/>
      <x:c r="I39" s="10"/>
      <x:c r="J39" s="16"/>
      <x:c r="K39" s="17"/>
      <x:c r="L39" s="19"/>
      <x:c r="M39" s="29"/>
      <x:c r="N39" s="19"/>
      <x:c r="O39" s="19"/>
      <x:c r="P39" s="19"/>
      <x:c r="Q39" s="16"/>
      <x:c r="R39" s="19"/>
      <x:c r="S39" s="29"/>
      <x:c r="T39" s="18"/>
      <x:c r="U39" s="23"/>
      <x:c r="V39" s="23"/>
      <x:c r="W39" s="12"/>
      <x:c r="X39" s="24"/>
      <x:c r="Y39" s="24"/>
      <x:c r="Z39" s="12"/>
      <x:c r="AA39" s="13"/>
      <x:c r="AB39" s="13"/>
      <x:c r="AC39" s="12"/>
      <x:c r="AD39" s="13"/>
      <x:c r="AE39" s="13"/>
      <x:c r="AF39" s="13"/>
      <x:c r="AG39" s="12"/>
    </x:row>
    <x:row r="40" ht="26.25" hidden="0" customHeight="1">
      <x:c r="A40" s="30" t="n">
        <x:v>214.11</x:v>
      </x:c>
      <x:c r="B40" s="9" t="n">
        <x:f aca="0">IF(ISNUMBER(A40),
IF(AND(A40=INT(A40), MOD(A40, 10) = 0), 0,
IF(AND(A40=INT(A40), LEN(A40)=2), 1,
IF(AND(A40=INT(A40), LEN(A40)=3), 2,
LEN(A40) - FIND(".", A40) + 2)
)
),
"")</x:f>
        <x:v>4</x:v>
      </x:c>
      <x:c r="C40" s="15" t="s">
        <x:v>140</x:v>
      </x:c>
      <x:c r="D40" s="10" t="str">
        <x:f aca="0">REPT("   ", B40*2) &amp; C40</x:f>
        <x:v>                        Refueling Building</x:v>
      </x:c>
      <x:c r="E40" s="10"/>
      <x:c r="F40" s="10"/>
      <x:c r="G40" s="10"/>
      <x:c r="H40" s="10"/>
      <x:c r="I40" s="10"/>
      <x:c r="J40" s="16"/>
      <x:c r="K40" s="17"/>
      <x:c r="L40" s="19"/>
      <x:c r="M40" s="29"/>
      <x:c r="N40" s="19"/>
      <x:c r="O40" s="19"/>
      <x:c r="P40" s="19"/>
      <x:c r="Q40" s="16"/>
      <x:c r="R40" s="19"/>
      <x:c r="S40" s="29"/>
      <x:c r="T40" s="18"/>
      <x:c r="U40" s="23"/>
      <x:c r="V40" s="23"/>
      <x:c r="W40" s="12"/>
      <x:c r="X40" s="24"/>
      <x:c r="Y40" s="24"/>
      <x:c r="Z40" s="12"/>
      <x:c r="AA40" s="13"/>
      <x:c r="AB40" s="13"/>
      <x:c r="AC40" s="12"/>
      <x:c r="AD40" s="13"/>
      <x:c r="AE40" s="13"/>
      <x:c r="AF40" s="13"/>
      <x:c r="AG40" s="12"/>
    </x:row>
    <x:row r="41" s="36" customFormat="1" ht="49.5" hidden="0" customHeight="1">
      <x:c r="A41" s="30" t="n">
        <x:v>214.111</x:v>
      </x:c>
      <x:c r="B41" s="9" t="n">
        <x:f aca="0">IF(ISNUMBER(A41),
IF(AND(A41=INT(A41), MOD(A41, 10) = 0), 0,
IF(AND(A41=INT(A41), LEN(A41)=2), 1,
IF(AND(A41=INT(A41), LEN(A41)=3), 2,
LEN(A41) - FIND(".", A41) + 2)
)
),
"")</x:f>
        <x:v>5</x:v>
      </x:c>
      <x:c r="C41" s="15" t="s">
        <x:v>141</x:v>
      </x:c>
      <x:c r="D41" s="10" t="str">
        <x:f aca="0">REPT("   ", B41*2) &amp; C41</x:f>
        <x:v>                              Refueling Building Slab Roof</x:v>
      </x:c>
      <x:c r="E41" s="10" t="s">
        <x:v>35</x:v>
      </x:c>
      <x:c r="F41" s="10"/>
      <x:c r="G41" s="10"/>
      <x:c r="H41" s="10"/>
      <x:c r="I41" s="10"/>
      <x:c r="J41" s="16"/>
      <x:c r="K41" s="17" t="n">
        <x:f aca="0">1200 *1.53</x:f>
        <x:v>1836</x:v>
      </x:c>
      <x:c r="L41" s="18" t="s">
        <x:v>80</x:v>
      </x:c>
      <x:c r="M41" s="21" t="s">
        <x:v>142</x:v>
      </x:c>
      <x:c r="N41" s="19"/>
      <x:c r="O41" s="18" t="s">
        <x:v>82</x:v>
      </x:c>
      <x:c r="P41" s="19"/>
      <x:c r="Q41" s="20" t="n">
        <x:v>2024</x:v>
      </x:c>
      <x:c r="R41" s="18" t="s">
        <x:v>96</x:v>
      </x:c>
      <x:c r="S41" s="21" t="s">
        <x:v>74</x:v>
      </x:c>
      <x:c r="T41" s="21" t="s">
        <x:v>75</x:v>
      </x:c>
      <x:c r="U41" s="32" t="s">
        <x:v>76</x:v>
      </x:c>
      <x:c r="V41" s="23"/>
      <x:c r="W41" s="12" t="s">
        <x:v>77</x:v>
      </x:c>
      <x:c r="X41" s="24" t="n">
        <x:f aca="0">0.9*$J41</x:f>
        <x:v>0</x:v>
      </x:c>
      <x:c r="Y41" s="24" t="n">
        <x:f aca="0">1.5*J41</x:f>
        <x:v>0</x:v>
      </x:c>
      <x:c r="Z41" s="12"/>
      <x:c r="AA41" s="13" t="n">
        <x:f aca="0">0.9*K41</x:f>
        <x:v>1652.4</x:v>
      </x:c>
      <x:c r="AB41" s="13" t="n">
        <x:f aca="0">1.3*K41</x:f>
        <x:v>2386.8</x:v>
      </x:c>
      <x:c r="AC41" s="12" t="s">
        <x:v>44</x:v>
      </x:c>
      <x:c r="AD41" s="13" t="s">
        <x:v>45</x:v>
      </x:c>
      <x:c r="AE41" s="13" t="s">
        <x:v>46</x:v>
      </x:c>
      <x:c r="AF41" s="13" t="s">
        <x:v>47</x:v>
      </x:c>
      <x:c r="AG41" s="12" t="s">
        <x:v>48</x:v>
      </x:c>
    </x:row>
    <x:row r="42" s="36" customFormat="1" ht="49.5" hidden="0" customHeight="1">
      <x:c r="A42" s="30" t="n">
        <x:v>214.112</x:v>
      </x:c>
      <x:c r="B42" s="9" t="n">
        <x:f aca="0">IF(ISNUMBER(A42),
IF(AND(A42=INT(A42), MOD(A42, 10) = 0), 0,
IF(AND(A42=INT(A42), LEN(A42)=2), 1,
IF(AND(A42=INT(A42), LEN(A42)=3), 2,
LEN(A42) - FIND(".", A42) + 2)
)
),
"")</x:f>
        <x:v>5</x:v>
      </x:c>
      <x:c r="C42" s="15" t="s">
        <x:v>143</x:v>
      </x:c>
      <x:c r="D42" s="10" t="str">
        <x:f aca="0">REPT("   ", B42*2) &amp; C42</x:f>
        <x:v>                              Refueling Building Basement</x:v>
      </x:c>
      <x:c r="E42" s="10" t="s">
        <x:v>35</x:v>
      </x:c>
      <x:c r="F42" s="10"/>
      <x:c r="G42" s="10"/>
      <x:c r="H42" s="10"/>
      <x:c r="I42" s="10"/>
      <x:c r="J42" s="16"/>
      <x:c r="K42" s="17" t="n">
        <x:f aca="0">943.9*1.53</x:f>
        <x:v>1444.167</x:v>
      </x:c>
      <x:c r="L42" s="18" t="s">
        <x:v>80</x:v>
      </x:c>
      <x:c r="M42" s="21" t="s">
        <x:v>144</x:v>
      </x:c>
      <x:c r="N42" s="19"/>
      <x:c r="O42" s="18" t="s">
        <x:v>82</x:v>
      </x:c>
      <x:c r="P42" s="19"/>
      <x:c r="Q42" s="20" t="n">
        <x:v>2024</x:v>
      </x:c>
      <x:c r="R42" s="18" t="s">
        <x:v>96</x:v>
      </x:c>
      <x:c r="S42" s="21"/>
      <x:c r="T42" s="21"/>
      <x:c r="U42" s="21"/>
      <x:c r="V42" s="23"/>
      <x:c r="W42" s="12" t="s">
        <x:v>77</x:v>
      </x:c>
      <x:c r="X42" s="24" t="n">
        <x:f aca="0">0.9*$J42</x:f>
        <x:v>0</x:v>
      </x:c>
      <x:c r="Y42" s="24" t="n">
        <x:f aca="0">1.5*J42</x:f>
        <x:v>0</x:v>
      </x:c>
      <x:c r="Z42" s="12" t="s">
        <x:v>44</x:v>
      </x:c>
      <x:c r="AA42" s="13" t="n">
        <x:f aca="0">0.9*K42</x:f>
        <x:v>1299.7503</x:v>
      </x:c>
      <x:c r="AB42" s="13" t="n">
        <x:f aca="0">1.3*K42</x:f>
        <x:v>1877.4171</x:v>
      </x:c>
      <x:c r="AC42" s="12" t="s">
        <x:v>44</x:v>
      </x:c>
      <x:c r="AD42" s="13" t="s">
        <x:v>45</x:v>
      </x:c>
      <x:c r="AE42" s="13" t="s">
        <x:v>46</x:v>
      </x:c>
      <x:c r="AF42" s="13" t="s">
        <x:v>47</x:v>
      </x:c>
      <x:c r="AG42" s="12" t="s">
        <x:v>48</x:v>
      </x:c>
    </x:row>
    <x:row r="43" s="36" customFormat="1" ht="74.25" hidden="0" customHeight="1">
      <x:c r="A43" s="30" t="n">
        <x:v>214.113</x:v>
      </x:c>
      <x:c r="B43" s="9" t="n">
        <x:f aca="0">IF(ISNUMBER(A43),
IF(AND(A43=INT(A43), MOD(A43, 10) = 0), 0,
IF(AND(A43=INT(A43), LEN(A43)=2), 1,
IF(AND(A43=INT(A43), LEN(A43)=3), 2,
LEN(A43) - FIND(".", A43) + 2)
)
),
"")</x:f>
        <x:v>5</x:v>
      </x:c>
      <x:c r="C43" s="15" t="s">
        <x:v>145</x:v>
      </x:c>
      <x:c r="D43" s="10" t="str">
        <x:f aca="0">REPT("   ", B43*2) &amp; C43</x:f>
        <x:v>                              Refueling Building Walls</x:v>
      </x:c>
      <x:c r="E43" s="10" t="s">
        <x:v>35</x:v>
      </x:c>
      <x:c r="F43" s="10"/>
      <x:c r="G43" s="10"/>
      <x:c r="H43" s="10"/>
      <x:c r="I43" s="10"/>
      <x:c r="J43" s="16"/>
      <x:c r="K43" s="17" t="n">
        <x:f aca="0">721.21*1.53</x:f>
        <x:v>1103.4513000000002</x:v>
      </x:c>
      <x:c r="L43" s="18" t="s">
        <x:v>80</x:v>
      </x:c>
      <x:c r="M43" s="21" t="s">
        <x:v>146</x:v>
      </x:c>
      <x:c r="N43" s="19"/>
      <x:c r="O43" s="18" t="s">
        <x:v>82</x:v>
      </x:c>
      <x:c r="P43" s="19"/>
      <x:c r="Q43" s="20" t="n">
        <x:v>2024</x:v>
      </x:c>
      <x:c r="R43" s="18" t="s">
        <x:v>96</x:v>
      </x:c>
      <x:c r="S43" s="21"/>
      <x:c r="T43" s="21"/>
      <x:c r="U43" s="21"/>
      <x:c r="V43" s="23"/>
      <x:c r="W43" s="12" t="s">
        <x:v>77</x:v>
      </x:c>
      <x:c r="X43" s="24" t="n">
        <x:f aca="0">0.9*$J43</x:f>
        <x:v>0</x:v>
      </x:c>
      <x:c r="Y43" s="24" t="n">
        <x:f aca="0">1.5*J43</x:f>
        <x:v>0</x:v>
      </x:c>
      <x:c r="Z43" s="12" t="s">
        <x:v>44</x:v>
      </x:c>
      <x:c r="AA43" s="13" t="n">
        <x:f aca="0">0.9*K43</x:f>
        <x:v>993.1061700000001</x:v>
      </x:c>
      <x:c r="AB43" s="13" t="n">
        <x:f aca="0">1.3*K43</x:f>
        <x:v>1434.4866900000002</x:v>
      </x:c>
      <x:c r="AC43" s="12" t="s">
        <x:v>44</x:v>
      </x:c>
      <x:c r="AD43" s="13" t="s">
        <x:v>45</x:v>
      </x:c>
      <x:c r="AE43" s="13" t="s">
        <x:v>46</x:v>
      </x:c>
      <x:c r="AF43" s="13" t="s">
        <x:v>47</x:v>
      </x:c>
      <x:c r="AG43" s="12" t="s">
        <x:v>48</x:v>
      </x:c>
    </x:row>
    <x:row r="44" ht="26.25" hidden="0" customHeight="1">
      <x:c r="A44" s="30" t="n">
        <x:v>214.12</x:v>
      </x:c>
      <x:c r="B44" s="9" t="n">
        <x:f aca="0">IF(ISNUMBER(A44),
IF(AND(A44=INT(A44), MOD(A44, 10) = 0), 0,
IF(AND(A44=INT(A44), LEN(A44)=2), 1,
IF(AND(A44=INT(A44), LEN(A44)=3), 2,
LEN(A44) - FIND(".", A44) + 2)
)
),
"")</x:f>
        <x:v>4</x:v>
      </x:c>
      <x:c r="C44" s="15" t="s">
        <x:v>147</x:v>
      </x:c>
      <x:c r="D44" s="10" t="str">
        <x:f aca="0">REPT("   ", B44*2) &amp; C44</x:f>
        <x:v>                        Spent Fuel Building</x:v>
      </x:c>
      <x:c r="E44" s="10"/>
      <x:c r="F44" s="10"/>
      <x:c r="G44" s="10"/>
      <x:c r="H44" s="10"/>
      <x:c r="I44" s="10"/>
      <x:c r="J44" s="16"/>
      <x:c r="K44" s="17"/>
      <x:c r="L44" s="19"/>
      <x:c r="M44" s="29"/>
      <x:c r="N44" s="19"/>
      <x:c r="O44" s="19"/>
      <x:c r="P44" s="19"/>
      <x:c r="Q44" s="16"/>
      <x:c r="R44" s="19"/>
      <x:c r="S44" s="29"/>
      <x:c r="T44" s="18"/>
      <x:c r="U44" s="23"/>
      <x:c r="V44" s="23"/>
      <x:c r="W44" s="12"/>
      <x:c r="X44" s="24"/>
      <x:c r="Y44" s="24"/>
      <x:c r="Z44" s="12"/>
      <x:c r="AA44" s="13"/>
      <x:c r="AB44" s="13"/>
      <x:c r="AC44" s="12"/>
      <x:c r="AD44" s="13"/>
      <x:c r="AE44" s="13"/>
      <x:c r="AF44" s="13"/>
      <x:c r="AG44" s="12"/>
    </x:row>
    <x:row r="45" s="36" customFormat="1" ht="49.5" hidden="0" customHeight="1">
      <x:c r="A45" s="30" t="n">
        <x:v>214.121</x:v>
      </x:c>
      <x:c r="B45" s="9" t="n">
        <x:f aca="0">IF(ISNUMBER(A45),
IF(AND(A45=INT(A45), MOD(A45, 10) = 0), 0,
IF(AND(A45=INT(A45), LEN(A45)=2), 1,
IF(AND(A45=INT(A45), LEN(A45)=3), 2,
LEN(A45) - FIND(".", A45) + 2)
)
),
"")</x:f>
        <x:v>5</x:v>
      </x:c>
      <x:c r="C45" s="15" t="s">
        <x:v>148</x:v>
      </x:c>
      <x:c r="D45" s="10" t="str">
        <x:f aca="0">REPT("   ", B45*2) &amp; C45</x:f>
        <x:v>                              Spent Fuel Building Slab Roof</x:v>
      </x:c>
      <x:c r="E45" s="10" t="s">
        <x:v>35</x:v>
      </x:c>
      <x:c r="F45" s="10"/>
      <x:c r="G45" s="10"/>
      <x:c r="H45" s="10"/>
      <x:c r="I45" s="10"/>
      <x:c r="J45" s="16"/>
      <x:c r="K45" s="17" t="n">
        <x:f aca="0">1200 *1.53</x:f>
        <x:v>1836</x:v>
      </x:c>
      <x:c r="L45" s="18" t="s">
        <x:v>80</x:v>
      </x:c>
      <x:c r="M45" s="21" t="s">
        <x:v>149</x:v>
      </x:c>
      <x:c r="N45" s="19"/>
      <x:c r="O45" s="18" t="s">
        <x:v>82</x:v>
      </x:c>
      <x:c r="P45" s="19"/>
      <x:c r="Q45" s="20" t="n">
        <x:v>2024</x:v>
      </x:c>
      <x:c r="R45" s="19" t="s">
        <x:v>96</x:v>
      </x:c>
      <x:c r="S45" s="21" t="s">
        <x:v>74</x:v>
      </x:c>
      <x:c r="T45" s="21" t="s">
        <x:v>75</x:v>
      </x:c>
      <x:c r="U45" s="32" t="s">
        <x:v>76</x:v>
      </x:c>
      <x:c r="V45" s="23"/>
      <x:c r="W45" s="12" t="s">
        <x:v>77</x:v>
      </x:c>
      <x:c r="X45" s="24" t="n">
        <x:f aca="0">0.9*$J45</x:f>
        <x:v>0</x:v>
      </x:c>
      <x:c r="Y45" s="24" t="n">
        <x:f aca="0">1.5*J45</x:f>
        <x:v>0</x:v>
      </x:c>
      <x:c r="Z45" s="12" t="s">
        <x:v>44</x:v>
      </x:c>
      <x:c r="AA45" s="13" t="n">
        <x:f aca="0">0.9*K45</x:f>
        <x:v>1652.4</x:v>
      </x:c>
      <x:c r="AB45" s="13" t="n">
        <x:f aca="0">1.3*K45</x:f>
        <x:v>2386.8</x:v>
      </x:c>
      <x:c r="AC45" s="12" t="s">
        <x:v>44</x:v>
      </x:c>
      <x:c r="AD45" s="13" t="s">
        <x:v>45</x:v>
      </x:c>
      <x:c r="AE45" s="13" t="s">
        <x:v>46</x:v>
      </x:c>
      <x:c r="AF45" s="13" t="s">
        <x:v>47</x:v>
      </x:c>
      <x:c r="AG45" s="12" t="s">
        <x:v>48</x:v>
      </x:c>
    </x:row>
    <x:row r="46" s="36" customFormat="1" ht="49.5" hidden="0" customHeight="1">
      <x:c r="A46" s="30" t="n">
        <x:v>214.122</x:v>
      </x:c>
      <x:c r="B46" s="9" t="n">
        <x:f aca="0">IF(ISNUMBER(A46),
IF(AND(A46=INT(A46), MOD(A46, 10) = 0), 0,
IF(AND(A46=INT(A46), LEN(A46)=2), 1,
IF(AND(A46=INT(A46), LEN(A46)=3), 2,
LEN(A46) - FIND(".", A46) + 2)
)
),
"")</x:f>
        <x:v>5</x:v>
      </x:c>
      <x:c r="C46" s="15" t="s">
        <x:v>150</x:v>
      </x:c>
      <x:c r="D46" s="10" t="str">
        <x:f aca="0">REPT("   ", B46*2) &amp; C46</x:f>
        <x:v>                              Spent Fuel Building Basement</x:v>
      </x:c>
      <x:c r="E46" s="10" t="s">
        <x:v>35</x:v>
      </x:c>
      <x:c r="F46" s="10"/>
      <x:c r="G46" s="10"/>
      <x:c r="H46" s="10"/>
      <x:c r="I46" s="10"/>
      <x:c r="J46" s="16"/>
      <x:c r="K46" s="17" t="n">
        <x:f aca="0">943.9*1.53</x:f>
        <x:v>1444.167</x:v>
      </x:c>
      <x:c r="L46" s="18" t="s">
        <x:v>80</x:v>
      </x:c>
      <x:c r="M46" s="21" t="s">
        <x:v>151</x:v>
      </x:c>
      <x:c r="N46" s="19"/>
      <x:c r="O46" s="18" t="s">
        <x:v>82</x:v>
      </x:c>
      <x:c r="P46" s="19"/>
      <x:c r="Q46" s="20" t="n">
        <x:v>2024</x:v>
      </x:c>
      <x:c r="R46" s="19" t="s">
        <x:v>96</x:v>
      </x:c>
      <x:c r="S46" s="21"/>
      <x:c r="T46" s="21"/>
      <x:c r="U46" s="21"/>
      <x:c r="V46" s="23"/>
      <x:c r="W46" s="12" t="s">
        <x:v>77</x:v>
      </x:c>
      <x:c r="X46" s="24" t="n">
        <x:f aca="0">0.9*$J46</x:f>
        <x:v>0</x:v>
      </x:c>
      <x:c r="Y46" s="24" t="n">
        <x:f aca="0">1.5*J46</x:f>
        <x:v>0</x:v>
      </x:c>
      <x:c r="Z46" s="12" t="s">
        <x:v>44</x:v>
      </x:c>
      <x:c r="AA46" s="13" t="n">
        <x:f aca="0">0.9*K46</x:f>
        <x:v>1299.7503</x:v>
      </x:c>
      <x:c r="AB46" s="13" t="n">
        <x:f aca="0">1.3*K46</x:f>
        <x:v>1877.4171</x:v>
      </x:c>
      <x:c r="AC46" s="12" t="s">
        <x:v>44</x:v>
      </x:c>
      <x:c r="AD46" s="13" t="s">
        <x:v>45</x:v>
      </x:c>
      <x:c r="AE46" s="13" t="s">
        <x:v>46</x:v>
      </x:c>
      <x:c r="AF46" s="13" t="s">
        <x:v>47</x:v>
      </x:c>
      <x:c r="AG46" s="12" t="s">
        <x:v>48</x:v>
      </x:c>
    </x:row>
    <x:row r="47" s="36" customFormat="1" ht="74.25" hidden="0" customHeight="1">
      <x:c r="A47" s="30" t="n">
        <x:v>214.123</x:v>
      </x:c>
      <x:c r="B47" s="9" t="n">
        <x:f aca="0">IF(ISNUMBER(A47),
IF(AND(A47=INT(A47), MOD(A47, 10) = 0), 0,
IF(AND(A47=INT(A47), LEN(A47)=2), 1,
IF(AND(A47=INT(A47), LEN(A47)=3), 2,
LEN(A47) - FIND(".", A47) + 2)
)
),
"")</x:f>
        <x:v>5</x:v>
      </x:c>
      <x:c r="C47" s="15" t="s">
        <x:v>152</x:v>
      </x:c>
      <x:c r="D47" s="10" t="str">
        <x:f aca="0">REPT("   ", B47*2) &amp; C47</x:f>
        <x:v>                              Spent Fuel Building Walls</x:v>
      </x:c>
      <x:c r="E47" s="10" t="s">
        <x:v>35</x:v>
      </x:c>
      <x:c r="F47" s="10"/>
      <x:c r="G47" s="10"/>
      <x:c r="H47" s="10"/>
      <x:c r="I47" s="10"/>
      <x:c r="J47" s="16"/>
      <x:c r="K47" s="17" t="n">
        <x:f aca="0">721.21*1.53</x:f>
        <x:v>1103.4513000000002</x:v>
      </x:c>
      <x:c r="L47" s="18" t="s">
        <x:v>80</x:v>
      </x:c>
      <x:c r="M47" s="21" t="s">
        <x:v>153</x:v>
      </x:c>
      <x:c r="N47" s="19"/>
      <x:c r="O47" s="18" t="s">
        <x:v>82</x:v>
      </x:c>
      <x:c r="P47" s="19"/>
      <x:c r="Q47" s="20" t="n">
        <x:v>2024</x:v>
      </x:c>
      <x:c r="R47" s="18" t="s">
        <x:v>96</x:v>
      </x:c>
      <x:c r="S47" s="21"/>
      <x:c r="T47" s="21"/>
      <x:c r="U47" s="21"/>
      <x:c r="V47" s="23"/>
      <x:c r="W47" s="12" t="s">
        <x:v>77</x:v>
      </x:c>
      <x:c r="X47" s="24" t="n">
        <x:f aca="0">0.9*$J47</x:f>
        <x:v>0</x:v>
      </x:c>
      <x:c r="Y47" s="24" t="n">
        <x:f aca="0">1.5*J47</x:f>
        <x:v>0</x:v>
      </x:c>
      <x:c r="Z47" s="12" t="s">
        <x:v>44</x:v>
      </x:c>
      <x:c r="AA47" s="13" t="n">
        <x:f aca="0">0.9*K47</x:f>
        <x:v>993.1061700000001</x:v>
      </x:c>
      <x:c r="AB47" s="13" t="n">
        <x:f aca="0">1.3*K47</x:f>
        <x:v>1434.4866900000002</x:v>
      </x:c>
      <x:c r="AC47" s="12" t="s">
        <x:v>44</x:v>
      </x:c>
      <x:c r="AD47" s="13" t="s">
        <x:v>45</x:v>
      </x:c>
      <x:c r="AE47" s="13" t="s">
        <x:v>46</x:v>
      </x:c>
      <x:c r="AF47" s="13" t="s">
        <x:v>47</x:v>
      </x:c>
      <x:c r="AG47" s="12" t="s">
        <x:v>48</x:v>
      </x:c>
    </x:row>
    <x:row r="48" ht="51.75" hidden="0" customHeight="1">
      <x:c r="A48" s="30" t="n">
        <x:v>214.7</x:v>
      </x:c>
      <x:c r="B48" s="9" t="n">
        <x:f aca="0">IF(ISNUMBER(A48),
IF(AND(A48=INT(A48), MOD(A48, 10) = 0), 0,
IF(AND(A48=INT(A48), LEN(A48)=2), 1,
IF(AND(A48=INT(A48), LEN(A48)=3), 2,
LEN(A48) - FIND(".", A48) + 2)
)
),
"")</x:f>
        <x:v>3</x:v>
      </x:c>
      <x:c r="C48" s="15" t="s">
        <x:v>154</x:v>
      </x:c>
      <x:c r="D48" s="10" t="str">
        <x:f aca="0">REPT("   ", B48*2) &amp; C48</x:f>
        <x:v>                  Emergency and Start-up Power Systems Building</x:v>
      </x:c>
      <x:c r="E48" s="10"/>
      <x:c r="F48" s="10"/>
      <x:c r="G48" s="10"/>
      <x:c r="H48" s="10"/>
      <x:c r="I48" s="10"/>
      <x:c r="J48" s="16"/>
      <x:c r="K48" s="17"/>
      <x:c r="L48" s="18"/>
      <x:c r="M48" s="21"/>
      <x:c r="N48" s="19"/>
      <x:c r="O48" s="18"/>
      <x:c r="P48" s="19"/>
      <x:c r="Q48" s="20"/>
      <x:c r="R48" s="18"/>
      <x:c r="S48" s="21"/>
      <x:c r="T48" s="18"/>
      <x:c r="U48" s="23"/>
      <x:c r="V48" s="23"/>
      <x:c r="W48" s="12"/>
      <x:c r="X48" s="24"/>
      <x:c r="Y48" s="24"/>
      <x:c r="Z48" s="12"/>
      <x:c r="AA48" s="13"/>
      <x:c r="AB48" s="13"/>
      <x:c r="AC48" s="12"/>
      <x:c r="AD48" s="13"/>
      <x:c r="AE48" s="13"/>
      <x:c r="AF48" s="13"/>
      <x:c r="AG48" s="12"/>
    </x:row>
    <x:row r="49" ht="26.25" hidden="0" customHeight="1">
      <x:c r="A49" s="30" t="n">
        <x:v>214.71</x:v>
      </x:c>
      <x:c r="B49" s="9" t="n">
        <x:f aca="0">IF(ISNUMBER(A49),
IF(AND(A49=INT(A49), MOD(A49, 10) = 0), 0,
IF(AND(A49=INT(A49), LEN(A49)=2), 1,
IF(AND(A49=INT(A49), LEN(A49)=3), 2,
LEN(A49) - FIND(".", A49) + 2)
)
),
"")</x:f>
        <x:v>4</x:v>
      </x:c>
      <x:c r="C49" s="15" t="s">
        <x:v>155</x:v>
      </x:c>
      <x:c r="D49" s="10" t="str">
        <x:f aca="0">REPT("   ", B49*2) &amp; C49</x:f>
        <x:v>                        Emergency Building</x:v>
      </x:c>
      <x:c r="E49" s="10"/>
      <x:c r="F49" s="10"/>
      <x:c r="G49" s="10"/>
      <x:c r="H49" s="10"/>
      <x:c r="I49" s="10"/>
      <x:c r="J49" s="16"/>
      <x:c r="K49" s="17"/>
      <x:c r="L49" s="18"/>
      <x:c r="M49" s="21"/>
      <x:c r="N49" s="19"/>
      <x:c r="O49" s="18"/>
      <x:c r="P49" s="19"/>
      <x:c r="Q49" s="20"/>
      <x:c r="R49" s="18"/>
      <x:c r="S49" s="21"/>
      <x:c r="T49" s="18"/>
      <x:c r="U49" s="23"/>
      <x:c r="V49" s="23"/>
      <x:c r="W49" s="12"/>
      <x:c r="X49" s="24"/>
      <x:c r="Y49" s="24"/>
      <x:c r="Z49" s="12"/>
      <x:c r="AA49" s="13"/>
      <x:c r="AB49" s="13"/>
      <x:c r="AC49" s="12"/>
      <x:c r="AD49" s="13"/>
      <x:c r="AE49" s="13"/>
      <x:c r="AF49" s="13"/>
      <x:c r="AG49" s="12"/>
    </x:row>
    <x:row r="50" s="36" customFormat="1" ht="49.5" hidden="0" customHeight="1">
      <x:c r="A50" s="30" t="n">
        <x:v>214.711</x:v>
      </x:c>
      <x:c r="B50" s="9" t="n">
        <x:f aca="0">IF(ISNUMBER(A50),
IF(AND(A50=INT(A50), MOD(A50, 10) = 0), 0,
IF(AND(A50=INT(A50), LEN(A50)=2), 1,
IF(AND(A50=INT(A50), LEN(A50)=3), 2,
LEN(A50) - FIND(".", A50) + 2)
)
),
"")</x:f>
        <x:v>5</x:v>
      </x:c>
      <x:c r="C50" s="15" t="s">
        <x:v>156</x:v>
      </x:c>
      <x:c r="D50" s="10" t="str">
        <x:f aca="0">REPT("   ", B50*2) &amp; C50</x:f>
        <x:v>                              Emergency Building Slab Roof</x:v>
      </x:c>
      <x:c r="E50" s="10" t="s">
        <x:v>35</x:v>
      </x:c>
      <x:c r="F50" s="10"/>
      <x:c r="G50" s="10"/>
      <x:c r="H50" s="10"/>
      <x:c r="I50" s="10"/>
      <x:c r="J50" s="16"/>
      <x:c r="K50" s="17" t="n">
        <x:f aca="0">1200</x:f>
        <x:v>1200</x:v>
      </x:c>
      <x:c r="L50" s="18" t="s">
        <x:v>80</x:v>
      </x:c>
      <x:c r="M50" s="21" t="s">
        <x:v>157</x:v>
      </x:c>
      <x:c r="N50" s="19"/>
      <x:c r="O50" s="18" t="s">
        <x:v>82</x:v>
      </x:c>
      <x:c r="P50" s="19"/>
      <x:c r="Q50" s="20" t="n">
        <x:v>2024</x:v>
      </x:c>
      <x:c r="R50" s="19" t="s">
        <x:v>96</x:v>
      </x:c>
      <x:c r="S50" s="21" t="s">
        <x:v>115</x:v>
      </x:c>
      <x:c r="T50" s="21" t="s">
        <x:v>75</x:v>
      </x:c>
      <x:c r="U50" s="32" t="s">
        <x:v>76</x:v>
      </x:c>
      <x:c r="V50" s="23"/>
      <x:c r="W50" s="12" t="s">
        <x:v>77</x:v>
      </x:c>
      <x:c r="X50" s="24" t="n">
        <x:f aca="0">0.9*$J50</x:f>
        <x:v>0</x:v>
      </x:c>
      <x:c r="Y50" s="24" t="n">
        <x:f aca="0">1.5*J50</x:f>
        <x:v>0</x:v>
      </x:c>
      <x:c r="Z50" s="12" t="s">
        <x:v>44</x:v>
      </x:c>
      <x:c r="AA50" s="13" t="n">
        <x:f aca="0">0.9*K50</x:f>
        <x:v>1080</x:v>
      </x:c>
      <x:c r="AB50" s="13" t="n">
        <x:f aca="0">1.3*K50</x:f>
        <x:v>1560</x:v>
      </x:c>
      <x:c r="AC50" s="12" t="s">
        <x:v>44</x:v>
      </x:c>
      <x:c r="AD50" s="13" t="s">
        <x:v>45</x:v>
      </x:c>
      <x:c r="AE50" s="13" t="s">
        <x:v>46</x:v>
      </x:c>
      <x:c r="AF50" s="13" t="s">
        <x:v>47</x:v>
      </x:c>
      <x:c r="AG50" s="12" t="s">
        <x:v>48</x:v>
      </x:c>
    </x:row>
    <x:row r="51" s="36" customFormat="1" ht="49.5" hidden="0" customHeight="1">
      <x:c r="A51" s="30" t="n">
        <x:v>214.712</x:v>
      </x:c>
      <x:c r="B51" s="9" t="n">
        <x:f aca="0">IF(ISNUMBER(A51),
IF(AND(A51=INT(A51), MOD(A51, 10) = 0), 0,
IF(AND(A51=INT(A51), LEN(A51)=2), 1,
IF(AND(A51=INT(A51), LEN(A51)=3), 2,
LEN(A51) - FIND(".", A51) + 2)
)
),
"")</x:f>
        <x:v>5</x:v>
      </x:c>
      <x:c r="C51" s="15" t="s">
        <x:v>158</x:v>
      </x:c>
      <x:c r="D51" s="10" t="str">
        <x:f aca="0">REPT("   ", B51*2) &amp; C51</x:f>
        <x:v>                              Emergency Building Basement</x:v>
      </x:c>
      <x:c r="E51" s="10" t="s">
        <x:v>35</x:v>
      </x:c>
      <x:c r="F51" s="10"/>
      <x:c r="G51" s="10"/>
      <x:c r="H51" s="10"/>
      <x:c r="I51" s="10"/>
      <x:c r="J51" s="16"/>
      <x:c r="K51" s="17" t="n">
        <x:f aca="0">943.9</x:f>
        <x:v>943.9</x:v>
      </x:c>
      <x:c r="L51" s="18" t="s">
        <x:v>80</x:v>
      </x:c>
      <x:c r="M51" s="21" t="s">
        <x:v>159</x:v>
      </x:c>
      <x:c r="N51" s="19"/>
      <x:c r="O51" s="18" t="s">
        <x:v>82</x:v>
      </x:c>
      <x:c r="P51" s="19"/>
      <x:c r="Q51" s="20" t="n">
        <x:v>2024</x:v>
      </x:c>
      <x:c r="R51" s="19" t="s">
        <x:v>96</x:v>
      </x:c>
      <x:c r="S51" s="21"/>
      <x:c r="T51" s="21"/>
      <x:c r="U51" s="21"/>
      <x:c r="V51" s="23"/>
      <x:c r="W51" s="12" t="s">
        <x:v>77</x:v>
      </x:c>
      <x:c r="X51" s="24" t="n">
        <x:f aca="0">0.9*$J51</x:f>
        <x:v>0</x:v>
      </x:c>
      <x:c r="Y51" s="24" t="n">
        <x:f aca="0">1.5*J51</x:f>
        <x:v>0</x:v>
      </x:c>
      <x:c r="Z51" s="12" t="s">
        <x:v>44</x:v>
      </x:c>
      <x:c r="AA51" s="13" t="n">
        <x:f aca="0">0.9*K51</x:f>
        <x:v>849.51</x:v>
      </x:c>
      <x:c r="AB51" s="13" t="n">
        <x:f aca="0">1.3*K51</x:f>
        <x:v>1227.07</x:v>
      </x:c>
      <x:c r="AC51" s="12" t="s">
        <x:v>44</x:v>
      </x:c>
      <x:c r="AD51" s="13" t="s">
        <x:v>45</x:v>
      </x:c>
      <x:c r="AE51" s="13" t="s">
        <x:v>46</x:v>
      </x:c>
      <x:c r="AF51" s="13" t="s">
        <x:v>47</x:v>
      </x:c>
      <x:c r="AG51" s="12" t="s">
        <x:v>48</x:v>
      </x:c>
    </x:row>
    <x:row r="52" s="36" customFormat="1" ht="74.25" hidden="0" customHeight="1">
      <x:c r="A52" s="30" t="n">
        <x:v>214.713</x:v>
      </x:c>
      <x:c r="B52" s="9" t="n">
        <x:f aca="0">IF(ISNUMBER(A52),
IF(AND(A52=INT(A52), MOD(A52, 10) = 0), 0,
IF(AND(A52=INT(A52), LEN(A52)=2), 1,
IF(AND(A52=INT(A52), LEN(A52)=3), 2,
LEN(A52) - FIND(".", A52) + 2)
)
),
"")</x:f>
        <x:v>5</x:v>
      </x:c>
      <x:c r="C52" s="15" t="s">
        <x:v>160</x:v>
      </x:c>
      <x:c r="D52" s="10" t="str">
        <x:f aca="0">REPT("   ", B52*2) &amp; C52</x:f>
        <x:v>                              Emergency Building Walls</x:v>
      </x:c>
      <x:c r="E52" s="10" t="s">
        <x:v>35</x:v>
      </x:c>
      <x:c r="F52" s="10"/>
      <x:c r="G52" s="10"/>
      <x:c r="H52" s="10"/>
      <x:c r="I52" s="10"/>
      <x:c r="J52" s="16"/>
      <x:c r="K52" s="17" t="n">
        <x:f aca="0">721.21</x:f>
        <x:v>721.21</x:v>
      </x:c>
      <x:c r="L52" s="18" t="s">
        <x:v>80</x:v>
      </x:c>
      <x:c r="M52" s="21" t="s">
        <x:v>161</x:v>
      </x:c>
      <x:c r="N52" s="19"/>
      <x:c r="O52" s="18" t="s">
        <x:v>82</x:v>
      </x:c>
      <x:c r="P52" s="19"/>
      <x:c r="Q52" s="20" t="n">
        <x:v>2024</x:v>
      </x:c>
      <x:c r="R52" s="18" t="s">
        <x:v>96</x:v>
      </x:c>
      <x:c r="S52" s="21"/>
      <x:c r="T52" s="21"/>
      <x:c r="U52" s="21"/>
      <x:c r="V52" s="23"/>
      <x:c r="W52" s="12" t="s">
        <x:v>77</x:v>
      </x:c>
      <x:c r="X52" s="24" t="n">
        <x:f aca="0">0.9*$J52</x:f>
        <x:v>0</x:v>
      </x:c>
      <x:c r="Y52" s="24" t="n">
        <x:f aca="0">1.5*J52</x:f>
        <x:v>0</x:v>
      </x:c>
      <x:c r="Z52" s="12" t="s">
        <x:v>44</x:v>
      </x:c>
      <x:c r="AA52" s="13" t="n">
        <x:f aca="0">0.9*K52</x:f>
        <x:v>649.089</x:v>
      </x:c>
      <x:c r="AB52" s="13" t="n">
        <x:f aca="0">1.3*K52</x:f>
        <x:v>937.5730000000001</x:v>
      </x:c>
      <x:c r="AC52" s="12" t="s">
        <x:v>44</x:v>
      </x:c>
      <x:c r="AD52" s="13" t="s">
        <x:v>45</x:v>
      </x:c>
      <x:c r="AE52" s="13" t="s">
        <x:v>46</x:v>
      </x:c>
      <x:c r="AF52" s="13" t="s">
        <x:v>47</x:v>
      </x:c>
      <x:c r="AG52" s="12" t="s">
        <x:v>48</x:v>
      </x:c>
    </x:row>
    <x:row r="53" ht="184.5" hidden="0" customHeight="1">
      <x:c r="A53" s="30" t="n">
        <x:v>214.72</x:v>
      </x:c>
      <x:c r="B53" s="9" t="n">
        <x:f aca="0">IF(ISNUMBER(A53),
IF(AND(A53=INT(A53), MOD(A53, 10) = 0), 0,
IF(AND(A53=INT(A53), LEN(A53)=2), 1,
IF(AND(A53=INT(A53), LEN(A53)=3), 2,
LEN(A53) - FIND(".", A53) + 2)
)
),
"")</x:f>
        <x:v>4</x:v>
      </x:c>
      <x:c r="C53" s="37" t="s">
        <x:v>162</x:v>
      </x:c>
      <x:c r="D53" s="10" t="str">
        <x:f aca="0">REPT("   ", B53*2) &amp; C53</x:f>
        <x:v>                        Diesel Generator</x:v>
      </x:c>
      <x:c r="E53" s="10" t="s">
        <x:v>35</x:v>
      </x:c>
      <x:c r="F53" s="10"/>
      <x:c r="G53" s="10"/>
      <x:c r="H53" s="10"/>
      <x:c r="I53" s="10"/>
      <x:c r="J53" s="16"/>
      <x:c r="K53" s="38" t="n">
        <x:f aca="0">MARVEL_Cost!C11/N53</x:f>
        <x:v>2717311.56626506</x:v>
      </x:c>
      <x:c r="L53" s="18" t="s">
        <x:v>108</x:v>
      </x:c>
      <x:c r="M53" s="21" t="s">
        <x:v>109</x:v>
      </x:c>
      <x:c r="N53" s="18" t="n">
        <x:f aca="0">'Design Variables'!B3/1000</x:f>
        <x:v>0.083</x:v>
      </x:c>
      <x:c r="O53" s="18" t="s">
        <x:v>110</x:v>
      </x:c>
      <x:c r="P53" s="18" t="n">
        <x:v>0.7</x:v>
      </x:c>
      <x:c r="Q53" s="20" t="n">
        <x:v>2024</x:v>
      </x:c>
      <x:c r="R53" s="18" t="s">
        <x:v>163</x:v>
      </x:c>
      <x:c r="S53" s="21" t="s">
        <x:v>164</x:v>
      </x:c>
      <x:c r="T53" s="21" t="s">
        <x:v>165</x:v>
      </x:c>
      <x:c r="U53" s="39" t="s">
        <x:v>166</x:v>
      </x:c>
      <x:c r="V53" s="23"/>
      <x:c r="W53" s="12" t="s">
        <x:v>167</x:v>
      </x:c>
      <x:c r="X53" s="24" t="n">
        <x:f aca="0">0.9*$J53</x:f>
        <x:v>0</x:v>
      </x:c>
      <x:c r="Y53" s="24" t="n">
        <x:f aca="0">1.5*J53</x:f>
        <x:v>0</x:v>
      </x:c>
      <x:c r="Z53" s="12" t="s">
        <x:v>44</x:v>
      </x:c>
      <x:c r="AA53" s="13" t="n">
        <x:f aca="0">0.9*K53</x:f>
        <x:v>2445580.4096385543</x:v>
      </x:c>
      <x:c r="AB53" s="13" t="n">
        <x:f aca="0">1.3*K53</x:f>
        <x:v>3532505.0361445784</x:v>
      </x:c>
      <x:c r="AC53" s="12" t="s">
        <x:v>44</x:v>
      </x:c>
      <x:c r="AD53" s="13" t="s">
        <x:v>45</x:v>
      </x:c>
      <x:c r="AE53" s="13" t="s">
        <x:v>46</x:v>
      </x:c>
      <x:c r="AF53" s="13" t="s">
        <x:v>47</x:v>
      </x:c>
      <x:c r="AG53" s="12" t="s">
        <x:v>48</x:v>
      </x:c>
    </x:row>
    <x:row r="54" ht="22.5" hidden="0" customHeight="1">
      <x:c r="A54" s="30" t="n">
        <x:v>214.8</x:v>
      </x:c>
      <x:c r="B54" s="9" t="n">
        <x:f aca="0">IF(ISNUMBER(A54),
IF(AND(A54=INT(A54), MOD(A54, 10) = 0), 0,
IF(AND(A54=INT(A54), LEN(A54)=2), 1,
IF(AND(A54=INT(A54), LEN(A54)=3), 2,
LEN(A54) - FIND(".", A54) + 2)
)
),
"")</x:f>
        <x:v>3</x:v>
      </x:c>
      <x:c r="C54" s="37" t="s">
        <x:v>168</x:v>
      </x:c>
      <x:c r="D54" s="10" t="str">
        <x:f aca="0">REPT("   ", B54*2) &amp; C54</x:f>
        <x:v>                  Auxilliary Building</x:v>
      </x:c>
      <x:c r="E54" s="10"/>
      <x:c r="F54" s="10"/>
      <x:c r="G54" s="10"/>
      <x:c r="H54" s="10"/>
      <x:c r="I54" s="10"/>
      <x:c r="J54" s="16"/>
      <x:c r="K54" s="38"/>
      <x:c r="L54" s="18"/>
      <x:c r="M54" s="21"/>
      <x:c r="N54" s="18"/>
      <x:c r="O54" s="18"/>
      <x:c r="P54" s="18"/>
      <x:c r="Q54" s="20"/>
      <x:c r="R54" s="18"/>
      <x:c r="S54" s="21"/>
      <x:c r="T54" s="21"/>
      <x:c r="U54" s="39"/>
      <x:c r="V54" s="23"/>
      <x:c r="W54" s="12"/>
      <x:c r="X54" s="24"/>
      <x:c r="Y54" s="24"/>
      <x:c r="Z54" s="12"/>
      <x:c r="AA54" s="13"/>
      <x:c r="AB54" s="13"/>
      <x:c r="AC54" s="12"/>
      <x:c r="AD54" s="13"/>
      <x:c r="AE54" s="13"/>
      <x:c r="AF54" s="13"/>
      <x:c r="AG54" s="12"/>
    </x:row>
    <x:row r="55" ht="26.25" hidden="0" customHeight="1">
      <x:c r="A55" s="30" t="n">
        <x:v>214.81</x:v>
      </x:c>
      <x:c r="B55" s="9" t="n">
        <x:f aca="0">IF(ISNUMBER(A55),
IF(AND(A55=INT(A55), MOD(A55, 10) = 0), 0,
IF(AND(A55=INT(A55), LEN(A55)=2), 1,
IF(AND(A55=INT(A55), LEN(A55)=3), 2,
LEN(A55) - FIND(".", A55) + 2)
)
),
"")</x:f>
        <x:v>4</x:v>
      </x:c>
      <x:c r="C55" s="37" t="s">
        <x:v>169</x:v>
      </x:c>
      <x:c r="D55" s="10" t="str">
        <x:f aca="0">REPT("   ", B55*2) &amp; C55</x:f>
        <x:v>                        Maniplator Building</x:v>
      </x:c>
      <x:c r="E55" s="10"/>
      <x:c r="F55" s="10"/>
      <x:c r="G55" s="18"/>
      <x:c r="H55" s="18"/>
      <x:c r="I55" s="18"/>
      <x:c r="J55" s="16"/>
      <x:c r="K55" s="38"/>
      <x:c r="L55" s="18"/>
      <x:c r="M55" s="21"/>
      <x:c r="N55" s="18"/>
      <x:c r="O55" s="18"/>
      <x:c r="P55" s="18"/>
      <x:c r="Q55" s="20"/>
      <x:c r="R55" s="18"/>
      <x:c r="S55" s="21"/>
      <x:c r="T55" s="21"/>
      <x:c r="U55" s="39"/>
      <x:c r="V55" s="23"/>
      <x:c r="W55" s="12"/>
      <x:c r="X55" s="24"/>
      <x:c r="Y55" s="24"/>
      <x:c r="Z55" s="12"/>
      <x:c r="AA55" s="13"/>
      <x:c r="AB55" s="13"/>
      <x:c r="AC55" s="12"/>
      <x:c r="AD55" s="13"/>
      <x:c r="AE55" s="13"/>
      <x:c r="AF55" s="13"/>
      <x:c r="AG55" s="12"/>
    </x:row>
    <x:row r="56" ht="75.75" hidden="0" customHeight="1">
      <x:c r="A56" s="30" t="n">
        <x:v>214.811</x:v>
      </x:c>
      <x:c r="B56" s="9" t="n">
        <x:f aca="0">IF(ISNUMBER(A56),
IF(AND(A56=INT(A56), MOD(A56, 10) = 0), 0,
IF(AND(A56=INT(A56), LEN(A56)=2), 1,
IF(AND(A56=INT(A56), LEN(A56)=3), 2,
LEN(A56) - FIND(".", A56) + 2)
)
),
"")</x:f>
        <x:v>5</x:v>
      </x:c>
      <x:c r="C56" s="37" t="s">
        <x:v>170</x:v>
      </x:c>
      <x:c r="D56" s="10" t="str">
        <x:f aca="0">REPT("   ", B56*2) &amp; C56</x:f>
        <x:v>                              Manipulator Building Slab Roof</x:v>
      </x:c>
      <x:c r="E56" s="10" t="s">
        <x:v>35</x:v>
      </x:c>
      <x:c r="F56" s="10"/>
      <x:c r="G56" s="18"/>
      <x:c r="H56" s="18"/>
      <x:c r="I56" s="18"/>
      <x:c r="J56" s="16"/>
      <x:c r="K56" s="17" t="n">
        <x:f aca="0">1200</x:f>
        <x:v>1200</x:v>
      </x:c>
      <x:c r="L56" s="18" t="s">
        <x:v>80</x:v>
      </x:c>
      <x:c r="M56" s="37" t="s">
        <x:v>171</x:v>
      </x:c>
      <x:c r="N56" s="18"/>
      <x:c r="O56" s="18" t="s">
        <x:v>82</x:v>
      </x:c>
      <x:c r="P56" s="19"/>
      <x:c r="Q56" s="20" t="n">
        <x:v>2024</x:v>
      </x:c>
      <x:c r="R56" s="19" t="s">
        <x:v>96</x:v>
      </x:c>
      <x:c r="S56" s="21" t="s">
        <x:v>115</x:v>
      </x:c>
      <x:c r="T56" s="21" t="s">
        <x:v>75</x:v>
      </x:c>
      <x:c r="U56" s="32" t="s">
        <x:v>76</x:v>
      </x:c>
      <x:c r="V56" s="40" t="s">
        <x:v>172</x:v>
      </x:c>
      <x:c r="W56" s="12" t="s">
        <x:v>77</x:v>
      </x:c>
      <x:c r="X56" s="24" t="n">
        <x:f aca="0">0.9*$J56</x:f>
        <x:v>0</x:v>
      </x:c>
      <x:c r="Y56" s="24" t="n">
        <x:f aca="0">1.5*J56</x:f>
        <x:v>0</x:v>
      </x:c>
      <x:c r="Z56" s="12" t="s">
        <x:v>44</x:v>
      </x:c>
      <x:c r="AA56" s="13" t="n">
        <x:f aca="0">0.9*K56</x:f>
        <x:v>1080</x:v>
      </x:c>
      <x:c r="AB56" s="13" t="n">
        <x:f aca="0">1.3*K56</x:f>
        <x:v>1560</x:v>
      </x:c>
      <x:c r="AC56" s="12" t="s">
        <x:v>44</x:v>
      </x:c>
      <x:c r="AD56" s="13" t="s">
        <x:v>45</x:v>
      </x:c>
      <x:c r="AE56" s="13" t="s">
        <x:v>46</x:v>
      </x:c>
      <x:c r="AF56" s="13" t="s">
        <x:v>47</x:v>
      </x:c>
      <x:c r="AG56" s="12" t="s">
        <x:v>48</x:v>
      </x:c>
    </x:row>
    <x:row r="57" ht="75.75" hidden="0" customHeight="1">
      <x:c r="A57" s="30" t="n">
        <x:v>214.812</x:v>
      </x:c>
      <x:c r="B57" s="9" t="n">
        <x:f aca="0">IF(ISNUMBER(A57),
IF(AND(A57=INT(A57), MOD(A57, 10) = 0), 0,
IF(AND(A57=INT(A57), LEN(A57)=2), 1,
IF(AND(A57=INT(A57), LEN(A57)=3), 2,
LEN(A57) - FIND(".", A57) + 2)
)
),
"")</x:f>
        <x:v>5</x:v>
      </x:c>
      <x:c r="C57" s="37" t="s">
        <x:v>173</x:v>
      </x:c>
      <x:c r="D57" s="10" t="str">
        <x:f aca="0">REPT("   ", B57*2) &amp; C57</x:f>
        <x:v>                              ManipulatorBuilding Basement</x:v>
      </x:c>
      <x:c r="E57" s="10" t="s">
        <x:v>35</x:v>
      </x:c>
      <x:c r="F57" s="10"/>
      <x:c r="G57" s="18"/>
      <x:c r="H57" s="18"/>
      <x:c r="I57" s="18"/>
      <x:c r="J57" s="16"/>
      <x:c r="K57" s="17" t="n">
        <x:f aca="0">943.9</x:f>
        <x:v>943.9</x:v>
      </x:c>
      <x:c r="L57" s="18" t="s">
        <x:v>80</x:v>
      </x:c>
      <x:c r="M57" s="37" t="s">
        <x:v>174</x:v>
      </x:c>
      <x:c r="N57" s="18"/>
      <x:c r="O57" s="18" t="s">
        <x:v>82</x:v>
      </x:c>
      <x:c r="P57" s="19"/>
      <x:c r="Q57" s="20" t="n">
        <x:v>2024</x:v>
      </x:c>
      <x:c r="R57" s="19" t="s">
        <x:v>96</x:v>
      </x:c>
      <x:c r="S57" s="21"/>
      <x:c r="T57" s="21"/>
      <x:c r="U57" s="21"/>
      <x:c r="V57" s="21"/>
      <x:c r="W57" s="12" t="s">
        <x:v>77</x:v>
      </x:c>
      <x:c r="X57" s="24" t="n">
        <x:f aca="0">0.9*$J57</x:f>
        <x:v>0</x:v>
      </x:c>
      <x:c r="Y57" s="24" t="n">
        <x:f aca="0">1.5*J57</x:f>
        <x:v>0</x:v>
      </x:c>
      <x:c r="Z57" s="12" t="s">
        <x:v>44</x:v>
      </x:c>
      <x:c r="AA57" s="13" t="n">
        <x:f aca="0">0.9*K57</x:f>
        <x:v>849.51</x:v>
      </x:c>
      <x:c r="AB57" s="13" t="n">
        <x:f aca="0">1.3*K57</x:f>
        <x:v>1227.07</x:v>
      </x:c>
      <x:c r="AC57" s="12" t="s">
        <x:v>44</x:v>
      </x:c>
      <x:c r="AD57" s="13" t="s">
        <x:v>45</x:v>
      </x:c>
      <x:c r="AE57" s="13" t="s">
        <x:v>46</x:v>
      </x:c>
      <x:c r="AF57" s="13" t="s">
        <x:v>47</x:v>
      </x:c>
      <x:c r="AG57" s="12" t="s">
        <x:v>48</x:v>
      </x:c>
    </x:row>
    <x:row r="58" ht="75.75" hidden="0" customHeight="1">
      <x:c r="A58" s="30" t="n">
        <x:v>214.813</x:v>
      </x:c>
      <x:c r="B58" s="9" t="n">
        <x:f aca="0">IF(ISNUMBER(A58),
IF(AND(A58=INT(A58), MOD(A58, 10) = 0), 0,
IF(AND(A58=INT(A58), LEN(A58)=2), 1,
IF(AND(A58=INT(A58), LEN(A58)=3), 2,
LEN(A58) - FIND(".", A58) + 2)
)
),
"")</x:f>
        <x:v>5</x:v>
      </x:c>
      <x:c r="C58" s="37" t="s">
        <x:v>175</x:v>
      </x:c>
      <x:c r="D58" s="10" t="str">
        <x:f aca="0">REPT("   ", B58*2) &amp; C58</x:f>
        <x:v>                              Manipulator Building Exterior Walls</x:v>
      </x:c>
      <x:c r="E58" s="10" t="s">
        <x:v>35</x:v>
      </x:c>
      <x:c r="F58" s="10"/>
      <x:c r="G58" s="18"/>
      <x:c r="H58" s="18"/>
      <x:c r="I58" s="18"/>
      <x:c r="J58" s="16"/>
      <x:c r="K58" s="17" t="n">
        <x:f aca="0">721.21</x:f>
        <x:v>721.21</x:v>
      </x:c>
      <x:c r="L58" s="18" t="s">
        <x:v>80</x:v>
      </x:c>
      <x:c r="M58" s="37" t="s">
        <x:v>176</x:v>
      </x:c>
      <x:c r="N58" s="18"/>
      <x:c r="O58" s="18" t="s">
        <x:v>82</x:v>
      </x:c>
      <x:c r="P58" s="19"/>
      <x:c r="Q58" s="20" t="n">
        <x:v>2024</x:v>
      </x:c>
      <x:c r="R58" s="18" t="s">
        <x:v>96</x:v>
      </x:c>
      <x:c r="S58" s="21"/>
      <x:c r="T58" s="21"/>
      <x:c r="U58" s="21"/>
      <x:c r="V58" s="21"/>
      <x:c r="W58" s="12" t="s">
        <x:v>77</x:v>
      </x:c>
      <x:c r="X58" s="24" t="n">
        <x:f aca="0">0.9*$J58</x:f>
        <x:v>0</x:v>
      </x:c>
      <x:c r="Y58" s="24" t="n">
        <x:f aca="0">1.5*J58</x:f>
        <x:v>0</x:v>
      </x:c>
      <x:c r="Z58" s="12" t="s">
        <x:v>44</x:v>
      </x:c>
      <x:c r="AA58" s="13" t="n">
        <x:f aca="0">0.9*K58</x:f>
        <x:v>649.089</x:v>
      </x:c>
      <x:c r="AB58" s="13" t="n">
        <x:f aca="0">1.3*K58</x:f>
        <x:v>937.5730000000001</x:v>
      </x:c>
      <x:c r="AC58" s="12" t="s">
        <x:v>44</x:v>
      </x:c>
      <x:c r="AD58" s="13" t="s">
        <x:v>45</x:v>
      </x:c>
      <x:c r="AE58" s="13" t="s">
        <x:v>46</x:v>
      </x:c>
      <x:c r="AF58" s="13" t="s">
        <x:v>47</x:v>
      </x:c>
      <x:c r="AG58" s="12" t="s">
        <x:v>48</x:v>
      </x:c>
    </x:row>
    <x:row r="59" ht="26.25" hidden="0" customHeight="1">
      <x:c r="A59" s="30" t="n">
        <x:v>215</x:v>
      </x:c>
      <x:c r="B59" s="9" t="n">
        <x:f aca="0">IF(ISNUMBER(A59),
IF(AND(A59=INT(A59), MOD(A59, 10) = 0), 0,
IF(AND(A59=INT(A59), LEN(A59)=2), 1,
IF(AND(A59=INT(A59), LEN(A59)=3), 2,
LEN(A59) - FIND(".", A59) + 2)
)
),
"")</x:f>
        <x:v>2</x:v>
      </x:c>
      <x:c r="C59" s="37" t="s">
        <x:v>177</x:v>
      </x:c>
      <x:c r="D59" s="10" t="str">
        <x:f aca="0">REPT("   ", B59*2) &amp; C59</x:f>
        <x:v>            Supply Chain Buildings</x:v>
      </x:c>
      <x:c r="E59" s="10"/>
      <x:c r="F59" s="10"/>
      <x:c r="G59" s="10"/>
      <x:c r="H59" s="10"/>
      <x:c r="I59" s="10"/>
      <x:c r="J59" s="16"/>
      <x:c r="K59" s="38"/>
      <x:c r="L59" s="18"/>
      <x:c r="M59" s="21"/>
      <x:c r="N59" s="18"/>
      <x:c r="O59" s="18"/>
      <x:c r="P59" s="18"/>
      <x:c r="Q59" s="20"/>
      <x:c r="R59" s="18"/>
      <x:c r="S59" s="21"/>
      <x:c r="T59" s="21"/>
      <x:c r="U59" s="39"/>
      <x:c r="V59" s="23"/>
      <x:c r="W59" s="12"/>
      <x:c r="X59" s="24"/>
      <x:c r="Y59" s="24"/>
      <x:c r="Z59" s="12"/>
      <x:c r="AA59" s="13"/>
      <x:c r="AB59" s="13"/>
      <x:c r="AC59" s="12"/>
      <x:c r="AD59" s="13"/>
      <x:c r="AE59" s="13"/>
      <x:c r="AF59" s="13"/>
      <x:c r="AG59" s="12"/>
    </x:row>
    <x:row r="60" ht="26.25" hidden="0" customHeight="1">
      <x:c r="A60" s="30" t="n">
        <x:v>215.1</x:v>
      </x:c>
      <x:c r="B60" s="9" t="n">
        <x:f aca="0">IF(ISNUMBER(A60),
IF(AND(A60=INT(A60), MOD(A60, 10) = 0), 0,
IF(AND(A60=INT(A60), LEN(A60)=2), 1,
IF(AND(A60=INT(A60), LEN(A60)=3), 2,
LEN(A60) - FIND(".", A60) + 2)
)
),
"")</x:f>
        <x:v>3</x:v>
      </x:c>
      <x:c r="C60" s="37" t="s">
        <x:v>178</x:v>
      </x:c>
      <x:c r="D60" s="10" t="str">
        <x:f aca="0">REPT("   ", B60*2) &amp; C60</x:f>
        <x:v>                  Storage Building</x:v>
      </x:c>
      <x:c r="E60" s="10"/>
      <x:c r="F60" s="10"/>
      <x:c r="G60" s="10"/>
      <x:c r="H60" s="10"/>
      <x:c r="I60" s="10"/>
      <x:c r="J60" s="16"/>
      <x:c r="K60" s="38"/>
      <x:c r="L60" s="18"/>
      <x:c r="M60" s="21"/>
      <x:c r="N60" s="18"/>
      <x:c r="O60" s="18"/>
      <x:c r="P60" s="18"/>
      <x:c r="Q60" s="20"/>
      <x:c r="R60" s="18"/>
      <x:c r="S60" s="21"/>
      <x:c r="T60" s="21"/>
      <x:c r="U60" s="39"/>
      <x:c r="V60" s="23"/>
      <x:c r="W60" s="12"/>
      <x:c r="X60" s="24"/>
      <x:c r="Y60" s="24"/>
      <x:c r="Z60" s="12"/>
      <x:c r="AA60" s="13"/>
      <x:c r="AB60" s="13"/>
      <x:c r="AC60" s="12"/>
      <x:c r="AD60" s="13"/>
      <x:c r="AE60" s="13"/>
      <x:c r="AF60" s="13"/>
      <x:c r="AG60" s="12"/>
    </x:row>
    <x:row r="61" ht="51.75" hidden="0" customHeight="1">
      <x:c r="A61" s="30" t="n">
        <x:v>215.11</x:v>
      </x:c>
      <x:c r="B61" s="9" t="n">
        <x:f aca="0">IF(ISNUMBER(A61),
IF(AND(A61=INT(A61), MOD(A61, 10) = 0), 0,
IF(AND(A61=INT(A61), LEN(A61)=2), 1,
IF(AND(A61=INT(A61), LEN(A61)=3), 2,
LEN(A61) - FIND(".", A61) + 2)
)
),
"")</x:f>
        <x:v>4</x:v>
      </x:c>
      <x:c r="C61" s="37" t="s">
        <x:v>179</x:v>
      </x:c>
      <x:c r="D61" s="10" t="str">
        <x:f aca="0">REPT("   ", B61*2) &amp; C61</x:f>
        <x:v>                        Storage Building Slab Roof</x:v>
      </x:c>
      <x:c r="E61" s="10" t="s">
        <x:v>35</x:v>
      </x:c>
      <x:c r="F61" s="10"/>
      <x:c r="G61" s="10"/>
      <x:c r="H61" s="10"/>
      <x:c r="I61" s="10"/>
      <x:c r="J61" s="16"/>
      <x:c r="K61" s="17" t="n">
        <x:f aca="0">1200</x:f>
        <x:v>1200</x:v>
      </x:c>
      <x:c r="L61" s="18" t="s">
        <x:v>80</x:v>
      </x:c>
      <x:c r="M61" s="21" t="s">
        <x:v>180</x:v>
      </x:c>
      <x:c r="N61" s="18"/>
      <x:c r="O61" s="18" t="s">
        <x:v>82</x:v>
      </x:c>
      <x:c r="P61" s="18"/>
      <x:c r="Q61" s="20" t="n">
        <x:v>2024</x:v>
      </x:c>
      <x:c r="R61" s="18" t="s">
        <x:v>96</x:v>
      </x:c>
      <x:c r="S61" s="21" t="s">
        <x:v>115</x:v>
      </x:c>
      <x:c r="T61" s="21" t="s">
        <x:v>75</x:v>
      </x:c>
      <x:c r="U61" s="32" t="s">
        <x:v>76</x:v>
      </x:c>
      <x:c r="V61" s="23"/>
      <x:c r="W61" s="12" t="s">
        <x:v>77</x:v>
      </x:c>
      <x:c r="X61" s="24" t="n">
        <x:f aca="0">0.9*$J61</x:f>
        <x:v>0</x:v>
      </x:c>
      <x:c r="Y61" s="24" t="n">
        <x:f aca="0">1.5*J61</x:f>
        <x:v>0</x:v>
      </x:c>
      <x:c r="Z61" s="12" t="s">
        <x:v>44</x:v>
      </x:c>
      <x:c r="AA61" s="13" t="n">
        <x:f aca="0">0.9*K61</x:f>
        <x:v>1080</x:v>
      </x:c>
      <x:c r="AB61" s="13" t="n">
        <x:f aca="0">1.3*K61</x:f>
        <x:v>1560</x:v>
      </x:c>
      <x:c r="AC61" s="12" t="s">
        <x:v>44</x:v>
      </x:c>
      <x:c r="AD61" s="13" t="s">
        <x:v>45</x:v>
      </x:c>
      <x:c r="AE61" s="13" t="s">
        <x:v>46</x:v>
      </x:c>
      <x:c r="AF61" s="13" t="s">
        <x:v>47</x:v>
      </x:c>
      <x:c r="AG61" s="12" t="s">
        <x:v>48</x:v>
      </x:c>
    </x:row>
    <x:row r="62" ht="51.75" hidden="0" customHeight="1">
      <x:c r="A62" s="30" t="n">
        <x:v>215.12</x:v>
      </x:c>
      <x:c r="B62" s="9" t="n">
        <x:f aca="0">IF(ISNUMBER(A62),
IF(AND(A62=INT(A62), MOD(A62, 10) = 0), 0,
IF(AND(A62=INT(A62), LEN(A62)=2), 1,
IF(AND(A62=INT(A62), LEN(A62)=3), 2,
LEN(A62) - FIND(".", A62) + 2)
)
),
"")</x:f>
        <x:v>4</x:v>
      </x:c>
      <x:c r="C62" s="37" t="s">
        <x:v>181</x:v>
      </x:c>
      <x:c r="D62" s="10" t="str">
        <x:f aca="0">REPT("   ", B62*2) &amp; C62</x:f>
        <x:v>                        Storage Building Basement</x:v>
      </x:c>
      <x:c r="E62" s="10" t="s">
        <x:v>35</x:v>
      </x:c>
      <x:c r="F62" s="10"/>
      <x:c r="G62" s="10"/>
      <x:c r="H62" s="10"/>
      <x:c r="I62" s="10"/>
      <x:c r="J62" s="16"/>
      <x:c r="K62" s="17" t="n">
        <x:f aca="0">943.9</x:f>
        <x:v>943.9</x:v>
      </x:c>
      <x:c r="L62" s="18" t="s">
        <x:v>80</x:v>
      </x:c>
      <x:c r="M62" s="21" t="s">
        <x:v>182</x:v>
      </x:c>
      <x:c r="N62" s="18"/>
      <x:c r="O62" s="18" t="s">
        <x:v>82</x:v>
      </x:c>
      <x:c r="P62" s="18"/>
      <x:c r="Q62" s="20" t="n">
        <x:v>2024</x:v>
      </x:c>
      <x:c r="R62" s="18" t="s">
        <x:v>96</x:v>
      </x:c>
      <x:c r="S62" s="21"/>
      <x:c r="T62" s="21"/>
      <x:c r="U62" s="21"/>
      <x:c r="V62" s="23"/>
      <x:c r="W62" s="12" t="s">
        <x:v>77</x:v>
      </x:c>
      <x:c r="X62" s="24" t="n">
        <x:f aca="0">0.9*$J62</x:f>
        <x:v>0</x:v>
      </x:c>
      <x:c r="Y62" s="24" t="n">
        <x:f aca="0">1.5*J62</x:f>
        <x:v>0</x:v>
      </x:c>
      <x:c r="Z62" s="12" t="s">
        <x:v>44</x:v>
      </x:c>
      <x:c r="AA62" s="13" t="n">
        <x:f aca="0">0.9*K62</x:f>
        <x:v>849.51</x:v>
      </x:c>
      <x:c r="AB62" s="13" t="n">
        <x:f aca="0">1.3*K62</x:f>
        <x:v>1227.07</x:v>
      </x:c>
      <x:c r="AC62" s="12" t="s">
        <x:v>44</x:v>
      </x:c>
      <x:c r="AD62" s="13" t="s">
        <x:v>45</x:v>
      </x:c>
      <x:c r="AE62" s="13" t="s">
        <x:v>46</x:v>
      </x:c>
      <x:c r="AF62" s="13" t="s">
        <x:v>47</x:v>
      </x:c>
      <x:c r="AG62" s="12" t="s">
        <x:v>48</x:v>
      </x:c>
    </x:row>
    <x:row r="63" ht="75.75" hidden="0" customHeight="1">
      <x:c r="A63" s="30" t="n">
        <x:v>215.13</x:v>
      </x:c>
      <x:c r="B63" s="9" t="n">
        <x:f aca="0">IF(ISNUMBER(A63),
IF(AND(A63=INT(A63), MOD(A63, 10) = 0), 0,
IF(AND(A63=INT(A63), LEN(A63)=2), 1,
IF(AND(A63=INT(A63), LEN(A63)=3), 2,
LEN(A63) - FIND(".", A63) + 2)
)
),
"")</x:f>
        <x:v>4</x:v>
      </x:c>
      <x:c r="C63" s="37" t="s">
        <x:v>183</x:v>
      </x:c>
      <x:c r="D63" s="10" t="str">
        <x:f aca="0">REPT("   ", B63*2) &amp; C63</x:f>
        <x:v>                        Storage Building Walls</x:v>
      </x:c>
      <x:c r="E63" s="10" t="s">
        <x:v>35</x:v>
      </x:c>
      <x:c r="F63" s="10"/>
      <x:c r="G63" s="10"/>
      <x:c r="H63" s="10"/>
      <x:c r="I63" s="10"/>
      <x:c r="J63" s="16"/>
      <x:c r="K63" s="17" t="n">
        <x:f aca="0">721.21</x:f>
        <x:v>721.21</x:v>
      </x:c>
      <x:c r="L63" s="18" t="s">
        <x:v>80</x:v>
      </x:c>
      <x:c r="M63" s="21" t="s">
        <x:v>184</x:v>
      </x:c>
      <x:c r="N63" s="18"/>
      <x:c r="O63" s="18" t="s">
        <x:v>82</x:v>
      </x:c>
      <x:c r="P63" s="18"/>
      <x:c r="Q63" s="20" t="n">
        <x:v>2024</x:v>
      </x:c>
      <x:c r="R63" s="18" t="s">
        <x:v>96</x:v>
      </x:c>
      <x:c r="S63" s="21"/>
      <x:c r="T63" s="21"/>
      <x:c r="U63" s="21"/>
      <x:c r="V63" s="23"/>
      <x:c r="W63" s="12" t="s">
        <x:v>77</x:v>
      </x:c>
      <x:c r="X63" s="24" t="n">
        <x:f aca="0">0.9*$J63</x:f>
        <x:v>0</x:v>
      </x:c>
      <x:c r="Y63" s="24" t="n">
        <x:f aca="0">1.5*J63</x:f>
        <x:v>0</x:v>
      </x:c>
      <x:c r="Z63" s="12" t="s">
        <x:v>44</x:v>
      </x:c>
      <x:c r="AA63" s="13" t="n">
        <x:f aca="0">0.9*K63</x:f>
        <x:v>649.089</x:v>
      </x:c>
      <x:c r="AB63" s="13" t="n">
        <x:f aca="0">1.3*K63</x:f>
        <x:v>937.5730000000001</x:v>
      </x:c>
      <x:c r="AC63" s="12" t="s">
        <x:v>44</x:v>
      </x:c>
      <x:c r="AD63" s="13" t="s">
        <x:v>45</x:v>
      </x:c>
      <x:c r="AE63" s="13" t="s">
        <x:v>46</x:v>
      </x:c>
      <x:c r="AF63" s="13" t="s">
        <x:v>47</x:v>
      </x:c>
      <x:c r="AG63" s="12" t="s">
        <x:v>48</x:v>
      </x:c>
    </x:row>
    <x:row r="64" ht="26.25" hidden="0" customHeight="1">
      <x:c r="A64" s="30" t="n">
        <x:v>215.4</x:v>
      </x:c>
      <x:c r="B64" s="9" t="n">
        <x:f aca="0">IF(ISNUMBER(A64),
IF(AND(A64=INT(A64), MOD(A64, 10) = 0), 0,
IF(AND(A64=INT(A64), LEN(A64)=2), 1,
IF(AND(A64=INT(A64), LEN(A64)=3), 2,
LEN(A64) - FIND(".", A64) + 2)
)
),
"")</x:f>
        <x:v>3</x:v>
      </x:c>
      <x:c r="C64" s="37" t="s">
        <x:v>185</x:v>
      </x:c>
      <x:c r="D64" s="10" t="str">
        <x:f aca="0">REPT("   ", B64*2) &amp; C64</x:f>
        <x:v>                  Radwaste Building</x:v>
      </x:c>
      <x:c r="E64" s="10"/>
      <x:c r="F64" s="10"/>
      <x:c r="G64" s="10"/>
      <x:c r="H64" s="10"/>
      <x:c r="I64" s="10"/>
      <x:c r="J64" s="16"/>
      <x:c r="K64" s="38"/>
      <x:c r="L64" s="18"/>
      <x:c r="M64" s="21"/>
      <x:c r="N64" s="18"/>
      <x:c r="O64" s="18"/>
      <x:c r="P64" s="18"/>
      <x:c r="Q64" s="20"/>
      <x:c r="R64" s="18"/>
      <x:c r="S64" s="21"/>
      <x:c r="T64" s="21"/>
      <x:c r="U64" s="39"/>
      <x:c r="V64" s="23"/>
      <x:c r="W64" s="12"/>
      <x:c r="X64" s="24"/>
      <x:c r="Y64" s="24"/>
      <x:c r="Z64" s="12"/>
      <x:c r="AA64" s="13"/>
      <x:c r="AB64" s="13"/>
      <x:c r="AC64" s="12"/>
      <x:c r="AD64" s="13"/>
      <x:c r="AE64" s="13"/>
      <x:c r="AF64" s="13"/>
      <x:c r="AG64" s="12"/>
    </x:row>
    <x:row r="65" ht="51.75" hidden="0" customHeight="1">
      <x:c r="A65" s="30" t="n">
        <x:v>215.41</x:v>
      </x:c>
      <x:c r="B65" s="9" t="n">
        <x:f aca="0">IF(ISNUMBER(A65),
IF(AND(A65=INT(A65), MOD(A65, 10) = 0), 0,
IF(AND(A65=INT(A65), LEN(A65)=2), 1,
IF(AND(A65=INT(A65), LEN(A65)=3), 2,
LEN(A65) - FIND(".", A65) + 2)
)
),
"")</x:f>
        <x:v>4</x:v>
      </x:c>
      <x:c r="C65" s="37" t="s">
        <x:v>186</x:v>
      </x:c>
      <x:c r="D65" s="10" t="str">
        <x:f aca="0">REPT("   ", B65*2) &amp; C65</x:f>
        <x:v>                        Radwaste Building Slab Roof</x:v>
      </x:c>
      <x:c r="E65" s="10" t="s">
        <x:v>35</x:v>
      </x:c>
      <x:c r="F65" s="10"/>
      <x:c r="G65" s="10"/>
      <x:c r="H65" s="10"/>
      <x:c r="I65" s="10"/>
      <x:c r="J65" s="16"/>
      <x:c r="K65" s="17" t="n">
        <x:f aca="0">1200 *1.53</x:f>
        <x:v>1836</x:v>
      </x:c>
      <x:c r="L65" s="18" t="s">
        <x:v>80</x:v>
      </x:c>
      <x:c r="M65" s="21" t="s">
        <x:v>187</x:v>
      </x:c>
      <x:c r="N65" s="18"/>
      <x:c r="O65" s="18" t="s">
        <x:v>82</x:v>
      </x:c>
      <x:c r="P65" s="18"/>
      <x:c r="Q65" s="20" t="n">
        <x:v>2024</x:v>
      </x:c>
      <x:c r="R65" s="18" t="s">
        <x:v>96</x:v>
      </x:c>
      <x:c r="S65" s="21" t="s">
        <x:v>74</x:v>
      </x:c>
      <x:c r="T65" s="21" t="s">
        <x:v>75</x:v>
      </x:c>
      <x:c r="U65" s="32" t="s">
        <x:v>76</x:v>
      </x:c>
      <x:c r="V65" s="23"/>
      <x:c r="W65" s="12" t="s">
        <x:v>77</x:v>
      </x:c>
      <x:c r="X65" s="24" t="n">
        <x:f aca="0">0.9*$J65</x:f>
        <x:v>0</x:v>
      </x:c>
      <x:c r="Y65" s="24" t="n">
        <x:f aca="0">1.5*J65</x:f>
        <x:v>0</x:v>
      </x:c>
      <x:c r="Z65" s="12" t="s">
        <x:v>44</x:v>
      </x:c>
      <x:c r="AA65" s="13" t="n">
        <x:f aca="0">0.9*K65</x:f>
        <x:v>1652.4</x:v>
      </x:c>
      <x:c r="AB65" s="13" t="n">
        <x:f aca="0">1.3*K65</x:f>
        <x:v>2386.8</x:v>
      </x:c>
      <x:c r="AC65" s="12" t="s">
        <x:v>44</x:v>
      </x:c>
      <x:c r="AD65" s="13" t="s">
        <x:v>45</x:v>
      </x:c>
      <x:c r="AE65" s="13" t="s">
        <x:v>46</x:v>
      </x:c>
      <x:c r="AF65" s="13" t="s">
        <x:v>47</x:v>
      </x:c>
      <x:c r="AG65" s="12" t="s">
        <x:v>48</x:v>
      </x:c>
    </x:row>
    <x:row r="66" ht="51.75" hidden="0" customHeight="1">
      <x:c r="A66" s="30" t="n">
        <x:v>215.42</x:v>
      </x:c>
      <x:c r="B66" s="9" t="n">
        <x:f aca="0">IF(ISNUMBER(A66),
IF(AND(A66=INT(A66), MOD(A66, 10) = 0), 0,
IF(AND(A66=INT(A66), LEN(A66)=2), 1,
IF(AND(A66=INT(A66), LEN(A66)=3), 2,
LEN(A66) - FIND(".", A66) + 2)
)
),
"")</x:f>
        <x:v>4</x:v>
      </x:c>
      <x:c r="C66" s="37" t="s">
        <x:v>188</x:v>
      </x:c>
      <x:c r="D66" s="10" t="str">
        <x:f aca="0">REPT("   ", B66*2) &amp; C66</x:f>
        <x:v>                        Radwaste Building Basement</x:v>
      </x:c>
      <x:c r="E66" s="10" t="s">
        <x:v>35</x:v>
      </x:c>
      <x:c r="F66" s="10"/>
      <x:c r="G66" s="10"/>
      <x:c r="H66" s="10"/>
      <x:c r="I66" s="10"/>
      <x:c r="J66" s="16"/>
      <x:c r="K66" s="17" t="n">
        <x:f aca="0">943.9*1.53</x:f>
        <x:v>1444.167</x:v>
      </x:c>
      <x:c r="L66" s="18" t="s">
        <x:v>80</x:v>
      </x:c>
      <x:c r="M66" s="21" t="s">
        <x:v>189</x:v>
      </x:c>
      <x:c r="N66" s="18"/>
      <x:c r="O66" s="18" t="s">
        <x:v>82</x:v>
      </x:c>
      <x:c r="P66" s="18"/>
      <x:c r="Q66" s="20" t="n">
        <x:v>2024</x:v>
      </x:c>
      <x:c r="R66" s="18" t="s">
        <x:v>96</x:v>
      </x:c>
      <x:c r="S66" s="21"/>
      <x:c r="T66" s="21"/>
      <x:c r="U66" s="21"/>
      <x:c r="V66" s="23"/>
      <x:c r="W66" s="12" t="s">
        <x:v>77</x:v>
      </x:c>
      <x:c r="X66" s="24" t="n">
        <x:f aca="0">0.9*$J66</x:f>
        <x:v>0</x:v>
      </x:c>
      <x:c r="Y66" s="24" t="n">
        <x:f aca="0">1.5*J66</x:f>
        <x:v>0</x:v>
      </x:c>
      <x:c r="Z66" s="12" t="s">
        <x:v>44</x:v>
      </x:c>
      <x:c r="AA66" s="13" t="n">
        <x:f aca="0">0.9*K66</x:f>
        <x:v>1299.7503</x:v>
      </x:c>
      <x:c r="AB66" s="13" t="n">
        <x:f aca="0">1.3*K66</x:f>
        <x:v>1877.4171</x:v>
      </x:c>
      <x:c r="AC66" s="12" t="s">
        <x:v>44</x:v>
      </x:c>
      <x:c r="AD66" s="13" t="s">
        <x:v>45</x:v>
      </x:c>
      <x:c r="AE66" s="13" t="s">
        <x:v>46</x:v>
      </x:c>
      <x:c r="AF66" s="13" t="s">
        <x:v>47</x:v>
      </x:c>
      <x:c r="AG66" s="12" t="s">
        <x:v>48</x:v>
      </x:c>
    </x:row>
    <x:row r="67" ht="75.75" hidden="0" customHeight="1">
      <x:c r="A67" s="30" t="n">
        <x:v>215.43</x:v>
      </x:c>
      <x:c r="B67" s="9" t="n">
        <x:f aca="0">IF(ISNUMBER(A67),
IF(AND(A67=INT(A67), MOD(A67, 10) = 0), 0,
IF(AND(A67=INT(A67), LEN(A67)=2), 1,
IF(AND(A67=INT(A67), LEN(A67)=3), 2,
LEN(A67) - FIND(".", A67) + 2)
)
),
"")</x:f>
        <x:v>4</x:v>
      </x:c>
      <x:c r="C67" s="37" t="s">
        <x:v>190</x:v>
      </x:c>
      <x:c r="D67" s="10" t="str">
        <x:f aca="0">REPT("   ", B67*2) &amp; C67</x:f>
        <x:v>                        Radwaste Building Walls</x:v>
      </x:c>
      <x:c r="E67" s="10" t="s">
        <x:v>35</x:v>
      </x:c>
      <x:c r="F67" s="10"/>
      <x:c r="G67" s="10"/>
      <x:c r="H67" s="10"/>
      <x:c r="I67" s="10"/>
      <x:c r="J67" s="16"/>
      <x:c r="K67" s="17" t="n">
        <x:f aca="0">721.21*1.53</x:f>
        <x:v>1103.4513000000002</x:v>
      </x:c>
      <x:c r="L67" s="18" t="s">
        <x:v>80</x:v>
      </x:c>
      <x:c r="M67" s="21" t="s">
        <x:v>191</x:v>
      </x:c>
      <x:c r="N67" s="18"/>
      <x:c r="O67" s="18" t="s">
        <x:v>82</x:v>
      </x:c>
      <x:c r="P67" s="18"/>
      <x:c r="Q67" s="20" t="n">
        <x:v>2024</x:v>
      </x:c>
      <x:c r="R67" s="18" t="s">
        <x:v>96</x:v>
      </x:c>
      <x:c r="S67" s="21"/>
      <x:c r="T67" s="21"/>
      <x:c r="U67" s="21"/>
      <x:c r="V67" s="23"/>
      <x:c r="W67" s="12" t="s">
        <x:v>77</x:v>
      </x:c>
      <x:c r="X67" s="24" t="n">
        <x:f aca="0">0.9*$J67</x:f>
        <x:v>0</x:v>
      </x:c>
      <x:c r="Y67" s="24" t="n">
        <x:f aca="0">1.5*J67</x:f>
        <x:v>0</x:v>
      </x:c>
      <x:c r="Z67" s="12" t="s">
        <x:v>44</x:v>
      </x:c>
      <x:c r="AA67" s="13" t="n">
        <x:f aca="0">0.9*K67</x:f>
        <x:v>993.1061700000001</x:v>
      </x:c>
      <x:c r="AB67" s="13" t="n">
        <x:f aca="0">1.3*K67</x:f>
        <x:v>1434.4866900000002</x:v>
      </x:c>
      <x:c r="AC67" s="12" t="s">
        <x:v>44</x:v>
      </x:c>
      <x:c r="AD67" s="13" t="s">
        <x:v>45</x:v>
      </x:c>
      <x:c r="AE67" s="13" t="s">
        <x:v>46</x:v>
      </x:c>
      <x:c r="AF67" s="13" t="s">
        <x:v>47</x:v>
      </x:c>
      <x:c r="AG67" s="12" t="s">
        <x:v>48</x:v>
      </x:c>
    </x:row>
    <x:row r="68" ht="26.25" hidden="0" customHeight="1">
      <x:c r="A68" s="6" t="n">
        <x:v>22</x:v>
      </x:c>
      <x:c r="B68" s="9" t="n">
        <x:f aca="0">IF(ISNUMBER(A68),
IF(AND(A68=INT(A68), MOD(A68, 10) = 0), 0,
IF(AND(A68=INT(A68), LEN(A68)=2), 1,
IF(AND(A68=INT(A68), LEN(A68)=3), 2,
LEN(A68) - FIND(".", A68) + 2)
)
),
"")</x:f>
        <x:v>1</x:v>
      </x:c>
      <x:c r="C68" s="37" t="s">
        <x:v>192</x:v>
      </x:c>
      <x:c r="D68" s="10" t="str">
        <x:f aca="0">REPT("   ", B68*2) &amp; C68</x:f>
        <x:v>      Reactor System</x:v>
      </x:c>
      <x:c r="E68" s="10"/>
      <x:c r="F68" s="10"/>
      <x:c r="G68" s="10"/>
      <x:c r="H68" s="10"/>
      <x:c r="I68" s="10"/>
      <x:c r="J68" s="16"/>
      <x:c r="K68" s="17"/>
      <x:c r="L68" s="19"/>
      <x:c r="M68" s="26"/>
      <x:c r="N68" s="23"/>
      <x:c r="O68" s="23"/>
      <x:c r="P68" s="23"/>
      <x:c r="Q68" s="20"/>
      <x:c r="R68" s="23"/>
      <x:c r="S68" s="26"/>
      <x:c r="T68" s="23"/>
      <x:c r="U68" s="23"/>
      <x:c r="V68" s="23"/>
      <x:c r="W68" s="12"/>
      <x:c r="X68" s="24"/>
      <x:c r="Y68" s="24"/>
      <x:c r="Z68" s="12"/>
      <x:c r="AA68" s="13"/>
      <x:c r="AB68" s="13"/>
      <x:c r="AC68" s="12"/>
      <x:c r="AD68" s="13"/>
      <x:c r="AE68" s="13"/>
      <x:c r="AF68" s="13"/>
      <x:c r="AG68" s="12"/>
    </x:row>
    <x:row r="69" ht="26.25" hidden="0" customHeight="1">
      <x:c r="A69" s="30" t="n">
        <x:v>221</x:v>
      </x:c>
      <x:c r="B69" s="9" t="n">
        <x:f aca="0">IF(ISNUMBER(A69),
IF(AND(A69=INT(A69), MOD(A69, 10) = 0), 0,
IF(AND(A69=INT(A69), LEN(A69)=2), 1,
IF(AND(A69=INT(A69), LEN(A69)=3), 2,
LEN(A69) - FIND(".", A69) + 2)
)
),
"")</x:f>
        <x:v>2</x:v>
      </x:c>
      <x:c r="C69" s="37" t="s">
        <x:v>193</x:v>
      </x:c>
      <x:c r="D69" s="10" t="str">
        <x:f aca="0">REPT("   ", B69*2) &amp; C69</x:f>
        <x:v>            Reactor Components</x:v>
      </x:c>
      <x:c r="E69" s="10"/>
      <x:c r="F69" s="10"/>
      <x:c r="G69" s="10"/>
      <x:c r="H69" s="10"/>
      <x:c r="I69" s="10"/>
      <x:c r="J69" s="16"/>
      <x:c r="K69" s="17"/>
      <x:c r="L69" s="19"/>
      <x:c r="M69" s="26"/>
      <x:c r="N69" s="23"/>
      <x:c r="O69" s="23"/>
      <x:c r="P69" s="23"/>
      <x:c r="Q69" s="20"/>
      <x:c r="R69" s="23"/>
      <x:c r="S69" s="26"/>
      <x:c r="T69" s="23"/>
      <x:c r="U69" s="23"/>
      <x:c r="V69" s="23"/>
      <x:c r="W69" s="12"/>
      <x:c r="X69" s="24"/>
      <x:c r="Y69" s="24"/>
      <x:c r="Z69" s="12"/>
      <x:c r="AA69" s="13"/>
      <x:c r="AB69" s="13"/>
      <x:c r="AC69" s="12"/>
      <x:c r="AD69" s="13"/>
      <x:c r="AE69" s="13"/>
      <x:c r="AF69" s="13"/>
      <x:c r="AG69" s="12"/>
    </x:row>
    <x:row r="70" ht="53.25" hidden="0" customHeight="1">
      <x:c r="A70" s="30" t="n">
        <x:v>221.1</x:v>
      </x:c>
      <x:c r="B70" s="9" t="n">
        <x:f aca="0">IF(ISNUMBER(A70),
IF(AND(A70=INT(A70), MOD(A70, 10) = 0), 0,
IF(AND(A70=INT(A70), LEN(A70)=2), 1,
IF(AND(A70=INT(A70), LEN(A70)=3), 2,
LEN(A70) - FIND(".", A70) + 2)
)
),
"")</x:f>
        <x:v>3</x:v>
      </x:c>
      <x:c r="C70" s="37" t="s">
        <x:v>194</x:v>
      </x:c>
      <x:c r="D70" s="10" t="str">
        <x:f aca="0">REPT("   ", B70*2) &amp; C70</x:f>
        <x:v>                  Reactor Vessel and Accessories</x:v>
      </x:c>
      <x:c r="E70" s="10"/>
      <x:c r="F70" s="10"/>
      <x:c r="G70" s="10"/>
      <x:c r="H70" s="10"/>
      <x:c r="I70" s="10"/>
      <x:c r="J70" s="16"/>
      <x:c r="K70" s="41"/>
      <x:c r="L70" s="23"/>
      <x:c r="M70" s="26"/>
      <x:c r="N70" s="23"/>
      <x:c r="O70" s="23"/>
      <x:c r="P70" s="23"/>
      <x:c r="Q70" s="20"/>
      <x:c r="R70" s="23"/>
      <x:c r="S70" s="26"/>
      <x:c r="T70" s="23"/>
      <x:c r="U70" s="23"/>
      <x:c r="V70" s="23"/>
      <x:c r="W70" s="12"/>
      <x:c r="X70" s="24"/>
      <x:c r="Y70" s="24"/>
      <x:c r="Z70" s="12"/>
      <x:c r="AA70" s="13"/>
      <x:c r="AB70" s="13"/>
      <x:c r="AC70" s="12"/>
      <x:c r="AD70" s="13"/>
      <x:c r="AE70" s="13"/>
      <x:c r="AF70" s="13"/>
      <x:c r="AG70" s="12"/>
    </x:row>
    <x:row r="71" ht="111.75" hidden="0" customHeight="1">
      <x:c r="A71" s="30" t="n">
        <x:v>221.11</x:v>
      </x:c>
      <x:c r="B71" s="9" t="n">
        <x:f aca="0">IF(ISNUMBER(A71),
IF(AND(A71=INT(A71), MOD(A71, 10) = 0), 0,
IF(AND(A71=INT(A71), LEN(A71)=2), 1,
IF(AND(A71=INT(A71), LEN(A71)=3), 2,
LEN(A71) - FIND(".", A71) + 2)
)
),
"")</x:f>
        <x:v>4</x:v>
      </x:c>
      <x:c r="C71" s="37" t="s">
        <x:v>195</x:v>
      </x:c>
      <x:c r="D71" s="10" t="str">
        <x:f aca="0">REPT("   ", B71*2) &amp; C71</x:f>
        <x:v>                        Reactor Support</x:v>
      </x:c>
      <x:c r="E71" s="10" t="s">
        <x:v>35</x:v>
      </x:c>
      <x:c r="F71" s="10"/>
      <x:c r="G71" s="10"/>
      <x:c r="H71" s="10"/>
      <x:c r="I71" s="10"/>
      <x:c r="J71" s="16"/>
      <x:c r="K71" s="17" t="n">
        <x:f aca="0">MARVEL_Cost!C16/N71</x:f>
        <x:v>311.5579893747446</x:v>
      </x:c>
      <x:c r="L71" s="23" t="s">
        <x:v>196</x:v>
      </x:c>
      <x:c r="M71" s="26" t="s">
        <x:v>197</x:v>
      </x:c>
      <x:c r="N71" s="23" t="n">
        <x:f aca="0">1000*('Design Variables'!B52+'Design Variables'!B49)</x:f>
        <x:v>2447</x:v>
      </x:c>
      <x:c r="O71" s="23" t="s">
        <x:v>198</x:v>
      </x:c>
      <x:c r="P71" s="23" t="n">
        <x:v>0.85</x:v>
      </x:c>
      <x:c r="Q71" s="20" t="n">
        <x:v>2018</x:v>
      </x:c>
      <x:c r="R71" s="23" t="s">
        <x:v>96</x:v>
      </x:c>
      <x:c r="S71" s="26" t="s">
        <x:v>199</x:v>
      </x:c>
      <x:c r="T71" s="26"/>
      <x:c r="U71" s="37"/>
      <x:c r="V71" s="26" t="s">
        <x:v>200</x:v>
      </x:c>
      <x:c r="W71" s="12" t="s">
        <x:v>201</x:v>
      </x:c>
      <x:c r="X71" s="24" t="n">
        <x:f aca="0">0.9*$J71</x:f>
        <x:v>0</x:v>
      </x:c>
      <x:c r="Y71" s="24" t="n">
        <x:f aca="0">1.5*J71</x:f>
        <x:v>0</x:v>
      </x:c>
      <x:c r="Z71" s="12" t="s">
        <x:v>44</x:v>
      </x:c>
      <x:c r="AA71" s="13" t="n">
        <x:f aca="0">0.9*K71</x:f>
        <x:v>280.4021904372701</x:v>
      </x:c>
      <x:c r="AB71" s="13" t="n">
        <x:f aca="0">1.3*K71</x:f>
        <x:v>405.02538618716795</x:v>
      </x:c>
      <x:c r="AC71" s="12" t="s">
        <x:v>44</x:v>
      </x:c>
      <x:c r="AD71" s="13" t="s">
        <x:v>45</x:v>
      </x:c>
      <x:c r="AE71" s="13" t="s">
        <x:v>46</x:v>
      </x:c>
      <x:c r="AF71" s="13" t="s">
        <x:v>47</x:v>
      </x:c>
      <x:c r="AG71" s="12" t="s">
        <x:v>48</x:v>
      </x:c>
    </x:row>
    <x:row r="72" ht="53.25" hidden="0" customHeight="1">
      <x:c r="A72" s="30" t="n">
        <x:v>221.12</x:v>
      </x:c>
      <x:c r="B72" s="9" t="n">
        <x:f aca="0">IF(ISNUMBER(A72),
IF(AND(A72=INT(A72), MOD(A72, 10) = 0), 0,
IF(AND(A72=INT(A72), LEN(A72)=2), 1,
IF(AND(A72=INT(A72), LEN(A72)=3), 2,
LEN(A72) - FIND(".", A72) + 2)
)
),
"")</x:f>
        <x:v>4</x:v>
      </x:c>
      <x:c r="C72" s="37" t="s">
        <x:v>202</x:v>
      </x:c>
      <x:c r="D72" s="10" t="str">
        <x:f aca="0">REPT("   ", B72*2) &amp; C72</x:f>
        <x:v>                        Outer Vessel Structure</x:v>
      </x:c>
      <x:c r="E72" s="10" t="s">
        <x:v>35</x:v>
      </x:c>
      <x:c r="F72" s="10" t="s">
        <x:v>203</x:v>
      </x:c>
      <x:c r="G72" s="10" t="s">
        <x:v>204</x:v>
      </x:c>
      <x:c r="H72" s="10"/>
      <x:c r="I72" s="10"/>
      <x:c r="J72" s="16"/>
      <x:c r="K72" s="17" t="n">
        <x:f aca="0">MARVEL_Cost!C17/N72</x:f>
        <x:v>757.2076874606175</x:v>
      </x:c>
      <x:c r="L72" s="23" t="s">
        <x:v>196</x:v>
      </x:c>
      <x:c r="M72" s="26" t="s">
        <x:v>205</x:v>
      </x:c>
      <x:c r="N72" s="42" t="n">
        <x:f aca="0">'Design Variables'!B52*1000</x:f>
        <x:v>1587</x:v>
      </x:c>
      <x:c r="O72" s="23" t="s">
        <x:v>198</x:v>
      </x:c>
      <x:c r="P72" s="23"/>
      <x:c r="Q72" s="20" t="n">
        <x:v>2017</x:v>
      </x:c>
      <x:c r="R72" s="23" t="s">
        <x:v>96</x:v>
      </x:c>
      <x:c r="S72" s="26" t="s">
        <x:v>206</x:v>
      </x:c>
      <x:c r="T72" s="43" t="s">
        <x:v>207</x:v>
      </x:c>
      <x:c r="U72" s="37"/>
      <x:c r="V72" s="23"/>
      <x:c r="W72" s="12" t="s">
        <x:v>201</x:v>
      </x:c>
      <x:c r="X72" s="24" t="n">
        <x:f aca="0">0.9*$J72</x:f>
        <x:v>0</x:v>
      </x:c>
      <x:c r="Y72" s="24" t="n">
        <x:f aca="0">1.5*J72</x:f>
        <x:v>0</x:v>
      </x:c>
      <x:c r="Z72" s="12" t="s">
        <x:v>44</x:v>
      </x:c>
      <x:c r="AA72" s="13" t="n">
        <x:f aca="0">0.9*K72</x:f>
        <x:v>681.4869187145558</x:v>
      </x:c>
      <x:c r="AB72" s="13" t="n">
        <x:f aca="0">1.3*K72</x:f>
        <x:v>984.3699936988028</x:v>
      </x:c>
      <x:c r="AC72" s="12" t="s">
        <x:v>44</x:v>
      </x:c>
      <x:c r="AD72" s="13" t="s">
        <x:v>45</x:v>
      </x:c>
      <x:c r="AE72" s="13" t="s">
        <x:v>46</x:v>
      </x:c>
      <x:c r="AF72" s="13" t="s">
        <x:v>47</x:v>
      </x:c>
      <x:c r="AG72" s="12" t="s">
        <x:v>48</x:v>
      </x:c>
    </x:row>
    <x:row r="73" ht="53.25" hidden="0" customHeight="1">
      <x:c r="A73" s="30" t="n">
        <x:v>221.12</x:v>
      </x:c>
      <x:c r="B73" s="9" t="n">
        <x:f aca="0">IF(ISNUMBER(A73),
IF(AND(A73=INT(A73), MOD(A73, 10) = 0), 0,
IF(AND(A73=INT(A73), LEN(A73)=2), 1,
IF(AND(A73=INT(A73), LEN(A73)=3), 2,
LEN(A73) - FIND(".", A73) + 2)
)
),
"")</x:f>
        <x:v>4</x:v>
      </x:c>
      <x:c r="C73" s="37" t="s">
        <x:v>202</x:v>
      </x:c>
      <x:c r="D73" s="10" t="str">
        <x:f aca="0">REPT("   ", B73*2) &amp; C73</x:f>
        <x:v>                        Outer Vessel Structure</x:v>
      </x:c>
      <x:c r="E73" s="10" t="s">
        <x:v>35</x:v>
      </x:c>
      <x:c r="F73" s="10" t="s">
        <x:v>203</x:v>
      </x:c>
      <x:c r="G73" s="10" t="s">
        <x:v>208</x:v>
      </x:c>
      <x:c r="H73" s="10"/>
      <x:c r="I73" s="10"/>
      <x:c r="J73" s="16"/>
      <x:c r="K73" s="17" t="n">
        <x:v>154.08</x:v>
      </x:c>
      <x:c r="L73" s="23" t="s">
        <x:v>196</x:v>
      </x:c>
      <x:c r="M73" s="26" t="s">
        <x:v>205</x:v>
      </x:c>
      <x:c r="N73" s="42"/>
      <x:c r="O73" s="23"/>
      <x:c r="P73" s="23"/>
      <x:c r="Q73" s="20" t="n">
        <x:v>2017</x:v>
      </x:c>
      <x:c r="R73" s="23" t="s">
        <x:v>96</x:v>
      </x:c>
      <x:c r="S73" s="26" t="s">
        <x:v>206</x:v>
      </x:c>
      <x:c r="T73" s="43"/>
      <x:c r="U73" s="37"/>
      <x:c r="V73" s="23"/>
      <x:c r="W73" s="12" t="s">
        <x:v>201</x:v>
      </x:c>
      <x:c r="X73" s="24" t="n">
        <x:f aca="0">0.9*$J73</x:f>
        <x:v>0</x:v>
      </x:c>
      <x:c r="Y73" s="24" t="n">
        <x:f aca="0">1.5*J73</x:f>
        <x:v>0</x:v>
      </x:c>
      <x:c r="Z73" s="12" t="s">
        <x:v>44</x:v>
      </x:c>
      <x:c r="AA73" s="13" t="n">
        <x:f aca="0">0.9*K73</x:f>
        <x:v>138.67200000000003</x:v>
      </x:c>
      <x:c r="AB73" s="13" t="n">
        <x:f aca="0">1.3*K73</x:f>
        <x:v>200.30400000000003</x:v>
      </x:c>
      <x:c r="AC73" s="12" t="s">
        <x:v>44</x:v>
      </x:c>
      <x:c r="AD73" s="13" t="s">
        <x:v>45</x:v>
      </x:c>
      <x:c r="AE73" s="13" t="s">
        <x:v>46</x:v>
      </x:c>
      <x:c r="AF73" s="13" t="s">
        <x:v>47</x:v>
      </x:c>
      <x:c r="AG73" s="12" t="s">
        <x:v>48</x:v>
      </x:c>
    </x:row>
    <x:row r="74" ht="53.25" hidden="0" customHeight="1">
      <x:c r="A74" s="30" t="n">
        <x:v>221.12</x:v>
      </x:c>
      <x:c r="B74" s="9" t="n">
        <x:f aca="0">IF(ISNUMBER(A74),
    IF(AND(A74=INT(A74), MOD(A74, 10) = 0), 0,
        IF(AND(A74=INT(A74), LEN(A74)=2), 1,
            IF(AND(A74=INT(A74), LEN(A74)=3), 2,
                LEN(A74) - FIND(".", A74) + 2)
        )
    ),
"")</x:f>
        <x:v>4</x:v>
      </x:c>
      <x:c r="C74" s="37" t="s">
        <x:v>202</x:v>
      </x:c>
      <x:c r="D74" s="10" t="str">
        <x:f aca="0">REPT("   ", B74*2) &amp; C74</x:f>
        <x:v>                        Outer Vessel Structure</x:v>
      </x:c>
      <x:c r="E74" s="10" t="s">
        <x:v>35</x:v>
      </x:c>
      <x:c r="F74" s="10" t="s">
        <x:v>203</x:v>
      </x:c>
      <x:c r="G74" s="10" t="s">
        <x:v>209</x:v>
      </x:c>
      <x:c r="H74" s="10"/>
      <x:c r="I74" s="10"/>
      <x:c r="J74" s="16"/>
      <x:c r="K74" s="17" t="n">
        <x:v>444.08</x:v>
      </x:c>
      <x:c r="L74" s="23" t="s">
        <x:v>196</x:v>
      </x:c>
      <x:c r="M74" s="26" t="s">
        <x:v>205</x:v>
      </x:c>
      <x:c r="N74" s="42"/>
      <x:c r="O74" s="23"/>
      <x:c r="P74" s="23"/>
      <x:c r="Q74" s="20" t="n">
        <x:v>2017</x:v>
      </x:c>
      <x:c r="R74" s="23" t="s">
        <x:v>96</x:v>
      </x:c>
      <x:c r="S74" s="26" t="s">
        <x:v>206</x:v>
      </x:c>
      <x:c r="T74" s="43"/>
      <x:c r="U74" s="37"/>
      <x:c r="V74" s="23"/>
      <x:c r="W74" s="12" t="s">
        <x:v>201</x:v>
      </x:c>
      <x:c r="X74" s="24" t="n">
        <x:f aca="0">0.9*$J74</x:f>
        <x:v>0</x:v>
      </x:c>
      <x:c r="Y74" s="24" t="n">
        <x:f aca="0">1.5*J74</x:f>
        <x:v>0</x:v>
      </x:c>
      <x:c r="Z74" s="12" t="s">
        <x:v>44</x:v>
      </x:c>
      <x:c r="AA74" s="13" t="n">
        <x:f aca="0">0.9*K74</x:f>
        <x:v>399.67199999999997</x:v>
      </x:c>
      <x:c r="AB74" s="13" t="n">
        <x:f aca="0">1.3*K74</x:f>
        <x:v>577.304</x:v>
      </x:c>
      <x:c r="AC74" s="12" t="s">
        <x:v>44</x:v>
      </x:c>
      <x:c r="AD74" s="13" t="s">
        <x:v>45</x:v>
      </x:c>
      <x:c r="AE74" s="13" t="s">
        <x:v>46</x:v>
      </x:c>
      <x:c r="AF74" s="13" t="s">
        <x:v>47</x:v>
      </x:c>
      <x:c r="AG74" s="12" t="s">
        <x:v>48</x:v>
      </x:c>
    </x:row>
    <x:row r="75" ht="53.25" hidden="0" customHeight="1">
      <x:c r="A75" s="30" t="n">
        <x:v>221.13</x:v>
      </x:c>
      <x:c r="B75" s="9" t="n">
        <x:f aca="0">IF(ISNUMBER(A75),
IF(AND(A75=INT(A75), MOD(A75, 10) = 0), 0,
IF(AND(A75=INT(A75), LEN(A75)=2), 1,
IF(AND(A75=INT(A75), LEN(A75)=3), 2,
LEN(A75) - FIND(".", A75) + 2)
)
),
"")</x:f>
        <x:v>4</x:v>
      </x:c>
      <x:c r="C75" s="37" t="s">
        <x:v>210</x:v>
      </x:c>
      <x:c r="D75" s="10" t="str">
        <x:f aca="0">REPT("   ", B75*2) &amp; C75</x:f>
        <x:v>                        Inner Vessel Structure</x:v>
      </x:c>
      <x:c r="E75" s="10" t="s">
        <x:v>35</x:v>
      </x:c>
      <x:c r="F75" s="10" t="s">
        <x:v>211</x:v>
      </x:c>
      <x:c r="G75" s="10" t="s">
        <x:v>204</x:v>
      </x:c>
      <x:c r="H75" s="10"/>
      <x:c r="I75" s="10"/>
      <x:c r="J75" s="16" t="n">
        <x:f aca="0">MARVEL_Cost!C37+MARVEL_Cost!C36</x:f>
        <x:v>3369444.6</x:v>
      </x:c>
      <x:c r="K75" s="17" t="n">
        <x:f aca="0">(MARVEL_Cost!C35)/N75</x:f>
        <x:v>1768.3558139534885</x:v>
      </x:c>
      <x:c r="L75" s="23" t="s">
        <x:v>196</x:v>
      </x:c>
      <x:c r="M75" s="26" t="s">
        <x:v>212</x:v>
      </x:c>
      <x:c r="N75" s="23" t="n">
        <x:f aca="0">1000*'Design Variables'!B49</x:f>
        <x:v>860</x:v>
      </x:c>
      <x:c r="O75" s="23"/>
      <x:c r="P75" s="23"/>
      <x:c r="Q75" s="20" t="n">
        <x:v>2017</x:v>
      </x:c>
      <x:c r="R75" s="23" t="s">
        <x:v>96</x:v>
      </x:c>
      <x:c r="S75" s="26" t="s">
        <x:v>206</x:v>
      </x:c>
      <x:c r="T75" s="43"/>
      <x:c r="U75" s="37"/>
      <x:c r="V75" s="26" t="s">
        <x:v>213</x:v>
      </x:c>
      <x:c r="W75" s="12" t="s">
        <x:v>201</x:v>
      </x:c>
      <x:c r="X75" s="24" t="n">
        <x:f aca="0">0.9*$J75</x:f>
        <x:v>3032500.14</x:v>
      </x:c>
      <x:c r="Y75" s="24" t="n">
        <x:f aca="0">1.5*J75</x:f>
        <x:v>5054166.9</x:v>
      </x:c>
      <x:c r="Z75" s="12" t="s">
        <x:v>44</x:v>
      </x:c>
      <x:c r="AA75" s="13" t="n">
        <x:f aca="0">0.9*K75</x:f>
        <x:v>1591.5202325581397</x:v>
      </x:c>
      <x:c r="AB75" s="13" t="n">
        <x:f aca="0">1.3*K75</x:f>
        <x:v>2298.862558139535</x:v>
      </x:c>
      <x:c r="AC75" s="12" t="s">
        <x:v>44</x:v>
      </x:c>
      <x:c r="AD75" s="13" t="s">
        <x:v>45</x:v>
      </x:c>
      <x:c r="AE75" s="13" t="s">
        <x:v>46</x:v>
      </x:c>
      <x:c r="AF75" s="13" t="s">
        <x:v>47</x:v>
      </x:c>
      <x:c r="AG75" s="12" t="s">
        <x:v>48</x:v>
      </x:c>
    </x:row>
    <x:row r="76" ht="53.25" hidden="0" customHeight="1">
      <x:c r="A76" s="30" t="n">
        <x:v>221.13</x:v>
      </x:c>
      <x:c r="B76" s="9" t="n">
        <x:f aca="0">IF(ISNUMBER(A76),
IF(AND(A76=INT(A76), MOD(A76, 10) = 0), 0,
IF(AND(A76=INT(A76), LEN(A76)=2), 1,
IF(AND(A76=INT(A76), LEN(A76)=3), 2,
LEN(A76) - FIND(".", A76) + 2)
)
),
"")</x:f>
        <x:v>4</x:v>
      </x:c>
      <x:c r="C76" s="37" t="s">
        <x:v>210</x:v>
      </x:c>
      <x:c r="D76" s="10" t="str">
        <x:f aca="0">REPT("   ", B76*2) &amp; C76</x:f>
        <x:v>                        Inner Vessel Structure</x:v>
      </x:c>
      <x:c r="E76" s="10" t="s">
        <x:v>35</x:v>
      </x:c>
      <x:c r="F76" s="10" t="s">
        <x:v>211</x:v>
      </x:c>
      <x:c r="G76" s="10" t="s">
        <x:v>208</x:v>
      </x:c>
      <x:c r="H76" s="10"/>
      <x:c r="I76" s="10"/>
      <x:c r="J76" s="16"/>
      <x:c r="K76" s="17" t="n">
        <x:v>154.08</x:v>
      </x:c>
      <x:c r="L76" s="23" t="s">
        <x:v>196</x:v>
      </x:c>
      <x:c r="M76" s="26" t="s">
        <x:v>212</x:v>
      </x:c>
      <x:c r="N76" s="23"/>
      <x:c r="O76" s="23"/>
      <x:c r="P76" s="23"/>
      <x:c r="Q76" s="20" t="n">
        <x:v>2017</x:v>
      </x:c>
      <x:c r="R76" s="23" t="s">
        <x:v>96</x:v>
      </x:c>
      <x:c r="S76" s="26" t="s">
        <x:v>206</x:v>
      </x:c>
      <x:c r="T76" s="43"/>
      <x:c r="U76" s="37"/>
      <x:c r="V76" s="26"/>
      <x:c r="W76" s="12" t="s">
        <x:v>201</x:v>
      </x:c>
      <x:c r="X76" s="24" t="n">
        <x:f aca="0">0.9*$J76</x:f>
        <x:v>0</x:v>
      </x:c>
      <x:c r="Y76" s="24" t="n">
        <x:f aca="0">1.5*J76</x:f>
        <x:v>0</x:v>
      </x:c>
      <x:c r="Z76" s="12" t="s">
        <x:v>44</x:v>
      </x:c>
      <x:c r="AA76" s="13" t="n">
        <x:f aca="0">0.9*K76</x:f>
        <x:v>138.67200000000003</x:v>
      </x:c>
      <x:c r="AB76" s="13" t="n">
        <x:f aca="0">1.3*K76</x:f>
        <x:v>200.30400000000003</x:v>
      </x:c>
      <x:c r="AC76" s="12" t="s">
        <x:v>44</x:v>
      </x:c>
      <x:c r="AD76" s="13" t="s">
        <x:v>45</x:v>
      </x:c>
      <x:c r="AE76" s="13" t="s">
        <x:v>46</x:v>
      </x:c>
      <x:c r="AF76" s="13" t="s">
        <x:v>47</x:v>
      </x:c>
      <x:c r="AG76" s="12" t="s">
        <x:v>48</x:v>
      </x:c>
    </x:row>
    <x:row r="77" ht="53.25" hidden="0" customHeight="1">
      <x:c r="A77" s="30" t="n">
        <x:v>221.13</x:v>
      </x:c>
      <x:c r="B77" s="9" t="n">
        <x:f aca="0">IF(ISNUMBER(A77),
    IF(AND(A77=INT(A77), MOD(A77, 10) = 0), 0,
        IF(AND(A77=INT(A77), LEN(A77)=2), 1,
            IF(AND(A77=INT(A77), LEN(A77)=3), 2,
                LEN(A77) - FIND(".", A77) + 2)
        )
    ),
"")</x:f>
        <x:v>4</x:v>
      </x:c>
      <x:c r="C77" s="37" t="s">
        <x:v>210</x:v>
      </x:c>
      <x:c r="D77" s="10" t="str">
        <x:f aca="0">REPT("   ", B77*2) &amp; C77</x:f>
        <x:v>                        Inner Vessel Structure</x:v>
      </x:c>
      <x:c r="E77" s="10" t="s">
        <x:v>35</x:v>
      </x:c>
      <x:c r="F77" s="10" t="s">
        <x:v>211</x:v>
      </x:c>
      <x:c r="G77" s="10" t="s">
        <x:v>209</x:v>
      </x:c>
      <x:c r="H77" s="10"/>
      <x:c r="I77" s="10"/>
      <x:c r="J77" s="16"/>
      <x:c r="K77" s="17" t="n">
        <x:v>444.08</x:v>
      </x:c>
      <x:c r="L77" s="23" t="s">
        <x:v>196</x:v>
      </x:c>
      <x:c r="M77" s="26" t="s">
        <x:v>212</x:v>
      </x:c>
      <x:c r="N77" s="23"/>
      <x:c r="O77" s="23"/>
      <x:c r="P77" s="23"/>
      <x:c r="Q77" s="20" t="n">
        <x:v>2017</x:v>
      </x:c>
      <x:c r="R77" s="23" t="s">
        <x:v>96</x:v>
      </x:c>
      <x:c r="S77" s="26" t="s">
        <x:v>206</x:v>
      </x:c>
      <x:c r="T77" s="43"/>
      <x:c r="U77" s="37"/>
      <x:c r="V77" s="26"/>
      <x:c r="W77" s="12" t="s">
        <x:v>201</x:v>
      </x:c>
      <x:c r="X77" s="24" t="n">
        <x:f aca="0">0.9*$J77</x:f>
        <x:v>0</x:v>
      </x:c>
      <x:c r="Y77" s="24" t="n">
        <x:f aca="0">1.5*J77</x:f>
        <x:v>0</x:v>
      </x:c>
      <x:c r="Z77" s="12" t="s">
        <x:v>44</x:v>
      </x:c>
      <x:c r="AA77" s="13" t="n">
        <x:f aca="0">0.9*K77</x:f>
        <x:v>399.67199999999997</x:v>
      </x:c>
      <x:c r="AB77" s="13" t="n">
        <x:f aca="0">1.3*K77</x:f>
        <x:v>577.304</x:v>
      </x:c>
      <x:c r="AC77" s="12" t="s">
        <x:v>44</x:v>
      </x:c>
      <x:c r="AD77" s="13" t="s">
        <x:v>45</x:v>
      </x:c>
      <x:c r="AE77" s="13" t="s">
        <x:v>46</x:v>
      </x:c>
      <x:c r="AF77" s="13" t="s">
        <x:v>47</x:v>
      </x:c>
      <x:c r="AG77" s="12" t="s">
        <x:v>48</x:v>
      </x:c>
    </x:row>
    <x:row r="78" ht="53.25" hidden="0" customHeight="1">
      <x:c r="A78" s="30" t="n">
        <x:v>221.2</x:v>
      </x:c>
      <x:c r="B78" s="9" t="n">
        <x:f aca="0">IF(ISNUMBER(A78),
IF(AND(A78=INT(A78), MOD(A78, 10) = 0), 0,
IF(AND(A78=INT(A78), LEN(A78)=2), 1,
IF(AND(A78=INT(A78), LEN(A78)=3), 2,
LEN(A78) - FIND(".", A78) + 2)
)
),
"")</x:f>
        <x:v>3</x:v>
      </x:c>
      <x:c r="C78" s="37" t="s">
        <x:v>214</x:v>
      </x:c>
      <x:c r="D78" s="10" t="str">
        <x:f aca="0">REPT("   ", B78*2) &amp; C78</x:f>
        <x:v>                  Reactor Control Devices</x:v>
      </x:c>
      <x:c r="E78" s="10"/>
      <x:c r="F78" s="10"/>
      <x:c r="G78" s="10"/>
      <x:c r="H78" s="10"/>
      <x:c r="I78" s="10"/>
      <x:c r="J78" s="16"/>
      <x:c r="K78" s="17"/>
      <x:c r="L78" s="23"/>
      <x:c r="M78" s="26"/>
      <x:c r="N78" s="23"/>
      <x:c r="O78" s="23"/>
      <x:c r="P78" s="23"/>
      <x:c r="Q78" s="20"/>
      <x:c r="R78" s="23"/>
      <x:c r="S78" s="26"/>
      <x:c r="T78" s="23"/>
      <x:c r="U78" s="23"/>
      <x:c r="V78" s="23"/>
      <x:c r="W78" s="12"/>
      <x:c r="X78" s="24"/>
      <x:c r="Y78" s="24"/>
      <x:c r="Z78" s="12"/>
      <x:c r="AA78" s="13"/>
      <x:c r="AB78" s="13"/>
      <x:c r="AC78" s="12"/>
      <x:c r="AD78" s="13"/>
      <x:c r="AE78" s="13"/>
      <x:c r="AF78" s="13"/>
      <x:c r="AG78" s="12"/>
    </x:row>
    <x:row r="79" ht="53.25" hidden="0" customHeight="1">
      <x:c r="A79" s="30" t="n">
        <x:v>221.21</x:v>
      </x:c>
      <x:c r="B79" s="9" t="n">
        <x:f aca="0">IF(ISNUMBER(A79),
IF(AND(A79=INT(A79), MOD(A79, 10) = 0), 0,
IF(AND(A79=INT(A79), LEN(A79)=2), 1,
IF(AND(A79=INT(A79), LEN(A79)=3), 2,
LEN(A79) - FIND(".", A79) + 2)
)
),
"")</x:f>
        <x:v>4</x:v>
      </x:c>
      <x:c r="C79" s="37" t="s">
        <x:v>215</x:v>
      </x:c>
      <x:c r="D79" s="10" t="str">
        <x:f aca="0">REPT("   ", B79*2) &amp; C79</x:f>
        <x:v>                        Reactivity Control System </x:v>
      </x:c>
      <x:c r="E79" s="10"/>
      <x:c r="F79" s="10"/>
      <x:c r="G79" s="10"/>
      <x:c r="H79" s="10"/>
      <x:c r="I79" s="10"/>
      <x:c r="J79" s="16"/>
      <x:c r="K79" s="17"/>
      <x:c r="L79" s="23"/>
      <x:c r="M79" s="26"/>
      <x:c r="N79" s="23"/>
      <x:c r="O79" s="23"/>
      <x:c r="P79" s="23"/>
      <x:c r="Q79" s="20"/>
      <x:c r="R79" s="23"/>
      <x:c r="S79" s="26"/>
      <x:c r="T79" s="23"/>
      <x:c r="U79" s="23"/>
      <x:c r="V79" s="23"/>
      <x:c r="W79" s="12"/>
      <x:c r="X79" s="24"/>
      <x:c r="Y79" s="24"/>
      <x:c r="Z79" s="12"/>
      <x:c r="AA79" s="13"/>
      <x:c r="AB79" s="13"/>
      <x:c r="AC79" s="12"/>
      <x:c r="AD79" s="13"/>
      <x:c r="AE79" s="13"/>
      <x:c r="AF79" s="13"/>
      <x:c r="AG79" s="12"/>
    </x:row>
    <x:row r="80" s="36" customFormat="1" ht="74.25" hidden="0" customHeight="1">
      <x:c r="A80" s="30" t="n">
        <x:v>221.211</x:v>
      </x:c>
      <x:c r="B80" s="9" t="n">
        <x:f aca="0">IF(ISNUMBER(A80),
IF(AND(A80=INT(A80), MOD(A80, 10) = 0), 0,
IF(AND(A80=INT(A80), LEN(A80)=2), 1,
IF(AND(A80=INT(A80), LEN(A80)=3), 2,
LEN(A80) - FIND(".", A80) + 2)
)
),
"")</x:f>
        <x:v>5</x:v>
      </x:c>
      <x:c r="C80" s="37" t="s">
        <x:v>216</x:v>
      </x:c>
      <x:c r="D80" s="10" t="str">
        <x:f aca="0">REPT("   ", B80*2) &amp; C80</x:f>
        <x:v>                              Reactivity Control System Fabrication</x:v>
      </x:c>
      <x:c r="E80" s="10" t="s">
        <x:v>35</x:v>
      </x:c>
      <x:c r="F80" s="10"/>
      <x:c r="G80" s="10"/>
      <x:c r="H80" s="10"/>
      <x:c r="I80" s="10"/>
      <x:c r="J80" s="16"/>
      <x:c r="K80" s="17" t="n">
        <x:f aca="0">MARVEL_Cost!C21/'Design Variables'!B21</x:f>
        <x:v>347890</x:v>
      </x:c>
      <x:c r="L80" s="23" t="s">
        <x:v>217</x:v>
      </x:c>
      <x:c r="M80" s="26" t="s">
        <x:v>218</x:v>
      </x:c>
      <x:c r="N80" s="23"/>
      <x:c r="O80" s="23"/>
      <x:c r="P80" s="23"/>
      <x:c r="Q80" s="20" t="n">
        <x:v>2024</x:v>
      </x:c>
      <x:c r="R80" s="23" t="s">
        <x:v>96</x:v>
      </x:c>
      <x:c r="S80" s="26" t="s">
        <x:v>219</x:v>
      </x:c>
      <x:c r="T80" s="43" t="s">
        <x:v>220</x:v>
      </x:c>
      <x:c r="U80" s="44" t="s">
        <x:v>221</x:v>
      </x:c>
      <x:c r="V80" s="26" t="s">
        <x:v>222</x:v>
      </x:c>
      <x:c r="W80" s="12" t="s">
        <x:v>223</x:v>
      </x:c>
      <x:c r="X80" s="24" t="n">
        <x:f aca="0">0.9*$J80</x:f>
        <x:v>0</x:v>
      </x:c>
      <x:c r="Y80" s="24" t="n">
        <x:f aca="0">1.5*J80</x:f>
        <x:v>0</x:v>
      </x:c>
      <x:c r="Z80" s="12" t="s">
        <x:v>44</x:v>
      </x:c>
      <x:c r="AA80" s="13" t="n">
        <x:f aca="0">0.9*K80</x:f>
        <x:v>313101</x:v>
      </x:c>
      <x:c r="AB80" s="13" t="n">
        <x:f aca="0">1.3*K80</x:f>
        <x:v>452257</x:v>
      </x:c>
      <x:c r="AC80" s="12" t="s">
        <x:v>44</x:v>
      </x:c>
      <x:c r="AD80" s="13" t="s">
        <x:v>45</x:v>
      </x:c>
      <x:c r="AE80" s="13" t="s">
        <x:v>46</x:v>
      </x:c>
      <x:c r="AF80" s="13" t="s">
        <x:v>47</x:v>
      </x:c>
      <x:c r="AG80" s="12" t="s">
        <x:v>48</x:v>
      </x:c>
    </x:row>
    <x:row r="81" s="36" customFormat="1" ht="13.5" hidden="0" customHeight="1">
      <x:c r="A81" s="30" t="n">
        <x:v>221.212</x:v>
      </x:c>
      <x:c r="B81" s="9" t="n">
        <x:f aca="0">IF(ISNUMBER(A81),
IF(AND(A81=INT(A81), MOD(A81, 10) = 0), 0,
IF(AND(A81=INT(A81), LEN(A81)=2), 1,
IF(AND(A81=INT(A81), LEN(A81)=3), 2,
LEN(A81) - FIND(".", A81) + 2)
)
),
"")</x:f>
        <x:v>5</x:v>
      </x:c>
      <x:c r="C81" s="37" t="s">
        <x:v>224</x:v>
      </x:c>
      <x:c r="D81" s="10" t="str">
        <x:f aca="0">REPT("   ", B81*2) &amp; C81</x:f>
        <x:v>                              Installation</x:v>
      </x:c>
      <x:c r="E81" s="10" t="s">
        <x:v>35</x:v>
      </x:c>
      <x:c r="F81" s="10"/>
      <x:c r="G81" s="10"/>
      <x:c r="H81" s="10"/>
      <x:c r="I81" s="10"/>
      <x:c r="J81" s="16"/>
      <x:c r="K81" s="17" t="n">
        <x:f aca="0">MARVEL_Cost!C22/'Design Variables'!B21</x:f>
        <x:v>80665.75</x:v>
      </x:c>
      <x:c r="L81" s="23" t="s">
        <x:v>217</x:v>
      </x:c>
      <x:c r="M81" s="26" t="s">
        <x:v>218</x:v>
      </x:c>
      <x:c r="N81" s="23"/>
      <x:c r="O81" s="23"/>
      <x:c r="P81" s="23"/>
      <x:c r="Q81" s="20" t="n">
        <x:v>2024</x:v>
      </x:c>
      <x:c r="R81" s="23" t="s">
        <x:v>73</x:v>
      </x:c>
      <x:c r="S81" s="26" t="s">
        <x:v>219</x:v>
      </x:c>
      <x:c r="T81" s="43"/>
      <x:c r="U81" s="43"/>
      <x:c r="V81" s="23"/>
      <x:c r="W81" s="12" t="s">
        <x:v>223</x:v>
      </x:c>
      <x:c r="X81" s="24" t="n">
        <x:f aca="0">0.9*$J81</x:f>
        <x:v>0</x:v>
      </x:c>
      <x:c r="Y81" s="24" t="n">
        <x:f aca="0">1.5*J81</x:f>
        <x:v>0</x:v>
      </x:c>
      <x:c r="Z81" s="12" t="s">
        <x:v>44</x:v>
      </x:c>
      <x:c r="AA81" s="13" t="n">
        <x:f aca="0">0.9*K81</x:f>
        <x:v>72599.175</x:v>
      </x:c>
      <x:c r="AB81" s="13" t="n">
        <x:f aca="0">1.3*K81</x:f>
        <x:v>104865.475</x:v>
      </x:c>
      <x:c r="AC81" s="12" t="s">
        <x:v>44</x:v>
      </x:c>
      <x:c r="AD81" s="13" t="s">
        <x:v>45</x:v>
      </x:c>
      <x:c r="AE81" s="13" t="s">
        <x:v>46</x:v>
      </x:c>
      <x:c r="AF81" s="13" t="s">
        <x:v>47</x:v>
      </x:c>
      <x:c r="AG81" s="12" t="s">
        <x:v>48</x:v>
      </x:c>
    </x:row>
    <x:row r="82" s="36" customFormat="1" ht="53.25" hidden="0" customHeight="1">
      <x:c r="A82" s="30" t="n">
        <x:v>221.213</x:v>
      </x:c>
      <x:c r="B82" s="9" t="n">
        <x:f aca="0">IF(ISNUMBER(A82),
IF(AND(A82=INT(A82), MOD(A82, 10) = 0), 0,
IF(AND(A82=INT(A82), LEN(A82)=2), 1,
IF(AND(A82=INT(A82), LEN(A82)=3), 2,
LEN(A82) - FIND(".", A82) + 2)
)
),
"")</x:f>
        <x:v>5</x:v>
      </x:c>
      <x:c r="C82" s="37" t="s">
        <x:v>225</x:v>
      </x:c>
      <x:c r="D82" s="10" t="str">
        <x:f aca="0">REPT("   ", B82*2) &amp; C82</x:f>
        <x:v>                              Control Drums Materials (Absorber)</x:v>
      </x:c>
      <x:c r="E82" s="10" t="s">
        <x:v>35</x:v>
      </x:c>
      <x:c r="F82" s="10" t="s">
        <x:v>226</x:v>
      </x:c>
      <x:c r="G82" s="10" t="s">
        <x:v>227</x:v>
      </x:c>
      <x:c r="H82" s="10"/>
      <x:c r="I82" s="10"/>
      <x:c r="J82" s="16"/>
      <x:c r="K82" s="17" t="n">
        <x:f aca="0">400000/N82</x:f>
        <x:v>14285.714285714286</x:v>
      </x:c>
      <x:c r="L82" s="23" t="s">
        <x:v>196</x:v>
      </x:c>
      <x:c r="M82" s="26" t="s">
        <x:v>228</x:v>
      </x:c>
      <x:c r="N82" s="23" t="n">
        <x:f aca="0">'Design Variables'!B28+'Design Variables'!B29</x:f>
        <x:v>28</x:v>
      </x:c>
      <x:c r="O82" s="23" t="s">
        <x:v>198</x:v>
      </x:c>
      <x:c r="P82" s="23" t="n">
        <x:v>1</x:v>
      </x:c>
      <x:c r="Q82" s="20" t="n">
        <x:v>2024</x:v>
      </x:c>
      <x:c r="R82" s="23" t="s">
        <x:v>229</x:v>
      </x:c>
      <x:c r="S82" s="26" t="s">
        <x:v>219</x:v>
      </x:c>
      <x:c r="T82" s="43"/>
      <x:c r="U82" s="43"/>
      <x:c r="V82" s="23"/>
      <x:c r="W82" s="12" t="s">
        <x:v>167</x:v>
      </x:c>
      <x:c r="X82" s="24" t="n">
        <x:f aca="0">0.9*$J82</x:f>
        <x:v>0</x:v>
      </x:c>
      <x:c r="Y82" s="24" t="n">
        <x:f aca="0">1.5*J82</x:f>
        <x:v>0</x:v>
      </x:c>
      <x:c r="Z82" s="12" t="s">
        <x:v>44</x:v>
      </x:c>
      <x:c r="AA82" s="13" t="n">
        <x:f aca="0">0.9*K82</x:f>
        <x:v>12857.142857142859</x:v>
      </x:c>
      <x:c r="AB82" s="13" t="n">
        <x:f aca="0">1.3*K82</x:f>
        <x:v>18571.428571428572</x:v>
      </x:c>
      <x:c r="AC82" s="12" t="s">
        <x:v>44</x:v>
      </x:c>
      <x:c r="AD82" s="13" t="s">
        <x:v>45</x:v>
      </x:c>
      <x:c r="AE82" s="13" t="s">
        <x:v>46</x:v>
      </x:c>
      <x:c r="AF82" s="13" t="s">
        <x:v>47</x:v>
      </x:c>
      <x:c r="AG82" s="12" t="s">
        <x:v>48</x:v>
      </x:c>
    </x:row>
    <x:row r="83" s="36" customFormat="1" ht="53.25" hidden="0" customHeight="1">
      <x:c r="A83" s="30" t="n">
        <x:v>221.213</x:v>
      </x:c>
      <x:c r="B83" s="9" t="n">
        <x:f aca="0">IF(ISNUMBER(A83),
    IF(AND(A83=INT(A83), MOD(A83, 10) = 0), 0,
        IF(AND(A83=INT(A83), LEN(A83)=2), 1,
            IF(AND(A83=INT(A83), LEN(A83)=3), 2,
                LEN(A83) - FIND(".", A83) + 2)
        )
    ),
"")</x:f>
        <x:v>5</x:v>
      </x:c>
      <x:c r="C83" s="37" t="s">
        <x:v>225</x:v>
      </x:c>
      <x:c r="D83" s="10" t="str">
        <x:f aca="0">REPT("   ", B83*2) &amp; C83</x:f>
        <x:v>                              Control Drums Materials (Absorber)</x:v>
      </x:c>
      <x:c r="E83" s="10" t="s">
        <x:v>35</x:v>
      </x:c>
      <x:c r="F83" s="10" t="s">
        <x:v>226</x:v>
      </x:c>
      <x:c r="G83" s="10" t="s">
        <x:v>230</x:v>
      </x:c>
      <x:c r="H83" s="10"/>
      <x:c r="I83" s="10"/>
      <x:c r="J83" s="16"/>
      <x:c r="K83" s="17" t="n">
        <x:v>10064</x:v>
      </x:c>
      <x:c r="L83" s="23" t="s">
        <x:v>196</x:v>
      </x:c>
      <x:c r="M83" s="26" t="s">
        <x:v>228</x:v>
      </x:c>
      <x:c r="N83" s="23"/>
      <x:c r="O83" s="23"/>
      <x:c r="P83" s="23"/>
      <x:c r="Q83" s="20" t="n">
        <x:v>2023</x:v>
      </x:c>
      <x:c r="R83" s="23" t="s">
        <x:v>229</x:v>
      </x:c>
      <x:c r="S83" s="26" t="s">
        <x:v>231</x:v>
      </x:c>
      <x:c r="T83" s="43"/>
      <x:c r="U83" s="43"/>
      <x:c r="V83" s="23"/>
      <x:c r="W83" s="12" t="s">
        <x:v>167</x:v>
      </x:c>
      <x:c r="X83" s="24" t="n">
        <x:f aca="0">0.9*$J83</x:f>
        <x:v>0</x:v>
      </x:c>
      <x:c r="Y83" s="24" t="n">
        <x:f aca="0">1.5*J83</x:f>
        <x:v>0</x:v>
      </x:c>
      <x:c r="Z83" s="12" t="s">
        <x:v>44</x:v>
      </x:c>
      <x:c r="AA83" s="13" t="n">
        <x:f aca="0">0.9*K83</x:f>
        <x:v>9057.6</x:v>
      </x:c>
      <x:c r="AB83" s="13" t="n">
        <x:f aca="0">1.3*K83</x:f>
        <x:v>13083.2</x:v>
      </x:c>
      <x:c r="AC83" s="12" t="s">
        <x:v>44</x:v>
      </x:c>
      <x:c r="AD83" s="13" t="s">
        <x:v>45</x:v>
      </x:c>
      <x:c r="AE83" s="13" t="s">
        <x:v>46</x:v>
      </x:c>
      <x:c r="AF83" s="13" t="s">
        <x:v>47</x:v>
      </x:c>
      <x:c r="AG83" s="12" t="s">
        <x:v>48</x:v>
      </x:c>
    </x:row>
    <x:row r="84" s="36" customFormat="1" ht="53.25" hidden="0" customHeight="1">
      <x:c r="A84" s="30" t="n">
        <x:v>221.214</x:v>
      </x:c>
      <x:c r="B84" s="9" t="n">
        <x:f aca="0">IF(ISNUMBER(A84),
IF(AND(A84=INT(A84), MOD(A84, 10) = 0), 0,
IF(AND(A84=INT(A84), LEN(A84)=2), 1,
IF(AND(A84=INT(A84), LEN(A84)=3), 2,
LEN(A84) - FIND(".", A84) + 2)
)
),
"")</x:f>
        <x:v>5</x:v>
      </x:c>
      <x:c r="C84" s="37" t="s">
        <x:v>232</x:v>
      </x:c>
      <x:c r="D84" s="10" t="str">
        <x:f aca="0">REPT("   ", B84*2) &amp; C84</x:f>
        <x:v>                              Control Drums Materials (Reflector)</x:v>
      </x:c>
      <x:c r="E84" s="10" t="s">
        <x:v>35</x:v>
      </x:c>
      <x:c r="F84" s="10" t="s">
        <x:v>233</x:v>
      </x:c>
      <x:c r="G84" s="10" t="s">
        <x:v>234</x:v>
      </x:c>
      <x:c r="H84" s="10"/>
      <x:c r="I84" s="10"/>
      <x:c r="J84" s="16"/>
      <x:c r="K84" s="45" t="n">
        <x:f aca="0">MARVEL_Cost!C27/N84</x:f>
        <x:v>10062.893081761007</x:v>
      </x:c>
      <x:c r="L84" s="23" t="s">
        <x:v>196</x:v>
      </x:c>
      <x:c r="M84" s="26" t="s">
        <x:v>235</x:v>
      </x:c>
      <x:c r="N84" s="23" t="n">
        <x:f aca="0">'Design Variables'!B17</x:f>
        <x:v>318</x:v>
      </x:c>
      <x:c r="O84" s="23" t="s">
        <x:v>198</x:v>
      </x:c>
      <x:c r="P84" s="23" t="n">
        <x:v>1</x:v>
      </x:c>
      <x:c r="Q84" s="20" t="n">
        <x:v>2024</x:v>
      </x:c>
      <x:c r="R84" s="23" t="s">
        <x:v>229</x:v>
      </x:c>
      <x:c r="S84" s="26" t="s">
        <x:v>219</x:v>
      </x:c>
      <x:c r="T84" s="43"/>
      <x:c r="U84" s="43"/>
      <x:c r="V84" s="23"/>
      <x:c r="W84" s="12" t="s">
        <x:v>236</x:v>
      </x:c>
      <x:c r="X84" s="24" t="n">
        <x:f aca="0">0.9*$J84</x:f>
        <x:v>0</x:v>
      </x:c>
      <x:c r="Y84" s="24" t="n">
        <x:f aca="0">1.5*J84</x:f>
        <x:v>0</x:v>
      </x:c>
      <x:c r="Z84" s="12" t="s">
        <x:v>44</x:v>
      </x:c>
      <x:c r="AA84" s="13" t="n">
        <x:f aca="0">0.9*K84</x:f>
        <x:v>9056.603773584906</x:v>
      </x:c>
      <x:c r="AB84" s="13" t="n">
        <x:f aca="0">1.3*K84</x:f>
        <x:v>13081.761006289309</x:v>
      </x:c>
      <x:c r="AC84" s="12" t="s">
        <x:v>44</x:v>
      </x:c>
      <x:c r="AD84" s="13" t="s">
        <x:v>45</x:v>
      </x:c>
      <x:c r="AE84" s="13" t="s">
        <x:v>46</x:v>
      </x:c>
      <x:c r="AF84" s="13" t="s">
        <x:v>47</x:v>
      </x:c>
      <x:c r="AG84" s="12" t="s">
        <x:v>48</x:v>
      </x:c>
    </x:row>
    <x:row r="85" s="36" customFormat="1" ht="53.25" hidden="0" customHeight="1">
      <x:c r="A85" s="30" t="n">
        <x:v>221.214</x:v>
      </x:c>
      <x:c r="B85" s="9" t="n">
        <x:f aca="0">IF(ISNUMBER(A85),
IF(AND(A85=INT(A85), MOD(A85, 10) = 0), 0,
IF(AND(A85=INT(A85), LEN(A85)=2), 1,
IF(AND(A85=INT(A85), LEN(A85)=3), 2,
LEN(A85) - FIND(".", A85) + 2)
)
),
"")</x:f>
        <x:v>5</x:v>
      </x:c>
      <x:c r="C85" s="46" t="s">
        <x:v>232</x:v>
      </x:c>
      <x:c r="D85" s="10" t="str">
        <x:f aca="0">REPT("   ", B85*2) &amp; C85</x:f>
        <x:v>                              Control Drums Materials (Reflector)</x:v>
      </x:c>
      <x:c r="E85" s="10" t="s">
        <x:v>35</x:v>
      </x:c>
      <x:c r="F85" s="10" t="s">
        <x:v>233</x:v>
      </x:c>
      <x:c r="G85" s="10" t="s">
        <x:v>237</x:v>
      </x:c>
      <x:c r="H85" s="10"/>
      <x:c r="I85" s="10"/>
      <x:c r="J85" s="19"/>
      <x:c r="K85" s="45" t="n">
        <x:f aca="0">MARVEL_Cost!C28/N85</x:f>
        <x:v>44736.84210526316</x:v>
      </x:c>
      <x:c r="L85" s="23" t="s">
        <x:v>196</x:v>
      </x:c>
      <x:c r="M85" s="26" t="s">
        <x:v>235</x:v>
      </x:c>
      <x:c r="N85" s="23" t="n">
        <x:f aca="0">1000*'Design Variables'!B19</x:f>
        <x:v>19</x:v>
      </x:c>
      <x:c r="O85" s="23" t="s">
        <x:v>198</x:v>
      </x:c>
      <x:c r="P85" s="23" t="n">
        <x:v>1</x:v>
      </x:c>
      <x:c r="Q85" s="20" t="n">
        <x:v>2024</x:v>
      </x:c>
      <x:c r="R85" s="23" t="s">
        <x:v>229</x:v>
      </x:c>
      <x:c r="S85" s="26" t="s">
        <x:v>219</x:v>
      </x:c>
      <x:c r="T85" s="47"/>
      <x:c r="U85" s="44"/>
      <x:c r="V85" s="23"/>
      <x:c r="W85" s="12" t="s">
        <x:v>238</x:v>
      </x:c>
      <x:c r="X85" s="24" t="n">
        <x:f aca="0">0.9*$J85</x:f>
        <x:v>0</x:v>
      </x:c>
      <x:c r="Y85" s="24" t="n">
        <x:f aca="0">1.5*J85</x:f>
        <x:v>0</x:v>
      </x:c>
      <x:c r="Z85" s="12" t="s">
        <x:v>44</x:v>
      </x:c>
      <x:c r="AA85" s="13" t="n">
        <x:f aca="0">0.9*K85</x:f>
        <x:v>40263.15789473685</x:v>
      </x:c>
      <x:c r="AB85" s="13" t="n">
        <x:f aca="0">1.3*K85</x:f>
        <x:v>58157.89473684211</x:v>
      </x:c>
      <x:c r="AC85" s="12" t="s">
        <x:v>44</x:v>
      </x:c>
      <x:c r="AD85" s="13" t="s">
        <x:v>45</x:v>
      </x:c>
      <x:c r="AE85" s="13" t="s">
        <x:v>46</x:v>
      </x:c>
      <x:c r="AF85" s="13" t="s">
        <x:v>47</x:v>
      </x:c>
      <x:c r="AG85" s="12" t="s">
        <x:v>48</x:v>
      </x:c>
      <x:c r="AJ85" s="48"/>
    </x:row>
    <x:row r="86" s="36" customFormat="1" ht="53.25" hidden="0" customHeight="1">
      <x:c r="A86" s="30" t="n">
        <x:v>221.214</x:v>
      </x:c>
      <x:c r="B86" s="9" t="n">
        <x:f aca="0">IF(ISNUMBER(A86),
    IF(AND(A86=INT(A86), MOD(A86, 10) = 0), 0,
        IF(AND(A86=INT(A86), LEN(A86)=2), 1,
            IF(AND(A86=INT(A86), LEN(A86)=3), 2,
                LEN(A86) - FIND(".", A86) + 2)
        )
    ),
"")</x:f>
        <x:v>5</x:v>
      </x:c>
      <x:c r="C86" s="37" t="s">
        <x:v>232</x:v>
      </x:c>
      <x:c r="D86" s="10" t="str">
        <x:f aca="0">REPT("   ", B86*2) &amp; C86</x:f>
        <x:v>                              Control Drums Materials (Reflector)</x:v>
      </x:c>
      <x:c r="E86" s="10" t="s">
        <x:v>35</x:v>
      </x:c>
      <x:c r="F86" s="10" t="s">
        <x:v>233</x:v>
      </x:c>
      <x:c r="G86" s="10" t="s">
        <x:v>239</x:v>
      </x:c>
      <x:c r="H86" s="10"/>
      <x:c r="I86" s="10"/>
      <x:c r="J86" s="16"/>
      <x:c r="K86" s="45" t="n">
        <x:v>80</x:v>
      </x:c>
      <x:c r="L86" s="23" t="s">
        <x:v>196</x:v>
      </x:c>
      <x:c r="M86" s="26" t="s">
        <x:v>235</x:v>
      </x:c>
      <x:c r="N86" s="23"/>
      <x:c r="O86" s="23"/>
      <x:c r="P86" s="23"/>
      <x:c r="Q86" s="20" t="n">
        <x:v>2022</x:v>
      </x:c>
      <x:c r="R86" s="23" t="s">
        <x:v>229</x:v>
      </x:c>
      <x:c r="S86" s="26" t="s">
        <x:v>240</x:v>
      </x:c>
      <x:c r="T86" s="43" t="s">
        <x:v>241</x:v>
      </x:c>
      <x:c r="U86" s="44"/>
      <x:c r="V86" s="23"/>
      <x:c r="W86" s="12" t="s">
        <x:v>167</x:v>
      </x:c>
      <x:c r="X86" s="24" t="n">
        <x:f aca="0">0.9*$J86</x:f>
        <x:v>0</x:v>
      </x:c>
      <x:c r="Y86" s="24" t="n">
        <x:f aca="0">1.5*J86</x:f>
        <x:v>0</x:v>
      </x:c>
      <x:c r="Z86" s="12" t="s">
        <x:v>44</x:v>
      </x:c>
      <x:c r="AA86" s="13" t="n">
        <x:f aca="0">0.9*K86</x:f>
        <x:v>72</x:v>
      </x:c>
      <x:c r="AB86" s="13" t="n">
        <x:f aca="0">1.3*K86</x:f>
        <x:v>104</x:v>
      </x:c>
      <x:c r="AC86" s="12" t="s">
        <x:v>44</x:v>
      </x:c>
      <x:c r="AD86" s="13" t="s">
        <x:v>45</x:v>
      </x:c>
      <x:c r="AE86" s="13" t="s">
        <x:v>46</x:v>
      </x:c>
      <x:c r="AF86" s="13" t="s">
        <x:v>47</x:v>
      </x:c>
      <x:c r="AG86" s="12" t="s">
        <x:v>48</x:v>
      </x:c>
    </x:row>
    <x:row r="87" s="36" customFormat="1" ht="53.25" hidden="0" customHeight="1">
      <x:c r="A87" s="30" t="n">
        <x:v>221.215</x:v>
      </x:c>
      <x:c r="B87" s="9" t="n">
        <x:f aca="0">IF(ISNUMBER(A87),
IF(AND(A87=INT(A87), MOD(A87, 10) = 0), 0,
IF(AND(A87=INT(A87), LEN(A87)=2), 1,
IF(AND(A87=INT(A87), LEN(A87)=3), 2,
LEN(A87) - FIND(".", A87) + 2)
)
),
"")</x:f>
        <x:v>5</x:v>
      </x:c>
      <x:c r="C87" s="37" t="s">
        <x:v>242</x:v>
      </x:c>
      <x:c r="D87" s="10" t="str">
        <x:f aca="0">REPT("   ", B87*2) &amp; C87</x:f>
        <x:v>                              Control System Drive Mechanism</x:v>
      </x:c>
      <x:c r="E87" s="10" t="s">
        <x:v>35</x:v>
      </x:c>
      <x:c r="F87" s="10"/>
      <x:c r="G87" s="10"/>
      <x:c r="H87" s="10"/>
      <x:c r="I87" s="10"/>
      <x:c r="J87" s="16"/>
      <x:c r="K87" s="17" t="n">
        <x:v>74759</x:v>
      </x:c>
      <x:c r="L87" s="23" t="s">
        <x:v>217</x:v>
      </x:c>
      <x:c r="M87" s="26" t="s">
        <x:v>218</x:v>
      </x:c>
      <x:c r="N87" s="23"/>
      <x:c r="O87" s="23"/>
      <x:c r="P87" s="23"/>
      <x:c r="Q87" s="20" t="n">
        <x:v>2023</x:v>
      </x:c>
      <x:c r="R87" s="23" t="s">
        <x:v>96</x:v>
      </x:c>
      <x:c r="S87" s="26" t="s">
        <x:v>231</x:v>
      </x:c>
      <x:c r="T87" s="43" t="s">
        <x:v>243</x:v>
      </x:c>
      <x:c r="U87" s="44"/>
      <x:c r="V87" s="23" t="s">
        <x:v>244</x:v>
      </x:c>
      <x:c r="W87" s="12" t="s">
        <x:v>223</x:v>
      </x:c>
      <x:c r="X87" s="24" t="n">
        <x:f aca="0">0.9*$J87</x:f>
        <x:v>0</x:v>
      </x:c>
      <x:c r="Y87" s="24" t="n">
        <x:f aca="0">1.5*J87</x:f>
        <x:v>0</x:v>
      </x:c>
      <x:c r="Z87" s="12" t="s">
        <x:v>44</x:v>
      </x:c>
      <x:c r="AA87" s="13" t="n">
        <x:f aca="0">0.9*K87</x:f>
        <x:v>67283.1</x:v>
      </x:c>
      <x:c r="AB87" s="13" t="n">
        <x:f aca="0">1.3*K87</x:f>
        <x:v>97186.7</x:v>
      </x:c>
      <x:c r="AC87" s="12" t="s">
        <x:v>44</x:v>
      </x:c>
      <x:c r="AD87" s="13" t="s">
        <x:v>45</x:v>
      </x:c>
      <x:c r="AE87" s="13" t="s">
        <x:v>46</x:v>
      </x:c>
      <x:c r="AF87" s="13" t="s">
        <x:v>47</x:v>
      </x:c>
      <x:c r="AG87" s="12" t="s">
        <x:v>48</x:v>
      </x:c>
    </x:row>
    <x:row r="88" s="36" customFormat="1" ht="39.75" hidden="0" customHeight="1">
      <x:c r="A88" s="30" t="n">
        <x:v>221.216</x:v>
      </x:c>
      <x:c r="B88" s="9" t="n">
        <x:f aca="0">IF(ISNUMBER(A88),IF(AND(A88=INT(A88),MOD(A88,10)=0),0,IF(AND(A88=INT(A88),LEN(A88)=2),1,IF(AND(A88=INT(A88),LEN(A88)=3),2,LEN(A88)-FIND(".",A88)+2))),"")</x:f>
        <x:v>5</x:v>
      </x:c>
      <x:c r="C88" s="37" t="s">
        <x:v>245</x:v>
      </x:c>
      <x:c r="D88" s="10" t="str">
        <x:f aca="0">REPT("   ",B88*2)&amp;C88</x:f>
        <x:v>                              Shutdown Rod Absorber Material</x:v>
      </x:c>
      <x:c r="E88" s="10" t="s">
        <x:v>35</x:v>
      </x:c>
      <x:c r="F88" s="10" t="s">
        <x:v>246</x:v>
      </x:c>
      <x:c r="G88" s="10" t="s">
        <x:v>227</x:v>
      </x:c>
      <x:c r="H88" s="10"/>
      <x:c r="I88" s="10"/>
      <x:c r="J88" s="16"/>
      <x:c r="K88" s="17" t="n">
        <x:v>14285.7142857143</x:v>
      </x:c>
      <x:c r="L88" s="23" t="s">
        <x:v>196</x:v>
      </x:c>
      <x:c r="M88" s="26" t="s">
        <x:v>247</x:v>
      </x:c>
      <x:c r="N88" s="23" t="n">
        <x:v>28</x:v>
      </x:c>
      <x:c r="O88" s="23" t="s">
        <x:v>198</x:v>
      </x:c>
      <x:c r="P88" s="23" t="n">
        <x:v>1</x:v>
      </x:c>
      <x:c r="Q88" s="20" t="n">
        <x:v>2024</x:v>
      </x:c>
      <x:c r="R88" s="23" t="s">
        <x:v>229</x:v>
      </x:c>
      <x:c r="S88" s="26" t="s">
        <x:v>219</x:v>
      </x:c>
      <x:c r="T88" s="49"/>
      <x:c r="U88" s="49"/>
      <x:c r="V88" s="23" t="s">
        <x:v>248</x:v>
      </x:c>
      <x:c r="W88" s="12" t="s">
        <x:v>167</x:v>
      </x:c>
      <x:c r="X88" s="24" t="n">
        <x:f aca="0">0.9*$J88</x:f>
        <x:v>0</x:v>
      </x:c>
      <x:c r="Y88" s="24" t="n">
        <x:f aca="0">1.5*J88</x:f>
        <x:v>0</x:v>
      </x:c>
      <x:c r="Z88" s="12" t="s">
        <x:v>44</x:v>
      </x:c>
      <x:c r="AA88" s="13" t="n">
        <x:f aca="0">0.9*K88</x:f>
        <x:v>12857.142857142871</x:v>
      </x:c>
      <x:c r="AB88" s="13" t="n">
        <x:f aca="0">1.3*K88</x:f>
        <x:v>18571.42857142859</x:v>
      </x:c>
      <x:c r="AC88" s="12"/>
      <x:c r="AD88" s="13"/>
      <x:c r="AE88" s="13"/>
      <x:c r="AF88" s="13"/>
      <x:c r="AG88" s="12"/>
    </x:row>
    <x:row r="89" s="36" customFormat="1" ht="39.75" hidden="0" customHeight="1">
      <x:c r="A89" s="30" t="n">
        <x:v>221.216</x:v>
      </x:c>
      <x:c r="B89" s="9" t="n">
        <x:f aca="0">IF(ISNUMBER(A89),IF(AND(A89=INT(A89),MOD(A89,10)=0),0,IF(AND(A89=INT(A89),LEN(A89)=2),1,IF(AND(A89=INT(A89),LEN(A89)=3),2,LEN(A89)-FIND(".",A89)+2))),"")</x:f>
        <x:v>5</x:v>
      </x:c>
      <x:c r="C89" s="37" t="s">
        <x:v>245</x:v>
      </x:c>
      <x:c r="D89" s="10" t="str">
        <x:f aca="0">REPT("   ",B89*2)&amp;C89</x:f>
        <x:v>                              Shutdown Rod Absorber Material</x:v>
      </x:c>
      <x:c r="E89" s="10" t="s">
        <x:v>35</x:v>
      </x:c>
      <x:c r="F89" s="10" t="s">
        <x:v>246</x:v>
      </x:c>
      <x:c r="G89" s="10" t="s">
        <x:v>230</x:v>
      </x:c>
      <x:c r="H89" s="10"/>
      <x:c r="I89" s="10"/>
      <x:c r="J89" s="16"/>
      <x:c r="K89" s="17" t="n">
        <x:v>10064</x:v>
      </x:c>
      <x:c r="L89" s="23" t="s">
        <x:v>196</x:v>
      </x:c>
      <x:c r="M89" s="26" t="s">
        <x:v>247</x:v>
      </x:c>
      <x:c r="N89" s="23"/>
      <x:c r="O89" s="23" t="s">
        <x:v>198</x:v>
      </x:c>
      <x:c r="P89" s="23" t="n">
        <x:v>1</x:v>
      </x:c>
      <x:c r="Q89" s="20" t="n">
        <x:v>2023</x:v>
      </x:c>
      <x:c r="R89" s="23" t="s">
        <x:v>229</x:v>
      </x:c>
      <x:c r="S89" s="26" t="s">
        <x:v>231</x:v>
      </x:c>
      <x:c r="T89" s="49" t="s">
        <x:v>249</x:v>
      </x:c>
      <x:c r="U89" s="49"/>
      <x:c r="V89" s="23" t="s">
        <x:v>250</x:v>
      </x:c>
      <x:c r="W89" s="12" t="s">
        <x:v>167</x:v>
      </x:c>
      <x:c r="X89" s="24" t="n">
        <x:f aca="0">0.9*$J89</x:f>
        <x:v>0</x:v>
      </x:c>
      <x:c r="Y89" s="24" t="n">
        <x:f aca="0">1.5*J89</x:f>
        <x:v>0</x:v>
      </x:c>
      <x:c r="Z89" s="12" t="s">
        <x:v>44</x:v>
      </x:c>
      <x:c r="AA89" s="13" t="n">
        <x:f aca="0">0.9*K89</x:f>
        <x:v>9057.6</x:v>
      </x:c>
      <x:c r="AB89" s="13" t="n">
        <x:f aca="0">1.3*K89</x:f>
        <x:v>13083.2</x:v>
      </x:c>
      <x:c r="AC89" s="12"/>
      <x:c r="AD89" s="13"/>
      <x:c r="AE89" s="13"/>
      <x:c r="AF89" s="13"/>
      <x:c r="AG89" s="12"/>
    </x:row>
    <x:row r="90" s="36" customFormat="1" ht="39.75" hidden="0" customHeight="1">
      <x:c r="A90" s="30" t="n">
        <x:v>221.217</x:v>
      </x:c>
      <x:c r="B90" s="9" t="n">
        <x:f aca="0">IF(ISNUMBER(A90),IF(AND(A90=INT(A90),MOD(A90,10)=0),0,IF(AND(A90=INT(A90),LEN(A90)=2),1,IF(AND(A90=INT(A90),LEN(A90)=3),2,LEN(A90)-FIND(".",A90)+2))),"")</x:f>
        <x:v>5</x:v>
      </x:c>
      <x:c r="C90" s="37" t="s">
        <x:v>251</x:v>
      </x:c>
      <x:c r="D90" s="10" t="str">
        <x:f aca="0">REPT("   ",B90*2)&amp;C90</x:f>
        <x:v>                              Shutdown Rod Cladding Material</x:v>
      </x:c>
      <x:c r="E90" s="10" t="s">
        <x:v>35</x:v>
      </x:c>
      <x:c r="F90" s="10" t="s">
        <x:v>252</x:v>
      </x:c>
      <x:c r="G90" s="10" t="s">
        <x:v>253</x:v>
      </x:c>
      <x:c r="H90" s="10"/>
      <x:c r="I90" s="10"/>
      <x:c r="J90" s="16"/>
      <x:c r="K90" s="17" t="n">
        <x:v>757.207687460618</x:v>
      </x:c>
      <x:c r="L90" s="23" t="s">
        <x:v>196</x:v>
      </x:c>
      <x:c r="M90" s="26" t="s">
        <x:v>254</x:v>
      </x:c>
      <x:c r="N90" s="23" t="n">
        <x:v>1587</x:v>
      </x:c>
      <x:c r="O90" s="23" t="s">
        <x:v>198</x:v>
      </x:c>
      <x:c r="P90" s="23" t="n">
        <x:v>1</x:v>
      </x:c>
      <x:c r="Q90" s="20" t="n">
        <x:v>2017</x:v>
      </x:c>
      <x:c r="R90" s="23" t="s">
        <x:v>96</x:v>
      </x:c>
      <x:c r="S90" s="26" t="s">
        <x:v>206</x:v>
      </x:c>
      <x:c r="T90" s="49" t="s">
        <x:v>255</x:v>
      </x:c>
      <x:c r="U90" s="49"/>
      <x:c r="V90" s="23" t="s">
        <x:v>256</x:v>
      </x:c>
      <x:c r="W90" s="12" t="s">
        <x:v>167</x:v>
      </x:c>
      <x:c r="X90" s="24" t="n">
        <x:f aca="0">0.9*$J90</x:f>
        <x:v>0</x:v>
      </x:c>
      <x:c r="Y90" s="24" t="n">
        <x:f aca="0">1.5*J90</x:f>
        <x:v>0</x:v>
      </x:c>
      <x:c r="Z90" s="12" t="s">
        <x:v>44</x:v>
      </x:c>
      <x:c r="AA90" s="13" t="n">
        <x:f aca="0">0.9*K90</x:f>
        <x:v>681.4869187145562</x:v>
      </x:c>
      <x:c r="AB90" s="13" t="n">
        <x:f aca="0">1.3*K90</x:f>
        <x:v>984.3699936988035</x:v>
      </x:c>
      <x:c r="AC90" s="12"/>
      <x:c r="AD90" s="13"/>
      <x:c r="AE90" s="13"/>
      <x:c r="AF90" s="13"/>
      <x:c r="AG90" s="12"/>
    </x:row>
    <x:row r="91" ht="26.25" hidden="0" customHeight="1">
      <x:c r="A91" s="30" t="n">
        <x:v>221.3</x:v>
      </x:c>
      <x:c r="B91" s="9" t="n">
        <x:f aca="0">IF(ISNUMBER(A91),
IF(AND(A91=INT(A91), MOD(A91, 10) = 0), 0,
IF(AND(A91=INT(A91), LEN(A91)=2), 1,
IF(AND(A91=INT(A91), LEN(A91)=3), 2,
LEN(A91) - FIND(".", A91) + 2)
)
),
"")</x:f>
        <x:v>3</x:v>
      </x:c>
      <x:c r="C91" s="37" t="s">
        <x:v>257</x:v>
      </x:c>
      <x:c r="D91" s="10" t="str">
        <x:f aca="0">REPT("   ", B91*2) &amp; C91</x:f>
        <x:v>                  Non-Fuel Core Internals</x:v>
      </x:c>
      <x:c r="E91" s="10" t="s">
        <x:v>35</x:v>
      </x:c>
      <x:c r="F91" s="10"/>
      <x:c r="G91" s="10"/>
      <x:c r="H91" s="10"/>
      <x:c r="I91" s="10"/>
      <x:c r="J91" s="16"/>
      <x:c r="K91" s="17"/>
      <x:c r="L91" s="23"/>
      <x:c r="M91" s="23"/>
      <x:c r="N91" s="23"/>
      <x:c r="O91" s="23"/>
      <x:c r="P91" s="23"/>
      <x:c r="Q91" s="20"/>
      <x:c r="R91" s="23"/>
      <x:c r="S91" s="26"/>
      <x:c r="T91" s="23"/>
      <x:c r="U91" s="49"/>
      <x:c r="V91" s="23"/>
      <x:c r="W91" s="12"/>
      <x:c r="X91" s="24"/>
      <x:c r="Y91" s="24"/>
      <x:c r="Z91" s="12"/>
      <x:c r="AA91" s="13"/>
      <x:c r="AB91" s="13"/>
      <x:c r="AC91" s="12"/>
      <x:c r="AD91" s="13"/>
      <x:c r="AE91" s="13"/>
      <x:c r="AF91" s="13"/>
      <x:c r="AG91" s="12"/>
    </x:row>
    <x:row r="92" ht="25.5" hidden="0" customHeight="1">
      <x:c r="A92" s="30" t="n">
        <x:v>221.31</x:v>
      </x:c>
      <x:c r="B92" s="9" t="n">
        <x:f aca="0">IF(ISNUMBER(A92),
    IF(AND(A92=INT(A92), MOD(A92, 10) = 0), 0,
        IF(AND(A92=INT(A92), LEN(A92)=2), 1,
            IF(AND(A92=INT(A92), LEN(A92)=3), 2,
                LEN(A92) - FIND(".", A92) + 2)
        )
    ),
"")</x:f>
        <x:v>4</x:v>
      </x:c>
      <x:c r="C92" s="37" t="s">
        <x:v>258</x:v>
      </x:c>
      <x:c r="D92" s="10" t="str">
        <x:f aca="0">REPT("   ", B92*2) &amp; C92</x:f>
        <x:v>                        Reflector</x:v>
      </x:c>
      <x:c r="E92" s="10"/>
      <x:c r="F92" s="10"/>
      <x:c r="G92" s="10"/>
      <x:c r="H92" s="10"/>
      <x:c r="I92" s="10"/>
      <x:c r="J92" s="16"/>
      <x:c r="K92" s="45"/>
      <x:c r="L92" s="23"/>
      <x:c r="M92" s="26"/>
      <x:c r="N92" s="23"/>
      <x:c r="O92" s="23"/>
      <x:c r="P92" s="23"/>
      <x:c r="Q92" s="20"/>
      <x:c r="R92" s="23"/>
      <x:c r="S92" s="26"/>
      <x:c r="T92" s="26"/>
      <x:c r="U92" s="49"/>
      <x:c r="V92" s="23"/>
      <x:c r="W92" s="12"/>
      <x:c r="X92" s="24"/>
      <x:c r="Y92" s="24"/>
      <x:c r="Z92" s="12"/>
      <x:c r="AA92" s="13"/>
      <x:c r="AB92" s="13"/>
      <x:c r="AC92" s="12"/>
      <x:c r="AD92" s="13"/>
      <x:c r="AE92" s="13"/>
      <x:c r="AF92" s="13"/>
      <x:c r="AG92" s="12"/>
    </x:row>
    <x:row r="93" ht="25.5" hidden="0" customHeight="1">
      <x:c r="A93" s="30" t="n">
        <x:v>221.311</x:v>
      </x:c>
      <x:c r="B93" s="9" t="n">
        <x:f aca="0">IF(ISNUMBER(A93),
IF(AND(A93=INT(A93), MOD(A93, 10) = 0), 0,
IF(AND(A93=INT(A93), LEN(A93)=2), 1,
IF(AND(A93=INT(A93), LEN(A93)=3), 2,
LEN(A93) - FIND(".", A93) + 2)
)
),
"")</x:f>
        <x:v>5</x:v>
      </x:c>
      <x:c r="C93" s="37" t="s">
        <x:v>259</x:v>
      </x:c>
      <x:c r="D93" s="10" t="str">
        <x:f aca="0">REPT("   ", B93*2) &amp; C93</x:f>
        <x:v>                              Radial Reflector</x:v>
      </x:c>
      <x:c r="E93" s="10" t="s">
        <x:v>35</x:v>
      </x:c>
      <x:c r="F93" s="10" t="s">
        <x:v>259</x:v>
      </x:c>
      <x:c r="G93" s="10" t="s">
        <x:v>234</x:v>
      </x:c>
      <x:c r="H93" s="10"/>
      <x:c r="I93" s="10"/>
      <x:c r="J93" s="16" t="n">
        <x:f aca="0">MARVEL_Cost!C29</x:f>
        <x:v>120231</x:v>
      </x:c>
      <x:c r="K93" s="45" t="n">
        <x:f aca="0">MARVEL_Cost!C27/N93</x:f>
        <x:v>10062.893081761007</x:v>
      </x:c>
      <x:c r="L93" s="23" t="s">
        <x:v>196</x:v>
      </x:c>
      <x:c r="M93" s="26" t="s">
        <x:v>260</x:v>
      </x:c>
      <x:c r="N93" s="23" t="n">
        <x:f aca="0">'Design Variables'!B17</x:f>
        <x:v>318</x:v>
      </x:c>
      <x:c r="O93" s="23" t="s">
        <x:v>198</x:v>
      </x:c>
      <x:c r="P93" s="23" t="n">
        <x:v>1</x:v>
      </x:c>
      <x:c r="Q93" s="20" t="n">
        <x:v>2024</x:v>
      </x:c>
      <x:c r="R93" s="23" t="s">
        <x:v>229</x:v>
      </x:c>
      <x:c r="S93" s="26" t="s">
        <x:v>219</x:v>
      </x:c>
      <x:c r="T93" s="26" t="s">
        <x:v>220</x:v>
      </x:c>
      <x:c r="U93" s="49"/>
      <x:c r="V93" s="23"/>
      <x:c r="W93" s="12" t="s">
        <x:v>236</x:v>
      </x:c>
      <x:c r="X93" s="24" t="n">
        <x:f aca="0">0.9*$J93</x:f>
        <x:v>108207.90000000001</x:v>
      </x:c>
      <x:c r="Y93" s="24" t="n">
        <x:f aca="0">1.5*J93</x:f>
        <x:v>180346.5</x:v>
      </x:c>
      <x:c r="Z93" s="12" t="s">
        <x:v>44</x:v>
      </x:c>
      <x:c r="AA93" s="13" t="n">
        <x:f aca="0">0.9*K93</x:f>
        <x:v>9056.603773584906</x:v>
      </x:c>
      <x:c r="AB93" s="13" t="n">
        <x:f aca="0">1.3*K93</x:f>
        <x:v>13081.761006289309</x:v>
      </x:c>
      <x:c r="AC93" s="12" t="s">
        <x:v>44</x:v>
      </x:c>
      <x:c r="AD93" s="13" t="s">
        <x:v>45</x:v>
      </x:c>
      <x:c r="AE93" s="13" t="s">
        <x:v>46</x:v>
      </x:c>
      <x:c r="AF93" s="13" t="s">
        <x:v>47</x:v>
      </x:c>
      <x:c r="AG93" s="12" t="s">
        <x:v>48</x:v>
      </x:c>
    </x:row>
    <x:row r="94" ht="25.5" hidden="0" customHeight="1">
      <x:c r="A94" s="30" t="n">
        <x:v>221.312</x:v>
      </x:c>
      <x:c r="B94" s="9" t="n">
        <x:f aca="0">IF(ISNUMBER(A94),
    IF(AND(A94=INT(A94), MOD(A94, 10) = 0), 0,
        IF(AND(A94=INT(A94), LEN(A94)=2), 1,
            IF(AND(A94=INT(A94), LEN(A94)=3), 2,
                LEN(A94) - FIND(".", A94) + 2)
        )
    ),
"")</x:f>
        <x:v>5</x:v>
      </x:c>
      <x:c r="C94" s="37" t="s">
        <x:v>261</x:v>
      </x:c>
      <x:c r="D94" s="10" t="str">
        <x:f aca="0">REPT("   ", B94*2) &amp; C94</x:f>
        <x:v>                              Axial Reflector</x:v>
      </x:c>
      <x:c r="E94" s="10" t="s">
        <x:v>35</x:v>
      </x:c>
      <x:c r="F94" s="10" t="s">
        <x:v>261</x:v>
      </x:c>
      <x:c r="G94" s="10" t="s">
        <x:v>234</x:v>
      </x:c>
      <x:c r="H94" s="10"/>
      <x:c r="I94" s="10"/>
      <x:c r="J94" s="16" t="n">
        <x:v>120231</x:v>
      </x:c>
      <x:c r="K94" s="45" t="n">
        <x:v>10062.893081761</x:v>
      </x:c>
      <x:c r="L94" s="23" t="s">
        <x:v>196</x:v>
      </x:c>
      <x:c r="M94" s="26" t="s">
        <x:v>262</x:v>
      </x:c>
      <x:c r="N94" s="23" t="n">
        <x:v>318</x:v>
      </x:c>
      <x:c r="O94" s="23" t="s">
        <x:v>198</x:v>
      </x:c>
      <x:c r="P94" s="23" t="n">
        <x:v>1</x:v>
      </x:c>
      <x:c r="Q94" s="20" t="n">
        <x:v>2024</x:v>
      </x:c>
      <x:c r="R94" s="23" t="s">
        <x:v>229</x:v>
      </x:c>
      <x:c r="S94" s="26" t="s">
        <x:v>219</x:v>
      </x:c>
      <x:c r="T94" s="26" t="s">
        <x:v>220</x:v>
      </x:c>
      <x:c r="U94" s="49"/>
      <x:c r="V94" s="23"/>
      <x:c r="W94" s="12" t="s">
        <x:v>236</x:v>
      </x:c>
      <x:c r="X94" s="24" t="n">
        <x:f aca="0">0.9*$J94</x:f>
        <x:v>108207.90000000001</x:v>
      </x:c>
      <x:c r="Y94" s="24" t="n">
        <x:f aca="0">1.5*J94</x:f>
        <x:v>180346.5</x:v>
      </x:c>
      <x:c r="Z94" s="12" t="s">
        <x:v>44</x:v>
      </x:c>
      <x:c r="AA94" s="13" t="n">
        <x:f aca="0">0.9*K94</x:f>
        <x:v>9056.6037735849</x:v>
      </x:c>
      <x:c r="AB94" s="13" t="n">
        <x:f aca="0">1.3*K94</x:f>
        <x:v>13081.7610062893</x:v>
      </x:c>
      <x:c r="AC94" s="12" t="s">
        <x:v>44</x:v>
      </x:c>
      <x:c r="AD94" s="13" t="s">
        <x:v>45</x:v>
      </x:c>
      <x:c r="AE94" s="13" t="s">
        <x:v>46</x:v>
      </x:c>
      <x:c r="AF94" s="13" t="s">
        <x:v>47</x:v>
      </x:c>
      <x:c r="AG94" s="12" t="s">
        <x:v>48</x:v>
      </x:c>
    </x:row>
    <x:row r="95" ht="25.5" hidden="0" customHeight="1">
      <x:c r="A95" s="30" t="n">
        <x:v>221.311</x:v>
      </x:c>
      <x:c r="B95" s="9" t="n">
        <x:f aca="0">IF(ISNUMBER(A95),
    IF(AND(A95=INT(A95), MOD(A95, 10) = 0), 0,
        IF(AND(A95=INT(A95), LEN(A95)=2), 1,
            IF(AND(A95=INT(A95), LEN(A95)=3), 2,
                LEN(A95) - FIND(".", A95) + 2)
        )
    ),
"")</x:f>
        <x:v>5</x:v>
      </x:c>
      <x:c r="C95" s="37" t="s">
        <x:v>259</x:v>
      </x:c>
      <x:c r="D95" s="10" t="str">
        <x:f aca="0">REPT("   ", B95*2) &amp; C95</x:f>
        <x:v>                              Radial Reflector</x:v>
      </x:c>
      <x:c r="E95" s="10" t="s">
        <x:v>35</x:v>
      </x:c>
      <x:c r="F95" s="10" t="s">
        <x:v>259</x:v>
      </x:c>
      <x:c r="G95" s="10" t="s">
        <x:v>237</x:v>
      </x:c>
      <x:c r="H95" s="10"/>
      <x:c r="I95" s="10"/>
      <x:c r="J95" s="16"/>
      <x:c r="K95" s="45" t="n">
        <x:f aca="0">MARVEL_Cost!C28/N85</x:f>
        <x:v>44736.84210526316</x:v>
      </x:c>
      <x:c r="L95" s="23" t="s">
        <x:v>196</x:v>
      </x:c>
      <x:c r="M95" s="26" t="s">
        <x:v>260</x:v>
      </x:c>
      <x:c r="N95" s="23" t="n">
        <x:f aca="0">1000*'Design Variables'!B19</x:f>
        <x:v>19</x:v>
      </x:c>
      <x:c r="O95" s="23" t="s">
        <x:v>198</x:v>
      </x:c>
      <x:c r="P95" s="23" t="n">
        <x:v>1</x:v>
      </x:c>
      <x:c r="Q95" s="20" t="n">
        <x:v>2024</x:v>
      </x:c>
      <x:c r="R95" s="23" t="s">
        <x:v>229</x:v>
      </x:c>
      <x:c r="S95" s="26" t="s">
        <x:v>219</x:v>
      </x:c>
      <x:c r="T95" s="26" t="s">
        <x:v>220</x:v>
      </x:c>
      <x:c r="U95" s="49"/>
      <x:c r="V95" s="23"/>
      <x:c r="W95" s="12" t="s">
        <x:v>238</x:v>
      </x:c>
      <x:c r="X95" s="24" t="n">
        <x:f aca="0">0.9*$J95</x:f>
        <x:v>0</x:v>
      </x:c>
      <x:c r="Y95" s="24" t="n">
        <x:f aca="0">1.5*J95</x:f>
        <x:v>0</x:v>
      </x:c>
      <x:c r="Z95" s="12" t="s">
        <x:v>44</x:v>
      </x:c>
      <x:c r="AA95" s="13" t="n">
        <x:f aca="0">0.9*K95</x:f>
        <x:v>40263.15789473685</x:v>
      </x:c>
      <x:c r="AB95" s="13" t="n">
        <x:f aca="0">1.3*K95</x:f>
        <x:v>58157.89473684211</x:v>
      </x:c>
      <x:c r="AC95" s="12" t="s">
        <x:v>44</x:v>
      </x:c>
      <x:c r="AD95" s="13" t="s">
        <x:v>45</x:v>
      </x:c>
      <x:c r="AE95" s="13" t="s">
        <x:v>46</x:v>
      </x:c>
      <x:c r="AF95" s="13" t="s">
        <x:v>47</x:v>
      </x:c>
      <x:c r="AG95" s="12" t="s">
        <x:v>48</x:v>
      </x:c>
    </x:row>
    <x:row r="96" ht="25.5" hidden="0" customHeight="1">
      <x:c r="A96" s="30" t="n">
        <x:v>221.312</x:v>
      </x:c>
      <x:c r="B96" s="9" t="n">
        <x:f aca="0">IF(ISNUMBER(A96),
    IF(AND(A96=INT(A96), MOD(A96, 10) = 0), 0,
        IF(AND(A96=INT(A96), LEN(A96)=2), 1,
            IF(AND(A96=INT(A96), LEN(A96)=3), 2,
                LEN(A96) - FIND(".", A96) + 2)
        )
    ),
"")</x:f>
        <x:v>5</x:v>
      </x:c>
      <x:c r="C96" s="37" t="s">
        <x:v>261</x:v>
      </x:c>
      <x:c r="D96" s="10" t="str">
        <x:f aca="0">REPT("   ", B96*2) &amp; C96</x:f>
        <x:v>                              Axial Reflector</x:v>
      </x:c>
      <x:c r="E96" s="10" t="s">
        <x:v>35</x:v>
      </x:c>
      <x:c r="F96" s="10" t="s">
        <x:v>261</x:v>
      </x:c>
      <x:c r="G96" s="10" t="s">
        <x:v>237</x:v>
      </x:c>
      <x:c r="H96" s="10"/>
      <x:c r="I96" s="10"/>
      <x:c r="J96" s="16"/>
      <x:c r="K96" s="45" t="n">
        <x:v>44736.8421052632</x:v>
      </x:c>
      <x:c r="L96" s="23" t="s">
        <x:v>196</x:v>
      </x:c>
      <x:c r="M96" s="26" t="s">
        <x:v>262</x:v>
      </x:c>
      <x:c r="N96" s="23" t="n">
        <x:v>19</x:v>
      </x:c>
      <x:c r="O96" s="23" t="s">
        <x:v>198</x:v>
      </x:c>
      <x:c r="P96" s="23" t="n">
        <x:v>1</x:v>
      </x:c>
      <x:c r="Q96" s="20" t="n">
        <x:v>2024</x:v>
      </x:c>
      <x:c r="R96" s="23" t="s">
        <x:v>229</x:v>
      </x:c>
      <x:c r="S96" s="26" t="s">
        <x:v>219</x:v>
      </x:c>
      <x:c r="T96" s="26" t="s">
        <x:v>220</x:v>
      </x:c>
      <x:c r="U96" s="49"/>
      <x:c r="V96" s="23"/>
      <x:c r="W96" s="12" t="s">
        <x:v>238</x:v>
      </x:c>
      <x:c r="X96" s="24" t="n">
        <x:f aca="0">0.9*$J96</x:f>
        <x:v>0</x:v>
      </x:c>
      <x:c r="Y96" s="24" t="n">
        <x:f aca="0">1.5*J96</x:f>
        <x:v>0</x:v>
      </x:c>
      <x:c r="Z96" s="12" t="s">
        <x:v>44</x:v>
      </x:c>
      <x:c r="AA96" s="13" t="n">
        <x:f aca="0">0.9*K96</x:f>
        <x:v>40263.157894736876</x:v>
      </x:c>
      <x:c r="AB96" s="13" t="n">
        <x:f aca="0">1.3*K96</x:f>
        <x:v>58157.89473684216</x:v>
      </x:c>
      <x:c r="AC96" s="12" t="s">
        <x:v>44</x:v>
      </x:c>
      <x:c r="AD96" s="13" t="s">
        <x:v>45</x:v>
      </x:c>
      <x:c r="AE96" s="13" t="s">
        <x:v>46</x:v>
      </x:c>
      <x:c r="AF96" s="13" t="s">
        <x:v>47</x:v>
      </x:c>
      <x:c r="AG96" s="12" t="s">
        <x:v>48</x:v>
      </x:c>
    </x:row>
    <x:row r="97" ht="101.25" hidden="0" customHeight="1">
      <x:c r="A97" s="30" t="n">
        <x:v>221.311</x:v>
      </x:c>
      <x:c r="B97" s="9" t="n">
        <x:f aca="0">IF(ISNUMBER(A97),
    IF(AND(A97=INT(A97), MOD(A97, 10) = 0), 0,
        IF(AND(A97=INT(A97), LEN(A97)=2), 1,
            IF(AND(A97=INT(A97), LEN(A97)=3), 2,
                LEN(A97) - FIND(".", A97) + 2)
        )
    ),
"")</x:f>
        <x:v>5</x:v>
      </x:c>
      <x:c r="C97" s="37" t="s">
        <x:v>259</x:v>
      </x:c>
      <x:c r="D97" s="10" t="str">
        <x:f aca="0">REPT("   ", B97*2) &amp; C97</x:f>
        <x:v>                              Radial Reflector</x:v>
      </x:c>
      <x:c r="E97" s="10" t="s">
        <x:v>35</x:v>
      </x:c>
      <x:c r="F97" s="10" t="s">
        <x:v>259</x:v>
      </x:c>
      <x:c r="G97" s="10" t="s">
        <x:v>239</x:v>
      </x:c>
      <x:c r="H97" s="10"/>
      <x:c r="I97" s="10"/>
      <x:c r="J97" s="16"/>
      <x:c r="K97" s="45" t="n">
        <x:v>80</x:v>
      </x:c>
      <x:c r="L97" s="23" t="s">
        <x:v>196</x:v>
      </x:c>
      <x:c r="M97" s="26" t="s">
        <x:v>260</x:v>
      </x:c>
      <x:c r="N97" s="23"/>
      <x:c r="O97" s="23"/>
      <x:c r="P97" s="23"/>
      <x:c r="Q97" s="20" t="n">
        <x:v>2022</x:v>
      </x:c>
      <x:c r="R97" s="23" t="s">
        <x:v>229</x:v>
      </x:c>
      <x:c r="S97" s="26" t="s">
        <x:v>240</x:v>
      </x:c>
      <x:c r="T97" s="26" t="s">
        <x:v>241</x:v>
      </x:c>
      <x:c r="U97" s="49"/>
      <x:c r="V97" s="23"/>
      <x:c r="W97" s="12" t="s">
        <x:v>167</x:v>
      </x:c>
      <x:c r="X97" s="24" t="n">
        <x:f aca="0">0.9*$J97</x:f>
        <x:v>0</x:v>
      </x:c>
      <x:c r="Y97" s="24" t="n">
        <x:f aca="0">1.5*J97</x:f>
        <x:v>0</x:v>
      </x:c>
      <x:c r="Z97" s="12" t="s">
        <x:v>44</x:v>
      </x:c>
      <x:c r="AA97" s="13" t="n">
        <x:f aca="0">0.9*K97</x:f>
        <x:v>72</x:v>
      </x:c>
      <x:c r="AB97" s="13" t="n">
        <x:f aca="0">1.3*K97</x:f>
        <x:v>104</x:v>
      </x:c>
      <x:c r="AC97" s="12" t="s">
        <x:v>44</x:v>
      </x:c>
      <x:c r="AD97" s="13" t="s">
        <x:v>45</x:v>
      </x:c>
      <x:c r="AE97" s="13" t="s">
        <x:v>46</x:v>
      </x:c>
      <x:c r="AF97" s="13" t="s">
        <x:v>47</x:v>
      </x:c>
      <x:c r="AG97" s="12" t="s">
        <x:v>48</x:v>
      </x:c>
    </x:row>
    <x:row r="98" ht="101.25" hidden="0" customHeight="1">
      <x:c r="A98" s="30" t="n">
        <x:v>221.312</x:v>
      </x:c>
      <x:c r="B98" s="9" t="n">
        <x:f aca="0">IF(ISNUMBER(A98),
    IF(AND(A98=INT(A98), MOD(A98, 10) = 0), 0,
        IF(AND(A98=INT(A98), LEN(A98)=2), 1,
            IF(AND(A98=INT(A98), LEN(A98)=3), 2,
                LEN(A98) - FIND(".", A98) + 2)
        )
    ),
"")</x:f>
        <x:v>5</x:v>
      </x:c>
      <x:c r="C98" s="37" t="s">
        <x:v>261</x:v>
      </x:c>
      <x:c r="D98" s="10" t="str">
        <x:f aca="0">REPT("   ", B98*2) &amp; C98</x:f>
        <x:v>                              Axial Reflector</x:v>
      </x:c>
      <x:c r="E98" s="10" t="s">
        <x:v>35</x:v>
      </x:c>
      <x:c r="F98" s="10" t="s">
        <x:v>261</x:v>
      </x:c>
      <x:c r="G98" s="10" t="s">
        <x:v>239</x:v>
      </x:c>
      <x:c r="H98" s="10"/>
      <x:c r="I98" s="10"/>
      <x:c r="J98" s="16"/>
      <x:c r="K98" s="45" t="n">
        <x:v>80</x:v>
      </x:c>
      <x:c r="L98" s="23" t="s">
        <x:v>196</x:v>
      </x:c>
      <x:c r="M98" s="26" t="s">
        <x:v>262</x:v>
      </x:c>
      <x:c r="N98" s="23"/>
      <x:c r="O98" s="23"/>
      <x:c r="P98" s="23"/>
      <x:c r="Q98" s="20" t="n">
        <x:v>2022</x:v>
      </x:c>
      <x:c r="R98" s="23" t="s">
        <x:v>229</x:v>
      </x:c>
      <x:c r="S98" s="26" t="s">
        <x:v>240</x:v>
      </x:c>
      <x:c r="T98" s="26" t="s">
        <x:v>241</x:v>
      </x:c>
      <x:c r="U98" s="49"/>
      <x:c r="V98" s="23"/>
      <x:c r="W98" s="12" t="s">
        <x:v>167</x:v>
      </x:c>
      <x:c r="X98" s="24" t="n">
        <x:f aca="0">0.9*$J98</x:f>
        <x:v>0</x:v>
      </x:c>
      <x:c r="Y98" s="24" t="n">
        <x:f aca="0">1.5*J98</x:f>
        <x:v>0</x:v>
      </x:c>
      <x:c r="Z98" s="12" t="s">
        <x:v>44</x:v>
      </x:c>
      <x:c r="AA98" s="13" t="n">
        <x:f aca="0">0.9*K98</x:f>
        <x:v>72</x:v>
      </x:c>
      <x:c r="AB98" s="13" t="n">
        <x:f aca="0">1.3*K98</x:f>
        <x:v>104</x:v>
      </x:c>
      <x:c r="AC98" s="12" t="s">
        <x:v>44</x:v>
      </x:c>
      <x:c r="AD98" s="13" t="s">
        <x:v>45</x:v>
      </x:c>
      <x:c r="AE98" s="13" t="s">
        <x:v>46</x:v>
      </x:c>
      <x:c r="AF98" s="13" t="s">
        <x:v>47</x:v>
      </x:c>
      <x:c r="AG98" s="12" t="s">
        <x:v>48</x:v>
      </x:c>
    </x:row>
    <x:row r="99" ht="51.75" hidden="0" customHeight="1">
      <x:c r="A99" s="30" t="n">
        <x:v>221.311</x:v>
      </x:c>
      <x:c r="B99" s="9" t="n">
        <x:f aca="0">IF(ISNUMBER(A99),
    IF(AND(A99=INT(A99), MOD(A99, 10) = 0), 0,
        IF(AND(A99=INT(A99), LEN(A99)=2), 1,
            IF(AND(A99=INT(A99), LEN(A99)=3), 2,
                LEN(A99) - FIND(".", A99) + 2)
        )
    ),
"")</x:f>
        <x:v>5</x:v>
      </x:c>
      <x:c r="C99" s="37" t="s">
        <x:v>259</x:v>
      </x:c>
      <x:c r="D99" s="10" t="str">
        <x:f aca="0">REPT("   ", B99*2) &amp; C99</x:f>
        <x:v>                              Radial Reflector</x:v>
      </x:c>
      <x:c r="E99" s="10" t="s">
        <x:v>35</x:v>
      </x:c>
      <x:c r="F99" s="10" t="s">
        <x:v>259</x:v>
      </x:c>
      <x:c r="G99" s="10" t="s">
        <x:v>263</x:v>
      </x:c>
      <x:c r="H99" s="10"/>
      <x:c r="I99" s="10"/>
      <x:c r="J99" s="16"/>
      <x:c r="K99" s="45" t="n">
        <x:v>134.1</x:v>
      </x:c>
      <x:c r="L99" s="23" t="s">
        <x:v>196</x:v>
      </x:c>
      <x:c r="M99" s="26" t="s">
        <x:v>260</x:v>
      </x:c>
      <x:c r="N99" s="23"/>
      <x:c r="O99" s="23"/>
      <x:c r="P99" s="23"/>
      <x:c r="Q99" s="20" t="n">
        <x:v>2017</x:v>
      </x:c>
      <x:c r="R99" s="23" t="s">
        <x:v>229</x:v>
      </x:c>
      <x:c r="S99" s="26" t="s">
        <x:v>264</x:v>
      </x:c>
      <x:c r="T99" s="26"/>
      <x:c r="U99" s="49"/>
      <x:c r="V99" s="23"/>
      <x:c r="W99" s="12" t="s">
        <x:v>167</x:v>
      </x:c>
      <x:c r="X99" s="24" t="n">
        <x:f aca="0">0.9*$J99</x:f>
        <x:v>0</x:v>
      </x:c>
      <x:c r="Y99" s="24" t="n">
        <x:f aca="0">1.5*J99</x:f>
        <x:v>0</x:v>
      </x:c>
      <x:c r="Z99" s="12" t="s">
        <x:v>44</x:v>
      </x:c>
      <x:c r="AA99" s="13" t="n">
        <x:f aca="0">0.9*K99</x:f>
        <x:v>120.69</x:v>
      </x:c>
      <x:c r="AB99" s="13" t="n">
        <x:f aca="0">1.3*K99</x:f>
        <x:v>174.33</x:v>
      </x:c>
      <x:c r="AC99" s="12" t="s">
        <x:v>44</x:v>
      </x:c>
      <x:c r="AD99" s="13" t="s">
        <x:v>45</x:v>
      </x:c>
      <x:c r="AE99" s="13" t="s">
        <x:v>46</x:v>
      </x:c>
      <x:c r="AF99" s="13" t="s">
        <x:v>47</x:v>
      </x:c>
      <x:c r="AG99" s="12" t="s">
        <x:v>48</x:v>
      </x:c>
    </x:row>
    <x:row r="100" ht="26.25" hidden="0" customHeight="1">
      <x:c r="A100" s="30" t="n">
        <x:v>221.312</x:v>
      </x:c>
      <x:c r="B100" s="9" t="n">
        <x:f aca="0">IF(ISNUMBER(A100),
    IF(AND(A100=INT(A100), MOD(A100, 10) = 0), 0,
        IF(AND(A100=INT(A100), LEN(A100)=2), 1,
            IF(AND(A100=INT(A100), LEN(A100)=3), 2,
                LEN(A100) - FIND(".", A100) + 2)
        )
    ),
"")</x:f>
        <x:v>5</x:v>
      </x:c>
      <x:c r="C100" s="37" t="s">
        <x:v>261</x:v>
      </x:c>
      <x:c r="D100" s="10" t="str">
        <x:f aca="0">REPT("   ", B100*2) &amp; C100</x:f>
        <x:v>                              Axial Reflector</x:v>
      </x:c>
      <x:c r="E100" s="10" t="s">
        <x:v>35</x:v>
      </x:c>
      <x:c r="F100" s="10" t="s">
        <x:v>261</x:v>
      </x:c>
      <x:c r="G100" s="10" t="s">
        <x:v>263</x:v>
      </x:c>
      <x:c r="H100" s="10"/>
      <x:c r="I100" s="10"/>
      <x:c r="J100" s="16"/>
      <x:c r="K100" s="45" t="n">
        <x:v>134.1</x:v>
      </x:c>
      <x:c r="L100" s="23" t="s">
        <x:v>196</x:v>
      </x:c>
      <x:c r="M100" s="26" t="s">
        <x:v>262</x:v>
      </x:c>
      <x:c r="N100" s="23"/>
      <x:c r="O100" s="23"/>
      <x:c r="P100" s="23"/>
      <x:c r="Q100" s="20" t="n">
        <x:v>2017</x:v>
      </x:c>
      <x:c r="R100" s="23" t="s">
        <x:v>229</x:v>
      </x:c>
      <x:c r="S100" s="26" t="s">
        <x:v>264</x:v>
      </x:c>
      <x:c r="T100" s="26"/>
      <x:c r="U100" s="49"/>
      <x:c r="V100" s="23"/>
      <x:c r="W100" s="12" t="s">
        <x:v>167</x:v>
      </x:c>
      <x:c r="X100" s="24" t="n">
        <x:f aca="0">0.9*$J100</x:f>
        <x:v>0</x:v>
      </x:c>
      <x:c r="Y100" s="24" t="n">
        <x:f aca="0">1.5*J100</x:f>
        <x:v>0</x:v>
      </x:c>
      <x:c r="Z100" s="12" t="s">
        <x:v>44</x:v>
      </x:c>
      <x:c r="AA100" s="13" t="n">
        <x:f aca="0">0.9*K100</x:f>
        <x:v>120.69</x:v>
      </x:c>
      <x:c r="AB100" s="13" t="n">
        <x:f aca="0">1.3*K100</x:f>
        <x:v>174.33</x:v>
      </x:c>
      <x:c r="AC100" s="12" t="s">
        <x:v>44</x:v>
      </x:c>
      <x:c r="AD100" s="13" t="s">
        <x:v>45</x:v>
      </x:c>
      <x:c r="AE100" s="13" t="s">
        <x:v>46</x:v>
      </x:c>
      <x:c r="AF100" s="13" t="s">
        <x:v>47</x:v>
      </x:c>
      <x:c r="AG100" s="12" t="s">
        <x:v>48</x:v>
      </x:c>
    </x:row>
    <x:row r="101" ht="26.25" hidden="0" customHeight="1">
      <x:c r="A101" s="30" t="n">
        <x:v>221.32</x:v>
      </x:c>
      <x:c r="B101" s="9" t="n">
        <x:f aca="0">IF(ISNUMBER(A101),
IF(AND(A101=INT(A101), MOD(A101, 10) = 0), 0,
IF(AND(A101=INT(A101), LEN(A101)=2), 1,
IF(AND(A101=INT(A101), LEN(A101)=3), 2,
LEN(A101) - FIND(".", A101) + 2)
)
),
"")</x:f>
        <x:v>4</x:v>
      </x:c>
      <x:c r="C101" s="37" t="s">
        <x:v>265</x:v>
      </x:c>
      <x:c r="D101" s="10" t="str">
        <x:f aca="0">REPT("   ", B101*2) &amp; C101</x:f>
        <x:v>                        Shield</x:v>
      </x:c>
      <x:c r="E101" s="10"/>
      <x:c r="F101" s="10"/>
      <x:c r="G101" s="10"/>
      <x:c r="H101" s="10"/>
      <x:c r="I101" s="10"/>
      <x:c r="J101" s="16"/>
      <x:c r="K101" s="17"/>
      <x:c r="L101" s="23"/>
      <x:c r="M101" s="26"/>
      <x:c r="N101" s="23"/>
      <x:c r="O101" s="23"/>
      <x:c r="P101" s="23"/>
      <x:c r="Q101" s="20"/>
      <x:c r="R101" s="23"/>
      <x:c r="S101" s="26"/>
      <x:c r="T101" s="26"/>
      <x:c r="U101" s="49"/>
      <x:c r="V101" s="23"/>
      <x:c r="W101" s="12"/>
      <x:c r="X101" s="24"/>
      <x:c r="Y101" s="24"/>
      <x:c r="Z101" s="12"/>
      <x:c r="AA101" s="13"/>
      <x:c r="AB101" s="13"/>
      <x:c r="AC101" s="12"/>
      <x:c r="AD101" s="13"/>
      <x:c r="AE101" s="13"/>
      <x:c r="AF101" s="13"/>
      <x:c r="AG101" s="12"/>
    </x:row>
    <x:row r="102" s="36" customFormat="1" ht="53.25" hidden="0" customHeight="1">
      <x:c r="A102" s="30" t="n">
        <x:v>221.321</x:v>
      </x:c>
      <x:c r="B102" s="9" t="n">
        <x:f aca="0">IF(ISNUMBER(A102),
IF(AND(A102=INT(A102), MOD(A102, 10) = 0), 0,
IF(AND(A102=INT(A102), LEN(A102)=2), 1,
IF(AND(A102=INT(A102), LEN(A102)=3), 2,
LEN(A102) - FIND(".", A102) + 2)
)
),
"")</x:f>
        <x:v>5</x:v>
      </x:c>
      <x:c r="C102" s="37" t="s">
        <x:v>266</x:v>
      </x:c>
      <x:c r="D102" s="10" t="str">
        <x:f aca="0">REPT("   ", B102*2) &amp; C102</x:f>
        <x:v>                              In Vessel Shield Materials</x:v>
      </x:c>
      <x:c r="E102" s="10" t="s">
        <x:v>35</x:v>
      </x:c>
      <x:c r="F102" s="10" t="s">
        <x:v>267</x:v>
      </x:c>
      <x:c r="G102" s="10" t="s">
        <x:v>227</x:v>
      </x:c>
      <x:c r="H102" s="10"/>
      <x:c r="I102" s="10"/>
      <x:c r="J102" s="16" t="n">
        <x:f aca="0">MARVEL_Cost!C30</x:f>
        <x:v>647990.6</x:v>
      </x:c>
      <x:c r="K102" s="17" t="n">
        <x:f aca="0">K82</x:f>
        <x:v>14285.714285714286</x:v>
      </x:c>
      <x:c r="L102" s="23" t="s">
        <x:v>196</x:v>
      </x:c>
      <x:c r="M102" s="26" t="s">
        <x:v>268</x:v>
      </x:c>
      <x:c r="N102" s="23" t="n">
        <x:f aca="0">N82</x:f>
        <x:v>28</x:v>
      </x:c>
      <x:c r="O102" s="23" t="s">
        <x:v>198</x:v>
      </x:c>
      <x:c r="P102" s="23" t="n">
        <x:v>1</x:v>
      </x:c>
      <x:c r="Q102" s="20" t="n">
        <x:v>2024</x:v>
      </x:c>
      <x:c r="R102" s="23" t="s">
        <x:v>229</x:v>
      </x:c>
      <x:c r="S102" s="26" t="s">
        <x:v>219</x:v>
      </x:c>
      <x:c r="T102" s="26"/>
      <x:c r="U102" s="49"/>
      <x:c r="V102" s="23"/>
      <x:c r="W102" s="12" t="s">
        <x:v>167</x:v>
      </x:c>
      <x:c r="X102" s="24" t="n">
        <x:f aca="0">0.9*$J102</x:f>
        <x:v>583191.54</x:v>
      </x:c>
      <x:c r="Y102" s="24" t="n">
        <x:f aca="0">1.5*J102</x:f>
        <x:v>971985.8999999999</x:v>
      </x:c>
      <x:c r="Z102" s="12" t="s">
        <x:v>44</x:v>
      </x:c>
      <x:c r="AA102" s="13" t="n">
        <x:f aca="0">0.9*K102</x:f>
        <x:v>12857.142857142859</x:v>
      </x:c>
      <x:c r="AB102" s="13" t="n">
        <x:f aca="0">1.3*K102</x:f>
        <x:v>18571.428571428572</x:v>
      </x:c>
      <x:c r="AC102" s="12" t="s">
        <x:v>44</x:v>
      </x:c>
      <x:c r="AD102" s="13" t="s">
        <x:v>45</x:v>
      </x:c>
      <x:c r="AE102" s="13" t="s">
        <x:v>46</x:v>
      </x:c>
      <x:c r="AF102" s="13" t="s">
        <x:v>47</x:v>
      </x:c>
      <x:c r="AG102" s="12" t="s">
        <x:v>48</x:v>
      </x:c>
    </x:row>
    <x:row r="103" s="36" customFormat="1" ht="53.25" hidden="0" customHeight="1">
      <x:c r="A103" s="30" t="n">
        <x:v>221.322</x:v>
      </x:c>
      <x:c r="B103" s="9" t="n">
        <x:f aca="0">IF(ISNUMBER(A103),
IF(AND(A103=INT(A103), MOD(A103, 10) = 0), 0,
IF(AND(A103=INT(A103), LEN(A103)=2), 1,
IF(AND(A103=INT(A103), LEN(A103)=3), 2,
LEN(A103) - FIND(".", A103) + 2)
)
),
"")</x:f>
        <x:v>5</x:v>
      </x:c>
      <x:c r="C103" s="37" t="s">
        <x:v>269</x:v>
      </x:c>
      <x:c r="D103" s="10" t="str">
        <x:f aca="0">REPT("   ", B103*2) &amp; C103</x:f>
        <x:v>                              Out The Vessel Shield Materials</x:v>
      </x:c>
      <x:c r="E103" s="10" t="s">
        <x:v>35</x:v>
      </x:c>
      <x:c r="F103" s="10" t="s">
        <x:v>270</x:v>
      </x:c>
      <x:c r="G103" s="10" t="s">
        <x:v>271</x:v>
      </x:c>
      <x:c r="H103" s="10"/>
      <x:c r="I103" s="10"/>
      <x:c r="J103" s="16"/>
      <x:c r="K103" s="17" t="n">
        <x:v>20</x:v>
      </x:c>
      <x:c r="L103" s="23" t="s">
        <x:v>196</x:v>
      </x:c>
      <x:c r="M103" s="26" t="s">
        <x:v>272</x:v>
      </x:c>
      <x:c r="N103" s="23" t="n">
        <x:f aca="0">'Design Variables'!B43</x:f>
        <x:v>925.3</x:v>
      </x:c>
      <x:c r="O103" s="23" t="s">
        <x:v>198</x:v>
      </x:c>
      <x:c r="P103" s="23" t="n">
        <x:v>1</x:v>
      </x:c>
      <x:c r="Q103" s="20" t="n">
        <x:v>2024</x:v>
      </x:c>
      <x:c r="R103" s="23" t="s">
        <x:v>229</x:v>
      </x:c>
      <x:c r="S103" s="26" t="s">
        <x:v>219</x:v>
      </x:c>
      <x:c r="T103" s="26"/>
      <x:c r="U103" s="50"/>
      <x:c r="V103" s="23"/>
      <x:c r="W103" s="12" t="s">
        <x:v>167</x:v>
      </x:c>
      <x:c r="X103" s="24" t="n">
        <x:f aca="0">0.9*$J103</x:f>
        <x:v>0</x:v>
      </x:c>
      <x:c r="Y103" s="24" t="n">
        <x:f aca="0">1.5*J103</x:f>
        <x:v>0</x:v>
      </x:c>
      <x:c r="Z103" s="12" t="s">
        <x:v>44</x:v>
      </x:c>
      <x:c r="AA103" s="13" t="n">
        <x:f aca="0">0.9*K103</x:f>
        <x:v>18</x:v>
      </x:c>
      <x:c r="AB103" s="13" t="n">
        <x:f aca="0">1.3*K103</x:f>
        <x:v>26</x:v>
      </x:c>
      <x:c r="AC103" s="12" t="s">
        <x:v>44</x:v>
      </x:c>
      <x:c r="AD103" s="13" t="s">
        <x:v>45</x:v>
      </x:c>
      <x:c r="AE103" s="13" t="s">
        <x:v>46</x:v>
      </x:c>
      <x:c r="AF103" s="13" t="s">
        <x:v>47</x:v>
      </x:c>
      <x:c r="AG103" s="12" t="s">
        <x:v>48</x:v>
      </x:c>
    </x:row>
    <x:row r="104" ht="122.25" hidden="0" customHeight="1">
      <x:c r="A104" s="51" t="n">
        <x:v>221.33</x:v>
      </x:c>
      <x:c r="B104" s="52" t="n">
        <x:f aca="0">IF(ISNUMBER(A104),
IF(AND(A104=INT(A104), MOD(A104, 10) = 0), 0,
IF(AND(A104=INT(A104), LEN(A104)=2), 1,
IF(AND(A104=INT(A104), LEN(A104)=3), 2,
LEN(A104) - FIND(".", A104) + 2)
)
),
"")</x:f>
        <x:v>4</x:v>
      </x:c>
      <x:c r="C104" s="37" t="s">
        <x:v>273</x:v>
      </x:c>
      <x:c r="D104" s="10" t="str">
        <x:f aca="0">REPT("   ", B104*2) &amp; C104</x:f>
        <x:v>                        Moderator</x:v>
      </x:c>
      <x:c r="E104" s="10" t="s">
        <x:v>35</x:v>
      </x:c>
      <x:c r="F104" s="10" t="s">
        <x:v>273</x:v>
      </x:c>
      <x:c r="G104" s="10" t="s">
        <x:v>239</x:v>
      </x:c>
      <x:c r="H104" s="53"/>
      <x:c r="I104" s="53"/>
      <x:c r="K104" s="17" t="n">
        <x:v>80</x:v>
      </x:c>
      <x:c r="L104" s="23" t="s">
        <x:v>196</x:v>
      </x:c>
      <x:c r="M104" s="26" t="s">
        <x:v>274</x:v>
      </x:c>
      <x:c r="O104" s="23" t="s">
        <x:v>198</x:v>
      </x:c>
      <x:c r="Q104" s="20" t="n">
        <x:v>2022</x:v>
      </x:c>
      <x:c r="R104" s="23" t="s">
        <x:v>229</x:v>
      </x:c>
      <x:c r="S104" s="26" t="s">
        <x:v>240</x:v>
      </x:c>
      <x:c r="T104" s="43" t="s">
        <x:v>241</x:v>
      </x:c>
      <x:c r="W104" s="12" t="s">
        <x:v>167</x:v>
      </x:c>
      <x:c r="Z104" s="12" t="s">
        <x:v>44</x:v>
      </x:c>
      <x:c r="AA104" s="13" t="n">
        <x:f aca="0">0.9*K104</x:f>
        <x:v>72</x:v>
      </x:c>
      <x:c r="AB104" s="13" t="n">
        <x:f aca="0">1.3*K104</x:f>
        <x:v>104</x:v>
      </x:c>
      <x:c r="AC104" s="12" t="s">
        <x:v>44</x:v>
      </x:c>
      <x:c r="AD104" s="13" t="s">
        <x:v>45</x:v>
      </x:c>
      <x:c r="AE104" s="13" t="s">
        <x:v>46</x:v>
      </x:c>
      <x:c r="AF104" s="13" t="s">
        <x:v>47</x:v>
      </x:c>
      <x:c r="AG104" s="12" t="s">
        <x:v>48</x:v>
      </x:c>
    </x:row>
    <x:row r="105" ht="122.25" hidden="0" customHeight="1">
      <x:c r="A105" s="51" t="n">
        <x:v>221.33</x:v>
      </x:c>
      <x:c r="B105" s="52" t="n">
        <x:f aca="0">IF(ISNUMBER(A105),
    IF(AND(A105=INT(A105), MOD(A105, 10) = 0), 0,
        IF(AND(A105=INT(A105), LEN(A105)=2), 1,
            IF(AND(A105=INT(A105), LEN(A105)=3), 2,
                LEN(A105) - FIND(".", A105) + 2)
        )
    ),
"")</x:f>
        <x:v>4</x:v>
      </x:c>
      <x:c r="C105" s="37" t="s">
        <x:v>273</x:v>
      </x:c>
      <x:c r="D105" s="10" t="str">
        <x:f aca="0">REPT("   ", B105*2) &amp; C105</x:f>
        <x:v>                        Moderator</x:v>
      </x:c>
      <x:c r="E105" s="10" t="s">
        <x:v>35</x:v>
      </x:c>
      <x:c r="F105" s="10" t="s">
        <x:v>273</x:v>
      </x:c>
      <x:c r="G105" s="10" t="s">
        <x:v>275</x:v>
      </x:c>
      <x:c r="H105" s="53"/>
      <x:c r="I105" s="53"/>
      <x:c r="K105" s="17" t="n">
        <x:f aca="0">2*K104</x:f>
        <x:v>160</x:v>
      </x:c>
      <x:c r="L105" s="23" t="s">
        <x:v>196</x:v>
      </x:c>
      <x:c r="M105" s="26" t="s">
        <x:v>274</x:v>
      </x:c>
      <x:c r="O105" s="23" t="s">
        <x:v>198</x:v>
      </x:c>
      <x:c r="Q105" s="20" t="n">
        <x:v>2022</x:v>
      </x:c>
      <x:c r="R105" s="23" t="s">
        <x:v>229</x:v>
      </x:c>
      <x:c r="S105" s="26" t="s">
        <x:v>276</x:v>
      </x:c>
      <x:c r="T105" s="43"/>
      <x:c r="W105" s="12" t="s">
        <x:v>167</x:v>
      </x:c>
      <x:c r="Z105" s="12" t="s">
        <x:v>44</x:v>
      </x:c>
      <x:c r="AA105" s="13" t="n">
        <x:f aca="0">0.9*K105</x:f>
        <x:v>144</x:v>
      </x:c>
      <x:c r="AB105" s="13" t="n">
        <x:f aca="0">1.3*K105</x:f>
        <x:v>208</x:v>
      </x:c>
      <x:c r="AC105" s="12" t="s">
        <x:v>44</x:v>
      </x:c>
      <x:c r="AD105" s="13" t="s">
        <x:v>45</x:v>
      </x:c>
      <x:c r="AE105" s="13" t="s">
        <x:v>46</x:v>
      </x:c>
      <x:c r="AF105" s="13" t="s">
        <x:v>47</x:v>
      </x:c>
      <x:c r="AG105" s="12" t="s">
        <x:v>48</x:v>
      </x:c>
    </x:row>
    <x:row r="106" ht="122.25" hidden="0" customHeight="1">
      <x:c r="A106" s="51" t="n">
        <x:v>221.33</x:v>
      </x:c>
      <x:c r="B106" s="52" t="n">
        <x:f aca="0">IF(ISNUMBER(A106),
IF(AND(A106=INT(A106), MOD(A106, 10) = 0), 0,
IF(AND(A106=INT(A106), LEN(A106)=2), 1,
IF(AND(A106=INT(A106), LEN(A106)=3), 2,
LEN(A106) - FIND(".", A106) + 2)
)
),
"")</x:f>
        <x:v>4</x:v>
      </x:c>
      <x:c r="C106" s="37" t="s">
        <x:v>273</x:v>
      </x:c>
      <x:c r="D106" s="10" t="str">
        <x:f aca="0">REPT("   ", B106*2) &amp; C106</x:f>
        <x:v>                        Moderator</x:v>
      </x:c>
      <x:c r="E106" s="10" t="s">
        <x:v>35</x:v>
      </x:c>
      <x:c r="F106" s="10" t="s">
        <x:v>273</x:v>
      </x:c>
      <x:c r="G106" s="10" t="s">
        <x:v>277</x:v>
      </x:c>
      <x:c r="H106" s="53"/>
      <x:c r="I106" s="53"/>
      <x:c r="K106" s="17" t="n">
        <x:v>1520</x:v>
      </x:c>
      <x:c r="L106" s="23" t="s">
        <x:v>196</x:v>
      </x:c>
      <x:c r="M106" s="26" t="s">
        <x:v>274</x:v>
      </x:c>
      <x:c r="O106" s="23" t="s">
        <x:v>198</x:v>
      </x:c>
      <x:c r="Q106" s="20" t="n">
        <x:v>2017</x:v>
      </x:c>
      <x:c r="R106" s="23" t="s">
        <x:v>229</x:v>
      </x:c>
      <x:c r="S106" s="26" t="s">
        <x:v>278</x:v>
      </x:c>
      <x:c r="T106" s="43" t="s">
        <x:v>279</x:v>
      </x:c>
      <x:c r="W106" s="12" t="s">
        <x:v>167</x:v>
      </x:c>
      <x:c r="Z106" s="12" t="s">
        <x:v>44</x:v>
      </x:c>
      <x:c r="AA106" s="13" t="n">
        <x:f aca="0">0.9*K106</x:f>
        <x:v>1368</x:v>
      </x:c>
      <x:c r="AB106" s="13" t="n">
        <x:f aca="0">1.3*K106</x:f>
        <x:v>1976</x:v>
      </x:c>
      <x:c r="AC106" s="12" t="s">
        <x:v>44</x:v>
      </x:c>
      <x:c r="AD106" s="13" t="s">
        <x:v>45</x:v>
      </x:c>
      <x:c r="AE106" s="13" t="s">
        <x:v>46</x:v>
      </x:c>
      <x:c r="AF106" s="13" t="s">
        <x:v>47</x:v>
      </x:c>
      <x:c r="AG106" s="12" t="s">
        <x:v>48</x:v>
      </x:c>
    </x:row>
    <x:row r="107" ht="122.25" hidden="0" customHeight="1">
      <x:c r="A107" s="51" t="n">
        <x:v>221.33</x:v>
      </x:c>
      <x:c r="B107" s="52" t="n">
        <x:f aca="0">IF(ISNUMBER(A107),
    IF(AND(A107=INT(A107), MOD(A107, 10) = 0), 0,
        IF(AND(A107=INT(A107), LEN(A107)=2), 1,
            IF(AND(A107=INT(A107), LEN(A107)=3), 2,
                LEN(A107) - FIND(".", A107) + 2)
        )
    ),
"")</x:f>
        <x:v>4</x:v>
      </x:c>
      <x:c r="C107" s="37" t="s">
        <x:v>273</x:v>
      </x:c>
      <x:c r="D107" s="10" t="str">
        <x:f aca="0">REPT("   ", B107*2) &amp; C107</x:f>
        <x:v>                        Moderator</x:v>
      </x:c>
      <x:c r="E107" s="10" t="s">
        <x:v>35</x:v>
      </x:c>
      <x:c r="F107" s="10" t="s">
        <x:v>273</x:v>
      </x:c>
      <x:c r="G107" s="10" t="s">
        <x:v>280</x:v>
      </x:c>
      <x:c r="H107" s="53"/>
      <x:c r="I107" s="53"/>
      <x:c r="K107" s="17" t="n">
        <x:v>1520</x:v>
      </x:c>
      <x:c r="L107" s="23" t="s">
        <x:v>196</x:v>
      </x:c>
      <x:c r="M107" s="26" t="s">
        <x:v>274</x:v>
      </x:c>
      <x:c r="O107" s="23" t="s">
        <x:v>198</x:v>
      </x:c>
      <x:c r="Q107" s="20" t="n">
        <x:v>2017</x:v>
      </x:c>
      <x:c r="R107" s="23" t="s">
        <x:v>229</x:v>
      </x:c>
      <x:c r="S107" s="26"/>
      <x:c r="T107" s="43" t="s">
        <x:v>281</x:v>
      </x:c>
      <x:c r="W107" s="12" t="s">
        <x:v>167</x:v>
      </x:c>
      <x:c r="Z107" s="12" t="s">
        <x:v>44</x:v>
      </x:c>
      <x:c r="AA107" s="13" t="n">
        <x:f aca="0">0.9*K107</x:f>
        <x:v>1368</x:v>
      </x:c>
      <x:c r="AB107" s="13" t="n">
        <x:f aca="0">1.3*K107</x:f>
        <x:v>1976</x:v>
      </x:c>
      <x:c r="AC107" s="12" t="s">
        <x:v>44</x:v>
      </x:c>
      <x:c r="AD107" s="13" t="s">
        <x:v>45</x:v>
      </x:c>
      <x:c r="AE107" s="13" t="s">
        <x:v>46</x:v>
      </x:c>
      <x:c r="AF107" s="13" t="s">
        <x:v>47</x:v>
      </x:c>
      <x:c r="AG107" s="12" t="s">
        <x:v>48</x:v>
      </x:c>
    </x:row>
    <x:row r="108" ht="122.25" hidden="0" customHeight="1">
      <x:c r="A108" s="51" t="n">
        <x:v>221.34</x:v>
      </x:c>
      <x:c r="B108" s="52" t="n">
        <x:f aca="0">IF(ISNUMBER(A108),
IF(AND(A108=INT(A108), MOD(A108, 10) = 0), 0,
IF(AND(A108=INT(A108), LEN(A108)=2), 1,
IF(AND(A108=INT(A108), LEN(A108)=3), 2,
LEN(A108) - FIND(".", A108) + 2)
)
),
"")</x:f>
        <x:v>4</x:v>
      </x:c>
      <x:c r="C108" s="37" t="s">
        <x:v>282</x:v>
      </x:c>
      <x:c r="D108" s="10" t="str">
        <x:f aca="0">REPT("   ", B108*2) &amp; C108</x:f>
        <x:v>                        Moderator (Booster)</x:v>
      </x:c>
      <x:c r="E108" s="10" t="s">
        <x:v>35</x:v>
      </x:c>
      <x:c r="F108" s="10" t="s">
        <x:v>283</x:v>
      </x:c>
      <x:c r="G108" s="10" t="s">
        <x:v>239</x:v>
      </x:c>
      <x:c r="H108" s="53"/>
      <x:c r="I108" s="53"/>
      <x:c r="K108" s="17" t="n">
        <x:v>80</x:v>
      </x:c>
      <x:c r="L108" s="23" t="s">
        <x:v>196</x:v>
      </x:c>
      <x:c r="M108" s="26" t="s">
        <x:v>284</x:v>
      </x:c>
      <x:c r="O108" s="23" t="s">
        <x:v>198</x:v>
      </x:c>
      <x:c r="Q108" s="20" t="n">
        <x:v>2022</x:v>
      </x:c>
      <x:c r="R108" s="23" t="s">
        <x:v>229</x:v>
      </x:c>
      <x:c r="S108" s="26" t="s">
        <x:v>240</x:v>
      </x:c>
      <x:c r="T108" s="43" t="s">
        <x:v>241</x:v>
      </x:c>
      <x:c r="W108" s="12" t="s">
        <x:v>167</x:v>
      </x:c>
      <x:c r="Z108" s="12" t="s">
        <x:v>44</x:v>
      </x:c>
      <x:c r="AA108" s="13" t="n">
        <x:f aca="0">0.9*K108</x:f>
        <x:v>72</x:v>
      </x:c>
      <x:c r="AB108" s="13" t="n">
        <x:f aca="0">1.3*K108</x:f>
        <x:v>104</x:v>
      </x:c>
      <x:c r="AC108" s="12" t="s">
        <x:v>44</x:v>
      </x:c>
      <x:c r="AD108" s="13" t="s">
        <x:v>45</x:v>
      </x:c>
      <x:c r="AE108" s="13" t="s">
        <x:v>46</x:v>
      </x:c>
      <x:c r="AF108" s="13" t="s">
        <x:v>47</x:v>
      </x:c>
      <x:c r="AG108" s="12" t="s">
        <x:v>48</x:v>
      </x:c>
    </x:row>
    <x:row r="109" ht="122.25" hidden="0" customHeight="1">
      <x:c r="A109" s="51" t="n">
        <x:v>221.34</x:v>
      </x:c>
      <x:c r="B109" s="52" t="n">
        <x:f aca="0">IF(ISNUMBER(A109),
IF(AND(A109=INT(A109), MOD(A109, 10) = 0), 0,
IF(AND(A109=INT(A109), LEN(A109)=2), 1,
IF(AND(A109=INT(A109), LEN(A109)=3), 2,
LEN(A109) - FIND(".", A109) + 2)
)
),
"")</x:f>
        <x:v>4</x:v>
      </x:c>
      <x:c r="C109" s="37" t="s">
        <x:v>282</x:v>
      </x:c>
      <x:c r="D109" s="10" t="str">
        <x:f aca="0">REPT("   ", B109*2) &amp; C109</x:f>
        <x:v>                        Moderator (Booster)</x:v>
      </x:c>
      <x:c r="E109" s="10" t="s">
        <x:v>35</x:v>
      </x:c>
      <x:c r="F109" s="10" t="s">
        <x:v>283</x:v>
      </x:c>
      <x:c r="G109" s="10" t="s">
        <x:v>280</x:v>
      </x:c>
      <x:c r="H109" s="53"/>
      <x:c r="I109" s="53"/>
      <x:c r="K109" s="17" t="n">
        <x:v>1520</x:v>
      </x:c>
      <x:c r="L109" s="23" t="s">
        <x:v>196</x:v>
      </x:c>
      <x:c r="M109" s="26" t="s">
        <x:v>285</x:v>
      </x:c>
      <x:c r="O109" s="23" t="s">
        <x:v>198</x:v>
      </x:c>
      <x:c r="Q109" s="20" t="n">
        <x:v>2017</x:v>
      </x:c>
      <x:c r="R109" s="23" t="s">
        <x:v>229</x:v>
      </x:c>
      <x:c r="S109" s="26"/>
      <x:c r="T109" s="43" t="s">
        <x:v>281</x:v>
      </x:c>
      <x:c r="W109" s="12" t="s">
        <x:v>167</x:v>
      </x:c>
      <x:c r="Z109" s="12" t="s">
        <x:v>44</x:v>
      </x:c>
      <x:c r="AA109" s="13" t="n">
        <x:f aca="0">0.9*K109</x:f>
        <x:v>1368</x:v>
      </x:c>
      <x:c r="AB109" s="13" t="n">
        <x:f aca="0">1.3*K109</x:f>
        <x:v>1976</x:v>
      </x:c>
      <x:c r="AC109" s="12" t="s">
        <x:v>44</x:v>
      </x:c>
      <x:c r="AD109" s="13" t="s">
        <x:v>45</x:v>
      </x:c>
      <x:c r="AE109" s="13" t="s">
        <x:v>46</x:v>
      </x:c>
      <x:c r="AF109" s="13" t="s">
        <x:v>47</x:v>
      </x:c>
      <x:c r="AG109" s="12" t="s">
        <x:v>48</x:v>
      </x:c>
    </x:row>
    <x:row r="110" ht="122.25" hidden="0" customHeight="1">
      <x:c r="A110" s="51" t="n">
        <x:v>221.34</x:v>
      </x:c>
      <x:c r="B110" s="52" t="n">
        <x:f aca="0">IF(ISNUMBER(A110),
IF(AND(A110=INT(A110), MOD(A110, 10) = 0), 0,
IF(AND(A110=INT(A110), LEN(A110)=2), 1,
IF(AND(A110=INT(A110), LEN(A110)=3), 2,
LEN(A110) - FIND(".", A110) + 2)
)
),
"")</x:f>
        <x:v>4</x:v>
      </x:c>
      <x:c r="C110" s="37" t="s">
        <x:v>282</x:v>
      </x:c>
      <x:c r="D110" s="10" t="str">
        <x:f aca="0">REPT("   ", B110*2) &amp; C110</x:f>
        <x:v>                        Moderator (Booster)</x:v>
      </x:c>
      <x:c r="E110" s="10" t="s">
        <x:v>35</x:v>
      </x:c>
      <x:c r="F110" s="10" t="s">
        <x:v>283</x:v>
      </x:c>
      <x:c r="G110" s="10" t="s">
        <x:v>277</x:v>
      </x:c>
      <x:c r="H110" s="53"/>
      <x:c r="I110" s="53"/>
      <x:c r="K110" s="17" t="n">
        <x:v>1520</x:v>
      </x:c>
      <x:c r="L110" s="23" t="s">
        <x:v>196</x:v>
      </x:c>
      <x:c r="M110" s="26" t="s">
        <x:v>286</x:v>
      </x:c>
      <x:c r="O110" s="23" t="s">
        <x:v>198</x:v>
      </x:c>
      <x:c r="Q110" s="20" t="n">
        <x:v>2017</x:v>
      </x:c>
      <x:c r="R110" s="23" t="s">
        <x:v>229</x:v>
      </x:c>
      <x:c r="S110" s="26" t="s">
        <x:v>278</x:v>
      </x:c>
      <x:c r="T110" s="43" t="s">
        <x:v>279</x:v>
      </x:c>
      <x:c r="U110" s="54"/>
      <x:c r="V110" s="54"/>
      <x:c r="W110" s="12" t="s">
        <x:v>167</x:v>
      </x:c>
      <x:c r="Z110" s="12" t="s">
        <x:v>44</x:v>
      </x:c>
      <x:c r="AA110" s="13" t="n">
        <x:f aca="0">0.9*K110</x:f>
        <x:v>1368</x:v>
      </x:c>
      <x:c r="AB110" s="13" t="n">
        <x:f aca="0">1.3*K110</x:f>
        <x:v>1976</x:v>
      </x:c>
      <x:c r="AC110" s="12" t="s">
        <x:v>44</x:v>
      </x:c>
      <x:c r="AD110" s="13" t="s">
        <x:v>45</x:v>
      </x:c>
      <x:c r="AE110" s="13" t="s">
        <x:v>46</x:v>
      </x:c>
      <x:c r="AF110" s="13" t="s">
        <x:v>47</x:v>
      </x:c>
      <x:c r="AG110" s="12" t="s">
        <x:v>48</x:v>
      </x:c>
    </x:row>
    <x:row r="111" ht="53.25" hidden="0" customHeight="1">
      <x:c r="A111" s="30" t="n">
        <x:v>222</x:v>
      </x:c>
      <x:c r="B111" s="9" t="n">
        <x:f aca="0">IF(ISNUMBER(A111),
IF(AND(A111=INT(A111), MOD(A111, 10) = 0), 0,
IF(AND(A111=INT(A111), LEN(A111)=2), 1,
IF(AND(A111=INT(A111), LEN(A111)=3), 2,
LEN(A111) - FIND(".", A111) + 2)
)
),
"")</x:f>
        <x:v>2</x:v>
      </x:c>
      <x:c r="C111" s="37" t="s">
        <x:v>287</x:v>
      </x:c>
      <x:c r="D111" s="10" t="str">
        <x:f aca="0">REPT("   ", B111*2) &amp; C111</x:f>
        <x:v>            Main Heat Transport System</x:v>
      </x:c>
      <x:c r="E111" s="10"/>
      <x:c r="F111" s="10"/>
      <x:c r="G111" s="10"/>
      <x:c r="H111" s="10"/>
      <x:c r="I111" s="10"/>
      <x:c r="J111" s="16"/>
      <x:c r="K111" s="17"/>
      <x:c r="L111" s="23"/>
      <x:c r="M111" s="26"/>
      <x:c r="N111" s="23"/>
      <x:c r="O111" s="23"/>
      <x:c r="P111" s="23"/>
      <x:c r="Q111" s="20"/>
      <x:c r="R111" s="23"/>
      <x:c r="S111" s="26"/>
      <x:c r="T111" s="43"/>
      <x:c r="U111" s="54"/>
      <x:c r="V111" s="54"/>
      <x:c r="W111" s="12"/>
      <x:c r="X111" s="24"/>
      <x:c r="Y111" s="24"/>
      <x:c r="Z111" s="12"/>
      <x:c r="AA111" s="13"/>
      <x:c r="AB111" s="13"/>
      <x:c r="AC111" s="12"/>
      <x:c r="AD111" s="13"/>
      <x:c r="AE111" s="13"/>
      <x:c r="AF111" s="13"/>
      <x:c r="AG111" s="12"/>
    </x:row>
    <x:row r="112" ht="26.25" hidden="0" customHeight="1">
      <x:c r="A112" s="30" t="n">
        <x:v>222.1</x:v>
      </x:c>
      <x:c r="B112" s="9" t="n">
        <x:f aca="0">IF(ISNUMBER(A112),
    IF(AND(A112=INT(A112), MOD(A112, 10) = 0), 0,
        IF(AND(A112=INT(A112), LEN(A112)=2), 1,
            IF(AND(A112=INT(A112), LEN(A112)=3), 2,
                LEN(A112) - FIND(".", A112) + 2)
        )
    ),
"")</x:f>
        <x:v>3</x:v>
      </x:c>
      <x:c r="C112" s="37" t="s">
        <x:v>288</x:v>
      </x:c>
      <x:c r="D112" s="10" t="str">
        <x:f aca="0">REPT("   ", B112*2) &amp; C112</x:f>
        <x:v>                  Fluid Circulation Drive System</x:v>
      </x:c>
      <x:c r="E112" s="10"/>
      <x:c r="F112" s="10"/>
      <x:c r="G112" s="10"/>
      <x:c r="H112" s="10"/>
      <x:c r="I112" s="10"/>
      <x:c r="J112" s="16"/>
      <x:c r="K112" s="20"/>
      <x:c r="L112" s="23"/>
      <x:c r="M112" s="26"/>
      <x:c r="N112" s="23"/>
      <x:c r="O112" s="23"/>
      <x:c r="P112" s="23"/>
      <x:c r="Q112" s="20"/>
      <x:c r="R112" s="23"/>
      <x:c r="S112" s="26"/>
      <x:c r="T112" s="23"/>
      <x:c r="U112" s="23"/>
      <x:c r="V112" s="23"/>
      <x:c r="W112" s="12"/>
      <x:c r="X112" s="24"/>
      <x:c r="Y112" s="24"/>
      <x:c r="Z112" s="12"/>
      <x:c r="AA112" s="13"/>
      <x:c r="AB112" s="13"/>
      <x:c r="AC112" s="12"/>
      <x:c r="AD112" s="13"/>
      <x:c r="AE112" s="13"/>
      <x:c r="AF112" s="13"/>
      <x:c r="AG112" s="12"/>
    </x:row>
    <x:row r="113" ht="108.75" hidden="0" customHeight="1">
      <x:c r="A113" s="15" t="n">
        <x:v>222.11</x:v>
      </x:c>
      <x:c r="B113" s="9" t="n">
        <x:f aca="0">IF(ISNUMBER(A113),
IF(AND(A113=INT(A113), MOD(A113, 10) = 0), 0,
IF(AND(A113=INT(A113), LEN(A113)=2), 1,
IF(AND(A113=INT(A113), LEN(A113)=3), 2,
LEN(A113) - FIND(".", A113) + 2)
)
),
"")</x:f>
        <x:v>4</x:v>
      </x:c>
      <x:c r="C113" s="37" t="s">
        <x:v>289</x:v>
      </x:c>
      <x:c r="D113" s="10" t="str">
        <x:f aca="0">REPT("   ", B113*2) &amp; C113</x:f>
        <x:v>                        Primary Pump</x:v>
      </x:c>
      <x:c r="E113" s="10" t="s">
        <x:v>290</x:v>
      </x:c>
      <x:c r="F113" s="10" t="s">
        <x:v>289</x:v>
      </x:c>
      <x:c r="G113" s="10" t="s">
        <x:v>291</x:v>
      </x:c>
      <x:c r="H113" s="10"/>
      <x:c r="I113" s="10"/>
      <x:c r="J113" s="16"/>
      <x:c r="K113" s="17" t="n">
        <x:f aca="0">12.5*705.48</x:f>
        <x:v>8818.5</x:v>
      </x:c>
      <x:c r="L113" s="23" t="s">
        <x:v>292</x:v>
      </x:c>
      <x:c r="M113" s="26" t="s">
        <x:v>293</x:v>
      </x:c>
      <x:c r="N113" s="23"/>
      <x:c r="O113" s="23"/>
      <x:c r="P113" s="23" t="n">
        <x:v>0.71</x:v>
      </x:c>
      <x:c r="Q113" s="20" t="n">
        <x:v>2003</x:v>
      </x:c>
      <x:c r="R113" s="23" t="s">
        <x:v>96</x:v>
      </x:c>
      <x:c r="S113" s="26" t="s">
        <x:v>294</x:v>
      </x:c>
      <x:c r="T113" s="43" t="s">
        <x:v>295</x:v>
      </x:c>
      <x:c r="U113" s="55" t="s">
        <x:v>296</x:v>
      </x:c>
      <x:c r="V113" s="43"/>
      <x:c r="W113" s="12" t="s">
        <x:v>167</x:v>
      </x:c>
      <x:c r="X113" s="24" t="n">
        <x:f aca="0">0.9*$J113</x:f>
        <x:v>0</x:v>
      </x:c>
      <x:c r="Y113" s="24" t="n">
        <x:f aca="0">1.5*J113</x:f>
        <x:v>0</x:v>
      </x:c>
      <x:c r="Z113" s="12" t="s">
        <x:v>44</x:v>
      </x:c>
      <x:c r="AA113" s="13" t="n">
        <x:f aca="0">0.9*K113</x:f>
        <x:v>7936.650000000001</x:v>
      </x:c>
      <x:c r="AB113" s="13" t="n">
        <x:f aca="0">1.3*K113</x:f>
        <x:v>11464.050000000001</x:v>
      </x:c>
      <x:c r="AC113" s="12" t="s">
        <x:v>44</x:v>
      </x:c>
      <x:c r="AD113" s="13" t="s">
        <x:v>45</x:v>
      </x:c>
      <x:c r="AE113" s="13" t="s">
        <x:v>46</x:v>
      </x:c>
      <x:c r="AF113" s="13" t="s">
        <x:v>47</x:v>
      </x:c>
      <x:c r="AG113" s="12" t="s">
        <x:v>48</x:v>
      </x:c>
    </x:row>
    <x:row r="114" ht="51.75" hidden="0" customHeight="1">
      <x:c r="A114" s="15" t="n">
        <x:v>222.12</x:v>
      </x:c>
      <x:c r="B114" s="9" t="n">
        <x:f aca="0">IF(ISNUMBER(A114),
IF(AND(A114=INT(A114), MOD(A114, 10) = 0), 0,
IF(AND(A114=INT(A114), LEN(A114)=2), 1,
IF(AND(A114=INT(A114), LEN(A114)=3), 2,
LEN(A114) - FIND(".", A114) + 2)
)
),
"")</x:f>
        <x:v>4</x:v>
      </x:c>
      <x:c r="C114" s="37" t="s">
        <x:v>297</x:v>
      </x:c>
      <x:c r="D114" s="10" t="str">
        <x:f aca="0">REPT("   ", B114*2) &amp; C114</x:f>
        <x:v>                        Secondary Pump</x:v>
      </x:c>
      <x:c r="E114" s="10" t="s">
        <x:v>290</x:v>
      </x:c>
      <x:c r="F114" s="10" t="s">
        <x:v>297</x:v>
      </x:c>
      <x:c r="G114" s="10" t="s">
        <x:v>291</x:v>
      </x:c>
      <x:c r="H114" s="10"/>
      <x:c r="I114" s="10"/>
      <x:c r="J114" s="16"/>
      <x:c r="K114" s="17" t="n">
        <x:v>705.48</x:v>
      </x:c>
      <x:c r="L114" s="23" t="s">
        <x:v>292</x:v>
      </x:c>
      <x:c r="M114" s="26" t="s">
        <x:v>298</x:v>
      </x:c>
      <x:c r="N114" s="23"/>
      <x:c r="O114" s="23"/>
      <x:c r="P114" s="23" t="n">
        <x:v>0.71</x:v>
      </x:c>
      <x:c r="Q114" s="20" t="n">
        <x:v>2003</x:v>
      </x:c>
      <x:c r="R114" s="23" t="s">
        <x:v>96</x:v>
      </x:c>
      <x:c r="S114" s="26" t="s">
        <x:v>299</x:v>
      </x:c>
      <x:c r="T114" s="50"/>
      <x:c r="U114" s="50"/>
      <x:c r="V114" s="50"/>
      <x:c r="W114" s="12" t="s">
        <x:v>167</x:v>
      </x:c>
      <x:c r="X114" s="24" t="n">
        <x:f aca="0">0.9*$J114</x:f>
        <x:v>0</x:v>
      </x:c>
      <x:c r="Y114" s="24" t="n">
        <x:f aca="0">1.5*J114</x:f>
        <x:v>0</x:v>
      </x:c>
      <x:c r="Z114" s="12" t="s">
        <x:v>44</x:v>
      </x:c>
      <x:c r="AA114" s="13" t="n">
        <x:f aca="0">0.9*K114</x:f>
        <x:v>634.932</x:v>
      </x:c>
      <x:c r="AB114" s="13" t="n">
        <x:f aca="0">1.3*K114</x:f>
        <x:v>917.124</x:v>
      </x:c>
      <x:c r="AC114" s="12" t="s">
        <x:v>44</x:v>
      </x:c>
      <x:c r="AD114" s="13" t="s">
        <x:v>45</x:v>
      </x:c>
      <x:c r="AE114" s="13" t="s">
        <x:v>46</x:v>
      </x:c>
      <x:c r="AF114" s="13" t="s">
        <x:v>47</x:v>
      </x:c>
      <x:c r="AG114" s="12" t="s">
        <x:v>48</x:v>
      </x:c>
    </x:row>
    <x:row r="115" ht="175.5" hidden="0" customHeight="1">
      <x:c r="A115" s="15" t="n">
        <x:v>222.13</x:v>
      </x:c>
      <x:c r="B115" s="9" t="n">
        <x:f aca="0">IF(ISNUMBER(A115),
IF(AND(A115=INT(A115), MOD(A115, 10) = 0), 0,
IF(AND(A115=INT(A115), LEN(A115)=2), 1,
IF(AND(A115=INT(A115), LEN(A115)=3), 2,
LEN(A115) - FIND(".", A115) + 2)
)
),
"")</x:f>
        <x:v>4</x:v>
      </x:c>
      <x:c r="C115" s="37" t="s">
        <x:v>300</x:v>
      </x:c>
      <x:c r="D115" s="10" t="str">
        <x:f aca="0">REPT("   ", B115*2) &amp; C115</x:f>
        <x:v>                        Compressor</x:v>
      </x:c>
      <x:c r="E115" s="10" t="s">
        <x:v>290</x:v>
      </x:c>
      <x:c r="F115" s="10" t="s">
        <x:v>128</x:v>
      </x:c>
      <x:c r="G115" s="10" t="s">
        <x:v>129</x:v>
      </x:c>
      <x:c r="H115" s="10"/>
      <x:c r="I115" s="10"/>
      <x:c r="J115" s="16"/>
      <x:c r="K115" s="17" t="n">
        <x:v>7100000</x:v>
      </x:c>
      <x:c r="L115" s="23" t="s">
        <x:v>301</x:v>
      </x:c>
      <x:c r="M115" s="26"/>
      <x:c r="N115" s="23"/>
      <x:c r="O115" s="23"/>
      <x:c r="P115" s="23"/>
      <x:c r="Q115" s="20" t="n">
        <x:v>2020</x:v>
      </x:c>
      <x:c r="R115" s="23" t="s">
        <x:v>96</x:v>
      </x:c>
      <x:c r="S115" s="26" t="s">
        <x:v>302</x:v>
      </x:c>
      <x:c r="T115" s="43" t="s">
        <x:v>303</x:v>
      </x:c>
      <x:c r="U115" s="40"/>
      <x:c r="V115" s="43" t="s">
        <x:v>304</x:v>
      </x:c>
      <x:c r="W115" s="12" t="s">
        <x:v>167</x:v>
      </x:c>
      <x:c r="X115" s="24" t="n">
        <x:f aca="0">0.9*$J115</x:f>
        <x:v>0</x:v>
      </x:c>
      <x:c r="Y115" s="24" t="n">
        <x:f aca="0">1.5*J115</x:f>
        <x:v>0</x:v>
      </x:c>
      <x:c r="Z115" s="12" t="s">
        <x:v>44</x:v>
      </x:c>
      <x:c r="AA115" s="13" t="n">
        <x:f aca="0">0.9*K115</x:f>
        <x:v>6390000</x:v>
      </x:c>
      <x:c r="AB115" s="13" t="n">
        <x:f aca="0">1.3*K115</x:f>
        <x:v>9230000</x:v>
      </x:c>
      <x:c r="AC115" s="12" t="s">
        <x:v>44</x:v>
      </x:c>
      <x:c r="AD115" s="13" t="s">
        <x:v>45</x:v>
      </x:c>
      <x:c r="AE115" s="13" t="s">
        <x:v>46</x:v>
      </x:c>
      <x:c r="AF115" s="13" t="s">
        <x:v>47</x:v>
      </x:c>
      <x:c r="AG115" s="12" t="s">
        <x:v>48</x:v>
      </x:c>
    </x:row>
    <x:row r="116" ht="53.25" hidden="0" customHeight="1">
      <x:c r="A116" s="30" t="n">
        <x:v>222.2</x:v>
      </x:c>
      <x:c r="B116" s="9" t="n">
        <x:f aca="0">IF(ISNUMBER(A116),
IF(AND(A116=INT(A116), MOD(A116, 10) = 0), 0,
IF(AND(A116=INT(A116), LEN(A116)=2), 1,
IF(AND(A116=INT(A116), LEN(A116)=3), 2,
LEN(A116) - FIND(".", A116) + 2)
)
),
"")</x:f>
        <x:v>3</x:v>
      </x:c>
      <x:c r="C116" s="37" t="s">
        <x:v>305</x:v>
      </x:c>
      <x:c r="D116" s="10" t="str">
        <x:f aca="0">REPT("   ", B116*2) &amp; C116</x:f>
        <x:v>                  Reactor Heat Transfer Piping System</x:v>
      </x:c>
      <x:c r="E116" s="10" t="s">
        <x:v>35</x:v>
      </x:c>
      <x:c r="F116" s="10" t="s">
        <x:v>128</x:v>
      </x:c>
      <x:c r="G116" s="10" t="s">
        <x:v>129</x:v>
      </x:c>
      <x:c r="H116" s="10"/>
      <x:c r="I116" s="10"/>
      <x:c r="J116" s="16"/>
      <x:c r="K116" s="17" t="n">
        <x:v>20000</x:v>
      </x:c>
      <x:c r="L116" s="23" t="s">
        <x:v>50</x:v>
      </x:c>
      <x:c r="M116" s="18" t="s">
        <x:v>51</x:v>
      </x:c>
      <x:c r="N116" s="23"/>
      <x:c r="O116" s="23"/>
      <x:c r="P116" s="23"/>
      <x:c r="Q116" s="20" t="n">
        <x:v>2017</x:v>
      </x:c>
      <x:c r="R116" s="23" t="s">
        <x:v>163</x:v>
      </x:c>
      <x:c r="S116" s="26" t="s">
        <x:v>306</x:v>
      </x:c>
      <x:c r="T116" s="26" t="s">
        <x:v>207</x:v>
      </x:c>
      <x:c r="U116" s="23"/>
      <x:c r="V116" s="23"/>
      <x:c r="W116" s="12" t="s">
        <x:v>167</x:v>
      </x:c>
      <x:c r="X116" s="24" t="n">
        <x:f aca="0">0.9*$J116</x:f>
        <x:v>0</x:v>
      </x:c>
      <x:c r="Y116" s="24" t="n">
        <x:f aca="0">1.5*J116</x:f>
        <x:v>0</x:v>
      </x:c>
      <x:c r="Z116" s="12" t="s">
        <x:v>44</x:v>
      </x:c>
      <x:c r="AA116" s="13" t="n">
        <x:f aca="0">0.9*K116</x:f>
        <x:v>18000</x:v>
      </x:c>
      <x:c r="AB116" s="13" t="n">
        <x:f aca="0">1.3*K116</x:f>
        <x:v>26000</x:v>
      </x:c>
      <x:c r="AC116" s="12" t="s">
        <x:v>44</x:v>
      </x:c>
      <x:c r="AD116" s="13" t="s">
        <x:v>45</x:v>
      </x:c>
      <x:c r="AE116" s="13" t="s">
        <x:v>46</x:v>
      </x:c>
      <x:c r="AF116" s="13" t="s">
        <x:v>47</x:v>
      </x:c>
      <x:c r="AG116" s="12" t="s">
        <x:v>48</x:v>
      </x:c>
    </x:row>
    <x:row r="117" ht="53.25" hidden="0" customHeight="1">
      <x:c r="A117" s="30" t="n">
        <x:v>222.2</x:v>
      </x:c>
      <x:c r="B117" s="9" t="n">
        <x:f aca="0">IF(ISNUMBER(A117),
    IF(AND(A117=INT(A117), MOD(A117, 10) = 0), 0,
        IF(AND(A117=INT(A117), LEN(A117)=2), 1,
            IF(AND(A117=INT(A117), LEN(A117)=3), 2,
                LEN(A117) - FIND(".", A117) + 2)
        )
    ),
"")</x:f>
        <x:v>3</x:v>
      </x:c>
      <x:c r="C117" s="37" t="s">
        <x:v>305</x:v>
      </x:c>
      <x:c r="D117" s="10" t="str">
        <x:f aca="0">REPT("   ", B117*2) &amp; C117</x:f>
        <x:v>                  Reactor Heat Transfer Piping System</x:v>
      </x:c>
      <x:c r="E117" s="10" t="s">
        <x:v>35</x:v>
      </x:c>
      <x:c r="F117" s="10" t="s">
        <x:v>128</x:v>
      </x:c>
      <x:c r="G117" s="10" t="s">
        <x:v>307</x:v>
      </x:c>
      <x:c r="H117" s="10"/>
      <x:c r="I117" s="10"/>
      <x:c r="J117" s="16"/>
      <x:c r="K117" s="17" t="n">
        <x:v>20000</x:v>
      </x:c>
      <x:c r="L117" s="23" t="s">
        <x:v>50</x:v>
      </x:c>
      <x:c r="M117" s="18" t="s">
        <x:v>51</x:v>
      </x:c>
      <x:c r="N117" s="23"/>
      <x:c r="O117" s="23"/>
      <x:c r="P117" s="23"/>
      <x:c r="Q117" s="20" t="n">
        <x:v>2017</x:v>
      </x:c>
      <x:c r="R117" s="23" t="s">
        <x:v>163</x:v>
      </x:c>
      <x:c r="S117" s="26" t="s">
        <x:v>306</x:v>
      </x:c>
      <x:c r="T117" s="26" t="s">
        <x:v>207</x:v>
      </x:c>
      <x:c r="U117" s="23"/>
      <x:c r="V117" s="23"/>
      <x:c r="W117" s="12" t="s">
        <x:v>167</x:v>
      </x:c>
      <x:c r="X117" s="24" t="n">
        <x:f aca="0">0.9*$J117</x:f>
        <x:v>0</x:v>
      </x:c>
      <x:c r="Y117" s="24" t="n">
        <x:f aca="0">1.5*J117</x:f>
        <x:v>0</x:v>
      </x:c>
      <x:c r="Z117" s="12" t="s">
        <x:v>44</x:v>
      </x:c>
      <x:c r="AA117" s="13" t="n">
        <x:f aca="0">0.9*K117</x:f>
        <x:v>18000</x:v>
      </x:c>
      <x:c r="AB117" s="13" t="n">
        <x:f aca="0">1.3*K117</x:f>
        <x:v>26000</x:v>
      </x:c>
      <x:c r="AC117" s="12" t="s">
        <x:v>44</x:v>
      </x:c>
      <x:c r="AD117" s="13" t="s">
        <x:v>45</x:v>
      </x:c>
      <x:c r="AE117" s="13" t="s">
        <x:v>46</x:v>
      </x:c>
      <x:c r="AF117" s="13" t="s">
        <x:v>47</x:v>
      </x:c>
      <x:c r="AG117" s="12" t="s">
        <x:v>48</x:v>
      </x:c>
    </x:row>
    <x:row r="118" ht="53.25" hidden="0" customHeight="1">
      <x:c r="A118" s="30" t="n">
        <x:v>222.2</x:v>
      </x:c>
      <x:c r="B118" s="9" t="n">
        <x:f aca="0">IF(ISNUMBER(A118),
IF(AND(A118=INT(A118), MOD(A118, 10) = 0), 0,
IF(AND(A118=INT(A118), LEN(A118)=2), 1,
IF(AND(A118=INT(A118), LEN(A118)=3), 2,
LEN(A118) - FIND(".", A118) + 2)
)
),
"")</x:f>
        <x:v>3</x:v>
      </x:c>
      <x:c r="C118" s="37" t="s">
        <x:v>305</x:v>
      </x:c>
      <x:c r="D118" s="10" t="str">
        <x:f aca="0">REPT("   ", B118*2) &amp; C118</x:f>
        <x:v>                  Reactor Heat Transfer Piping System</x:v>
      </x:c>
      <x:c r="E118" s="10" t="s">
        <x:v>35</x:v>
      </x:c>
      <x:c r="F118" s="10" t="s">
        <x:v>128</x:v>
      </x:c>
      <x:c r="G118" s="10" t="s">
        <x:v>308</x:v>
      </x:c>
      <x:c r="H118" s="10"/>
      <x:c r="I118" s="10"/>
      <x:c r="J118" s="16"/>
      <x:c r="K118" s="17" t="n">
        <x:v>10000</x:v>
      </x:c>
      <x:c r="L118" s="23" t="s">
        <x:v>309</x:v>
      </x:c>
      <x:c r="M118" s="18" t="s">
        <x:v>310</x:v>
      </x:c>
      <x:c r="N118" s="23" t="n">
        <x:v>1</x:v>
      </x:c>
      <x:c r="O118" s="23"/>
      <x:c r="P118" s="23" t="n">
        <x:v>0.7</x:v>
      </x:c>
      <x:c r="Q118" s="20" t="n">
        <x:v>2017</x:v>
      </x:c>
      <x:c r="R118" s="23" t="s">
        <x:v>163</x:v>
      </x:c>
      <x:c r="S118" s="26" t="s">
        <x:v>311</x:v>
      </x:c>
      <x:c r="T118" s="26"/>
      <x:c r="U118" s="23"/>
      <x:c r="V118" s="23"/>
      <x:c r="W118" s="12" t="s">
        <x:v>167</x:v>
      </x:c>
      <x:c r="X118" s="24" t="n">
        <x:f aca="0">0.9*$J118</x:f>
        <x:v>0</x:v>
      </x:c>
      <x:c r="Y118" s="24" t="n">
        <x:f aca="0">1.5*J118</x:f>
        <x:v>0</x:v>
      </x:c>
      <x:c r="Z118" s="12" t="s">
        <x:v>44</x:v>
      </x:c>
      <x:c r="AA118" s="13" t="n">
        <x:f aca="0">0.9*K118</x:f>
        <x:v>9000</x:v>
      </x:c>
      <x:c r="AB118" s="13" t="n">
        <x:f aca="0">1.3*K118</x:f>
        <x:v>13000</x:v>
      </x:c>
      <x:c r="AC118" s="12" t="s">
        <x:v>44</x:v>
      </x:c>
      <x:c r="AD118" s="13" t="s">
        <x:v>45</x:v>
      </x:c>
      <x:c r="AE118" s="13" t="s">
        <x:v>46</x:v>
      </x:c>
      <x:c r="AF118" s="13" t="s">
        <x:v>47</x:v>
      </x:c>
      <x:c r="AG118" s="12" t="s">
        <x:v>48</x:v>
      </x:c>
    </x:row>
    <x:row r="119" ht="26.25" hidden="0" customHeight="1">
      <x:c r="A119" s="30" t="n">
        <x:v>222.3</x:v>
      </x:c>
      <x:c r="B119" s="9" t="n">
        <x:f aca="0">IF(ISNUMBER(A119),
IF(AND(A119=INT(A119), MOD(A119, 10) = 0), 0,
IF(AND(A119=INT(A119), LEN(A119)=2), 1,
IF(AND(A119=INT(A119), LEN(A119)=3), 2,
LEN(A119) - FIND(".", A119) + 2)
)
),
"")</x:f>
        <x:v>3</x:v>
      </x:c>
      <x:c r="C119" s="37" t="s">
        <x:v>312</x:v>
      </x:c>
      <x:c r="D119" s="10" t="str">
        <x:f aca="0">REPT("   ", B119*2) &amp; C119</x:f>
        <x:v>                  Heat Exchangers</x:v>
      </x:c>
      <x:c r="E119" s="10"/>
      <x:c r="F119" s="10"/>
      <x:c r="G119" s="10"/>
      <x:c r="H119" s="10"/>
      <x:c r="I119" s="10"/>
      <x:c r="J119" s="16"/>
      <x:c r="K119" s="17"/>
      <x:c r="L119" s="23"/>
      <x:c r="M119" s="26"/>
      <x:c r="N119" s="23"/>
      <x:c r="O119" s="23"/>
      <x:c r="P119" s="23"/>
      <x:c r="Q119" s="20"/>
      <x:c r="R119" s="23"/>
      <x:c r="S119" s="26"/>
      <x:c r="T119" s="23"/>
      <x:c r="U119" s="23"/>
      <x:c r="V119" s="23"/>
      <x:c r="W119" s="12"/>
      <x:c r="X119" s="24"/>
      <x:c r="Y119" s="24"/>
      <x:c r="Z119" s="12"/>
      <x:c r="AA119" s="13"/>
      <x:c r="AB119" s="13"/>
      <x:c r="AC119" s="12"/>
      <x:c r="AD119" s="13"/>
      <x:c r="AE119" s="13"/>
      <x:c r="AF119" s="13"/>
      <x:c r="AG119" s="12"/>
    </x:row>
    <x:row r="120" ht="53.25" hidden="0" customHeight="1">
      <x:c r="A120" s="30" t="n">
        <x:v>222.31</x:v>
      </x:c>
      <x:c r="B120" s="9" t="n">
        <x:f aca="0">IF(ISNUMBER(A120),
    IF(AND(A120=INT(A120), MOD(A120, 10) = 0), 0,
        IF(AND(A120=INT(A120), LEN(A120)=2), 1,
            IF(AND(A120=INT(A120), LEN(A120)=3), 2,
                LEN(A120) - FIND(".", A120) + 2)
        )
    ),
"")</x:f>
        <x:v>4</x:v>
      </x:c>
      <x:c r="C120" s="37" t="s">
        <x:v>313</x:v>
      </x:c>
      <x:c r="D120" s="10" t="str">
        <x:f aca="0">REPT("   ", B120*2) &amp; C120</x:f>
        <x:v>                        Primary Heat Exchanger</x:v>
      </x:c>
      <x:c r="E120" s="10" t="s">
        <x:v>35</x:v>
      </x:c>
      <x:c r="F120" s="10" t="s">
        <x:v>314</x:v>
      </x:c>
      <x:c r="G120" s="10" t="s">
        <x:v>315</x:v>
      </x:c>
      <x:c r="H120" s="10"/>
      <x:c r="I120" s="10"/>
      <x:c r="J120" s="16"/>
      <x:c r="K120" s="17" t="n">
        <x:v>50</x:v>
      </x:c>
      <x:c r="L120" s="23" t="s">
        <x:v>196</x:v>
      </x:c>
      <x:c r="M120" s="26" t="s">
        <x:v>316</x:v>
      </x:c>
      <x:c r="N120" s="23"/>
      <x:c r="O120" s="23" t="s">
        <x:v>198</x:v>
      </x:c>
      <x:c r="P120" s="23"/>
      <x:c r="Q120" s="20" t="n">
        <x:v>2004</x:v>
      </x:c>
      <x:c r="R120" s="23" t="s">
        <x:v>163</x:v>
      </x:c>
      <x:c r="S120" s="26" t="s">
        <x:v>317</x:v>
      </x:c>
      <x:c r="T120" s="43" t="s">
        <x:v>318</x:v>
      </x:c>
      <x:c r="U120" s="23"/>
      <x:c r="V120" s="23"/>
      <x:c r="W120" s="12" t="s">
        <x:v>167</x:v>
      </x:c>
      <x:c r="X120" s="24" t="n">
        <x:f aca="0">0.9*$J120</x:f>
        <x:v>0</x:v>
      </x:c>
      <x:c r="Y120" s="24" t="n">
        <x:f aca="0">1.5*J120</x:f>
        <x:v>0</x:v>
      </x:c>
      <x:c r="Z120" s="12" t="s">
        <x:v>44</x:v>
      </x:c>
      <x:c r="AA120" s="13" t="n">
        <x:f aca="0">0.9*K120</x:f>
        <x:v>45</x:v>
      </x:c>
      <x:c r="AB120" s="13" t="n">
        <x:f aca="0">1.3*K120</x:f>
        <x:v>65</x:v>
      </x:c>
      <x:c r="AC120" s="12" t="s">
        <x:v>44</x:v>
      </x:c>
      <x:c r="AD120" s="13" t="s">
        <x:v>45</x:v>
      </x:c>
      <x:c r="AE120" s="13" t="s">
        <x:v>46</x:v>
      </x:c>
      <x:c r="AF120" s="13" t="s">
        <x:v>47</x:v>
      </x:c>
      <x:c r="AG120" s="12" t="s">
        <x:v>48</x:v>
      </x:c>
    </x:row>
    <x:row r="121" ht="53.25" hidden="0" customHeight="1">
      <x:c r="A121" s="30" t="n">
        <x:v>222.31</x:v>
      </x:c>
      <x:c r="B121" s="9" t="n">
        <x:f aca="0">IF(ISNUMBER(A121),
    IF(AND(A121=INT(A121), MOD(A121, 10) = 0), 0,
        IF(AND(A121=INT(A121), LEN(A121)=2), 1,
            IF(AND(A121=INT(A121), LEN(A121)=3), 2,
                LEN(A121) - FIND(".", A121) + 2)
        )
    ),
"")</x:f>
        <x:v>4</x:v>
      </x:c>
      <x:c r="C121" s="37" t="s">
        <x:v>313</x:v>
      </x:c>
      <x:c r="D121" s="10" t="str">
        <x:f aca="0">REPT("   ", B121*2) &amp; C121</x:f>
        <x:v>                        Primary Heat Exchanger</x:v>
      </x:c>
      <x:c r="E121" s="10" t="s">
        <x:v>35</x:v>
      </x:c>
      <x:c r="F121" s="10" t="s">
        <x:v>314</x:v>
      </x:c>
      <x:c r="G121" s="10" t="s">
        <x:v>319</x:v>
      </x:c>
      <x:c r="H121" s="10"/>
      <x:c r="I121" s="10"/>
      <x:c r="J121" s="16"/>
      <x:c r="K121" s="17" t="n">
        <x:v>120</x:v>
      </x:c>
      <x:c r="L121" s="23" t="s">
        <x:v>196</x:v>
      </x:c>
      <x:c r="M121" s="26" t="s">
        <x:v>316</x:v>
      </x:c>
      <x:c r="N121" s="23"/>
      <x:c r="O121" s="23" t="s">
        <x:v>198</x:v>
      </x:c>
      <x:c r="P121" s="23"/>
      <x:c r="Q121" s="20" t="n">
        <x:v>2013</x:v>
      </x:c>
      <x:c r="R121" s="23" t="s">
        <x:v>163</x:v>
      </x:c>
      <x:c r="S121" s="26" t="s">
        <x:v>317</x:v>
      </x:c>
      <x:c r="T121" s="43" t="s">
        <x:v>320</x:v>
      </x:c>
      <x:c r="U121" s="23"/>
      <x:c r="V121" s="23"/>
      <x:c r="W121" s="12" t="s">
        <x:v>167</x:v>
      </x:c>
      <x:c r="X121" s="24" t="n">
        <x:f aca="0">0.9*$J121</x:f>
        <x:v>0</x:v>
      </x:c>
      <x:c r="Y121" s="24" t="n">
        <x:f aca="0">1.5*J121</x:f>
        <x:v>0</x:v>
      </x:c>
      <x:c r="Z121" s="12" t="s">
        <x:v>44</x:v>
      </x:c>
      <x:c r="AA121" s="13" t="n">
        <x:f aca="0">0.9*K121</x:f>
        <x:v>108</x:v>
      </x:c>
      <x:c r="AB121" s="13" t="n">
        <x:f aca="0">1.3*K121</x:f>
        <x:v>156</x:v>
      </x:c>
      <x:c r="AC121" s="12" t="s">
        <x:v>44</x:v>
      </x:c>
      <x:c r="AD121" s="13" t="s">
        <x:v>45</x:v>
      </x:c>
      <x:c r="AE121" s="13" t="s">
        <x:v>46</x:v>
      </x:c>
      <x:c r="AF121" s="13" t="s">
        <x:v>47</x:v>
      </x:c>
      <x:c r="AG121" s="12" t="s">
        <x:v>48</x:v>
      </x:c>
    </x:row>
    <x:row r="122" ht="53.25" hidden="0" customHeight="1">
      <x:c r="A122" s="30" t="n">
        <x:v>222.32</x:v>
      </x:c>
      <x:c r="B122" s="9" t="n">
        <x:f aca="0">IF(ISNUMBER(A122),
    IF(AND(A122=INT(A122), MOD(A122, 10) = 0), 0,
        IF(AND(A122=INT(A122), LEN(A122)=2), 1,
            IF(AND(A122=INT(A122), LEN(A122)=3), 2,
                LEN(A122) - FIND(".", A122) + 2)
        )
    ),
"")</x:f>
        <x:v>4</x:v>
      </x:c>
      <x:c r="C122" s="37" t="s">
        <x:v>321</x:v>
      </x:c>
      <x:c r="D122" s="10" t="str">
        <x:f aca="0">REPT("   ", B122*2) &amp; C122</x:f>
        <x:v>                        Secondary Heat Exchanger</x:v>
      </x:c>
      <x:c r="E122" s="10" t="s">
        <x:v>35</x:v>
      </x:c>
      <x:c r="F122" s="10" t="s">
        <x:v>314</x:v>
      </x:c>
      <x:c r="G122" s="10" t="s">
        <x:v>315</x:v>
      </x:c>
      <x:c r="H122" s="10"/>
      <x:c r="I122" s="10"/>
      <x:c r="J122" s="16"/>
      <x:c r="K122" s="17" t="n">
        <x:v>50</x:v>
      </x:c>
      <x:c r="L122" s="23" t="s">
        <x:v>196</x:v>
      </x:c>
      <x:c r="M122" s="26" t="s">
        <x:v>322</x:v>
      </x:c>
      <x:c r="N122" s="23"/>
      <x:c r="O122" s="23" t="s">
        <x:v>198</x:v>
      </x:c>
      <x:c r="P122" s="23"/>
      <x:c r="Q122" s="20" t="n">
        <x:v>2004</x:v>
      </x:c>
      <x:c r="R122" s="23" t="s">
        <x:v>163</x:v>
      </x:c>
      <x:c r="S122" s="26" t="s">
        <x:v>317</x:v>
      </x:c>
      <x:c r="T122" s="43" t="s">
        <x:v>318</x:v>
      </x:c>
      <x:c r="U122" s="23"/>
      <x:c r="V122" s="23"/>
      <x:c r="W122" s="12" t="s">
        <x:v>167</x:v>
      </x:c>
      <x:c r="X122" s="24" t="n">
        <x:f aca="0">0.9*$J122</x:f>
        <x:v>0</x:v>
      </x:c>
      <x:c r="Y122" s="24" t="n">
        <x:f aca="0">1.5*J122</x:f>
        <x:v>0</x:v>
      </x:c>
      <x:c r="Z122" s="12" t="s">
        <x:v>44</x:v>
      </x:c>
      <x:c r="AA122" s="13" t="n">
        <x:f aca="0">0.9*K122</x:f>
        <x:v>45</x:v>
      </x:c>
      <x:c r="AB122" s="13" t="n">
        <x:f aca="0">1.3*K122</x:f>
        <x:v>65</x:v>
      </x:c>
      <x:c r="AC122" s="12" t="s">
        <x:v>44</x:v>
      </x:c>
      <x:c r="AD122" s="13" t="s">
        <x:v>45</x:v>
      </x:c>
      <x:c r="AE122" s="13" t="s">
        <x:v>46</x:v>
      </x:c>
      <x:c r="AF122" s="13" t="s">
        <x:v>47</x:v>
      </x:c>
      <x:c r="AG122" s="12" t="s">
        <x:v>48</x:v>
      </x:c>
    </x:row>
    <x:row r="123" ht="53.25" hidden="0" customHeight="1">
      <x:c r="A123" s="30" t="n">
        <x:v>222.32</x:v>
      </x:c>
      <x:c r="B123" s="9" t="n">
        <x:f aca="0">IF(ISNUMBER(A123),
    IF(AND(A123=INT(A123), MOD(A123, 10) = 0), 0,
        IF(AND(A123=INT(A123), LEN(A123)=2), 1,
            IF(AND(A123=INT(A123), LEN(A123)=3), 2,
                LEN(A123) - FIND(".", A123) + 2)
        )
    ),
"")</x:f>
        <x:v>4</x:v>
      </x:c>
      <x:c r="C123" s="37" t="s">
        <x:v>321</x:v>
      </x:c>
      <x:c r="D123" s="10" t="str">
        <x:f aca="0">REPT("   ", B123*2) &amp; C123</x:f>
        <x:v>                        Secondary Heat Exchanger</x:v>
      </x:c>
      <x:c r="E123" s="10" t="s">
        <x:v>35</x:v>
      </x:c>
      <x:c r="F123" s="10" t="s">
        <x:v>314</x:v>
      </x:c>
      <x:c r="G123" s="10" t="s">
        <x:v>319</x:v>
      </x:c>
      <x:c r="H123" s="10"/>
      <x:c r="I123" s="10"/>
      <x:c r="J123" s="16"/>
      <x:c r="K123" s="17" t="n">
        <x:v>120</x:v>
      </x:c>
      <x:c r="L123" s="23" t="s">
        <x:v>196</x:v>
      </x:c>
      <x:c r="M123" s="26" t="s">
        <x:v>322</x:v>
      </x:c>
      <x:c r="N123" s="23"/>
      <x:c r="O123" s="23" t="s">
        <x:v>198</x:v>
      </x:c>
      <x:c r="P123" s="23"/>
      <x:c r="Q123" s="20" t="n">
        <x:v>2013</x:v>
      </x:c>
      <x:c r="R123" s="23" t="s">
        <x:v>163</x:v>
      </x:c>
      <x:c r="S123" s="26" t="s">
        <x:v>317</x:v>
      </x:c>
      <x:c r="T123" s="43" t="s">
        <x:v>320</x:v>
      </x:c>
      <x:c r="U123" s="23"/>
      <x:c r="V123" s="23"/>
      <x:c r="W123" s="12" t="s">
        <x:v>167</x:v>
      </x:c>
      <x:c r="X123" s="24" t="n">
        <x:f aca="0">0.9*$J123</x:f>
        <x:v>0</x:v>
      </x:c>
      <x:c r="Y123" s="24" t="n">
        <x:f aca="0">1.5*J123</x:f>
        <x:v>0</x:v>
      </x:c>
      <x:c r="Z123" s="12" t="s">
        <x:v>44</x:v>
      </x:c>
      <x:c r="AA123" s="13" t="n">
        <x:f aca="0">0.9*K123</x:f>
        <x:v>108</x:v>
      </x:c>
      <x:c r="AB123" s="13" t="n">
        <x:f aca="0">1.3*K123</x:f>
        <x:v>156</x:v>
      </x:c>
      <x:c r="AC123" s="12" t="s">
        <x:v>44</x:v>
      </x:c>
      <x:c r="AD123" s="13" t="s">
        <x:v>45</x:v>
      </x:c>
      <x:c r="AE123" s="13" t="s">
        <x:v>46</x:v>
      </x:c>
      <x:c r="AF123" s="13" t="s">
        <x:v>47</x:v>
      </x:c>
      <x:c r="AG123" s="12" t="s">
        <x:v>48</x:v>
      </x:c>
    </x:row>
    <x:row r="124" ht="53.25" hidden="0" customHeight="1">
      <x:c r="A124" s="30" t="n">
        <x:v>222.5</x:v>
      </x:c>
      <x:c r="B124" s="9" t="n">
        <x:f aca="0">IF(ISNUMBER(A124),
IF(AND(A124=INT(A124), MOD(A124, 10) = 0), 0,
IF(AND(A124=INT(A124), LEN(A124)=2), 1,
IF(AND(A124=INT(A124), LEN(A124)=3), 2,
LEN(A124) - FIND(".", A124) + 2)
)
),
"")</x:f>
        <x:v>3</x:v>
      </x:c>
      <x:c r="C124" s="37" t="s">
        <x:v>323</x:v>
      </x:c>
      <x:c r="D124" s="10" t="str">
        <x:f aca="0">REPT("   ", B124*2) &amp; C124</x:f>
        <x:v>                  Initial Coolant Inventory</x:v>
      </x:c>
      <x:c r="E124" s="10" t="s">
        <x:v>35</x:v>
      </x:c>
      <x:c r="F124" s="10" t="s">
        <x:v>324</x:v>
      </x:c>
      <x:c r="G124" s="10" t="s">
        <x:v>325</x:v>
      </x:c>
      <x:c r="H124" s="10"/>
      <x:c r="I124" s="10"/>
      <x:c r="J124" s="16"/>
      <x:c r="K124" s="17" t="n">
        <x:v>170</x:v>
      </x:c>
      <x:c r="L124" s="23" t="s">
        <x:v>196</x:v>
      </x:c>
      <x:c r="M124" s="26" t="s">
        <x:v>326</x:v>
      </x:c>
      <x:c r="N124" s="23"/>
      <x:c r="O124" s="23" t="s">
        <x:v>198</x:v>
      </x:c>
      <x:c r="P124" s="23"/>
      <x:c r="Q124" s="20" t="n">
        <x:v>2024</x:v>
      </x:c>
      <x:c r="R124" s="23" t="s">
        <x:v>229</x:v>
      </x:c>
      <x:c r="S124" s="26" t="s">
        <x:v>327</x:v>
      </x:c>
      <x:c r="T124" s="43" t="s">
        <x:v>327</x:v>
      </x:c>
      <x:c r="U124" s="56" t="s">
        <x:v>328</x:v>
      </x:c>
      <x:c r="V124" s="23" t="s">
        <x:v>329</x:v>
      </x:c>
      <x:c r="W124" s="12" t="s">
        <x:v>43</x:v>
      </x:c>
      <x:c r="X124" s="24" t="n">
        <x:f aca="0">0.9*$J124</x:f>
        <x:v>0</x:v>
      </x:c>
      <x:c r="Y124" s="24" t="n">
        <x:f aca="0">1.5*J124</x:f>
        <x:v>0</x:v>
      </x:c>
      <x:c r="Z124" s="12" t="s">
        <x:v>44</x:v>
      </x:c>
      <x:c r="AA124" s="13" t="n">
        <x:f aca="0">0.9*K124</x:f>
        <x:v>153</x:v>
      </x:c>
      <x:c r="AB124" s="13" t="n">
        <x:f aca="0">1.3*K124</x:f>
        <x:v>221</x:v>
      </x:c>
      <x:c r="AC124" s="12" t="s">
        <x:v>44</x:v>
      </x:c>
      <x:c r="AD124" s="13" t="s">
        <x:v>45</x:v>
      </x:c>
      <x:c r="AE124" s="13" t="s">
        <x:v>46</x:v>
      </x:c>
      <x:c r="AF124" s="13" t="s">
        <x:v>47</x:v>
      </x:c>
      <x:c r="AG124" s="12" t="s">
        <x:v>48</x:v>
      </x:c>
    </x:row>
    <x:row r="125" ht="53.25" hidden="0" customHeight="1">
      <x:c r="A125" s="30" t="n">
        <x:v>222.5</x:v>
      </x:c>
      <x:c r="B125" s="9" t="n">
        <x:f aca="0">IF(ISNUMBER(A125),
    IF(AND(A125=INT(A125), MOD(A125, 10) = 0), 0,
        IF(AND(A125=INT(A125), LEN(A125)=2), 1,
            IF(AND(A125=INT(A125), LEN(A125)=3), 2,
                LEN(A125) - FIND(".", A125) + 2)
        )
    ),
"")</x:f>
        <x:v>3</x:v>
      </x:c>
      <x:c r="C125" s="37" t="s">
        <x:v>323</x:v>
      </x:c>
      <x:c r="D125" s="10" t="str">
        <x:f aca="0">REPT("   ", B125*2) &amp; C125</x:f>
        <x:v>                  Initial Coolant Inventory</x:v>
      </x:c>
      <x:c r="E125" s="10" t="s">
        <x:v>35</x:v>
      </x:c>
      <x:c r="F125" s="10" t="s">
        <x:v>324</x:v>
      </x:c>
      <x:c r="G125" s="10" t="s">
        <x:v>330</x:v>
      </x:c>
      <x:c r="H125" s="10"/>
      <x:c r="I125" s="10"/>
      <x:c r="J125" s="16"/>
      <x:c r="K125" s="17" t="n">
        <x:v>118</x:v>
      </x:c>
      <x:c r="L125" s="23" t="s">
        <x:v>196</x:v>
      </x:c>
      <x:c r="M125" s="26" t="s">
        <x:v>326</x:v>
      </x:c>
      <x:c r="N125" s="23"/>
      <x:c r="O125" s="23" t="s">
        <x:v>198</x:v>
      </x:c>
      <x:c r="P125" s="23"/>
      <x:c r="Q125" s="20" t="n">
        <x:v>2023</x:v>
      </x:c>
      <x:c r="R125" s="23" t="s">
        <x:v>229</x:v>
      </x:c>
      <x:c r="S125" s="26"/>
      <x:c r="T125" s="43"/>
      <x:c r="U125" s="56"/>
      <x:c r="V125" s="23"/>
      <x:c r="W125" s="12" t="s">
        <x:v>43</x:v>
      </x:c>
      <x:c r="X125" s="24"/>
      <x:c r="Y125" s="24"/>
      <x:c r="Z125" s="12"/>
      <x:c r="AA125" s="13" t="n">
        <x:f aca="0">0.9*K125</x:f>
        <x:v>106.2</x:v>
      </x:c>
      <x:c r="AB125" s="13" t="n">
        <x:f aca="0">1.3*K125</x:f>
        <x:v>153.4</x:v>
      </x:c>
      <x:c r="AC125" s="12" t="s">
        <x:v>44</x:v>
      </x:c>
      <x:c r="AD125" s="13" t="s">
        <x:v>45</x:v>
      </x:c>
      <x:c r="AE125" s="13" t="s">
        <x:v>46</x:v>
      </x:c>
      <x:c r="AF125" s="13" t="n">
        <x:v>0</x:v>
      </x:c>
      <x:c r="AG125" s="12" t="s">
        <x:v>48</x:v>
      </x:c>
    </x:row>
    <x:row r="126" ht="53.25" hidden="0" customHeight="1">
      <x:c r="A126" s="30" t="n">
        <x:v>222.6</x:v>
      </x:c>
      <x:c r="B126" s="9" t="n">
        <x:f aca="0">IF(ISNUMBER(A126),
IF(AND(A126=INT(A126), MOD(A126, 10) = 0), 0,
IF(AND(A126=INT(A126), LEN(A126)=2), 1,
IF(AND(A126=INT(A126), LEN(A126)=3), 2,
LEN(A126) - FIND(".", A126) + 2)
)
),
"")</x:f>
        <x:v>3</x:v>
      </x:c>
      <x:c r="C126" s="37" t="s">
        <x:v>331</x:v>
      </x:c>
      <x:c r="D126" s="10" t="str">
        <x:f aca="0">REPT("   ", B126*2) &amp; C126</x:f>
        <x:v>                  Integrated Heat Transfer Vessel</x:v>
      </x:c>
      <x:c r="E126" s="10"/>
      <x:c r="F126" s="10" t="s">
        <x:v>128</x:v>
      </x:c>
      <x:c r="G126" s="10" t="s">
        <x:v>129</x:v>
      </x:c>
      <x:c r="H126" s="10"/>
      <x:c r="I126" s="10"/>
      <x:c r="J126" s="16"/>
      <x:c r="K126" s="17"/>
      <x:c r="L126" s="23"/>
      <x:c r="M126" s="26"/>
      <x:c r="N126" s="23"/>
      <x:c r="O126" s="23"/>
      <x:c r="P126" s="23"/>
      <x:c r="Q126" s="20"/>
      <x:c r="R126" s="23"/>
      <x:c r="S126" s="26"/>
      <x:c r="T126" s="43"/>
      <x:c r="U126" s="56"/>
      <x:c r="V126" s="23"/>
      <x:c r="W126" s="12"/>
      <x:c r="X126" s="24"/>
      <x:c r="Y126" s="24"/>
      <x:c r="Z126" s="12"/>
      <x:c r="AA126" s="13"/>
      <x:c r="AB126" s="13"/>
      <x:c r="AC126" s="12"/>
      <x:c r="AD126" s="13"/>
      <x:c r="AE126" s="13"/>
      <x:c r="AF126" s="13"/>
      <x:c r="AG126" s="12"/>
    </x:row>
    <x:row r="127" ht="53.25" hidden="0" customHeight="1">
      <x:c r="A127" s="30" t="n">
        <x:v>222.61</x:v>
      </x:c>
      <x:c r="B127" s="9" t="n">
        <x:f aca="0">IF(ISNUMBER(A127),
IF(AND(A127=INT(A127), MOD(A127, 10) = 0), 0,
IF(AND(A127=INT(A127), LEN(A127)=2), 1,
IF(AND(A127=INT(A127), LEN(A127)=3), 2,
LEN(A127) - FIND(".", A127) + 2)
)
),
"")</x:f>
        <x:v>4</x:v>
      </x:c>
      <x:c r="C127" s="37" t="s">
        <x:v>331</x:v>
      </x:c>
      <x:c r="D127" s="10" t="str">
        <x:f aca="0">REPT("   ", B127*2) &amp; C127</x:f>
        <x:v>                        Integrated Heat Transfer Vessel</x:v>
      </x:c>
      <x:c r="E127" s="10" t="s">
        <x:v>35</x:v>
      </x:c>
      <x:c r="F127" s="10" t="s">
        <x:v>128</x:v>
      </x:c>
      <x:c r="G127" s="10" t="s">
        <x:v>129</x:v>
      </x:c>
      <x:c r="H127" s="10"/>
      <x:c r="I127" s="10"/>
      <x:c r="J127" s="16"/>
      <x:c r="K127" s="17" t="n">
        <x:v>50</x:v>
      </x:c>
      <x:c r="L127" s="23" t="s">
        <x:v>196</x:v>
      </x:c>
      <x:c r="M127" s="26" t="s">
        <x:v>332</x:v>
      </x:c>
      <x:c r="N127" s="23"/>
      <x:c r="O127" s="23" t="s">
        <x:v>198</x:v>
      </x:c>
      <x:c r="P127" s="23"/>
      <x:c r="Q127" s="20" t="n">
        <x:v>2004</x:v>
      </x:c>
      <x:c r="R127" s="23" t="s">
        <x:v>96</x:v>
      </x:c>
      <x:c r="S127" s="26" t="s">
        <x:v>317</x:v>
      </x:c>
      <x:c r="T127" s="43" t="s">
        <x:v>318</x:v>
      </x:c>
      <x:c r="U127" s="56"/>
      <x:c r="V127" s="43" t="s">
        <x:v>333</x:v>
      </x:c>
      <x:c r="W127" s="12" t="s">
        <x:v>167</x:v>
      </x:c>
      <x:c r="X127" s="24" t="n">
        <x:f aca="0">0.9*$J127</x:f>
        <x:v>0</x:v>
      </x:c>
      <x:c r="Y127" s="24" t="n">
        <x:f aca="0">1.5*J127</x:f>
        <x:v>0</x:v>
      </x:c>
      <x:c r="Z127" s="12" t="s">
        <x:v>44</x:v>
      </x:c>
      <x:c r="AA127" s="13" t="n">
        <x:f aca="0">0.9*K127</x:f>
        <x:v>45</x:v>
      </x:c>
      <x:c r="AB127" s="13" t="n">
        <x:f aca="0">1.3*K127</x:f>
        <x:v>65</x:v>
      </x:c>
      <x:c r="AC127" s="12" t="s">
        <x:v>44</x:v>
      </x:c>
      <x:c r="AD127" s="13" t="s">
        <x:v>45</x:v>
      </x:c>
      <x:c r="AE127" s="13" t="s">
        <x:v>46</x:v>
      </x:c>
      <x:c r="AF127" s="13" t="s">
        <x:v>47</x:v>
      </x:c>
      <x:c r="AG127" s="12" t="s">
        <x:v>48</x:v>
      </x:c>
    </x:row>
    <x:row r="128" ht="53.25" hidden="0" customHeight="1">
      <x:c r="A128" s="30" t="n">
        <x:v>222.62</x:v>
      </x:c>
      <x:c r="B128" s="9" t="n">
        <x:f aca="0">IF(ISNUMBER(A128),
IF(AND(A128=INT(A128), MOD(A128, 10) = 0), 0,
IF(AND(A128=INT(A128), LEN(A128)=2), 1,
IF(AND(A128=INT(A128), LEN(A128)=3), 2,
LEN(A128) - FIND(".", A128) + 2)
)
),
"")</x:f>
        <x:v>4</x:v>
      </x:c>
      <x:c r="C128" s="37" t="s">
        <x:v>334</x:v>
      </x:c>
      <x:c r="D128" s="10" t="str">
        <x:f aca="0">REPT("   ", B128*2) &amp; C128</x:f>
        <x:v>                        Integrated Heat Transfer System Support</x:v>
      </x:c>
      <x:c r="E128" s="10" t="s">
        <x:v>35</x:v>
      </x:c>
      <x:c r="F128" s="10" t="s">
        <x:v>128</x:v>
      </x:c>
      <x:c r="G128" s="10" t="s">
        <x:v>129</x:v>
      </x:c>
      <x:c r="H128" s="10"/>
      <x:c r="I128" s="10"/>
      <x:c r="J128" s="16"/>
      <x:c r="K128" s="17" t="n">
        <x:f aca="0">3171011/N128</x:f>
        <x:v>8.193826873385014</x:v>
      </x:c>
      <x:c r="L128" s="23" t="s">
        <x:v>196</x:v>
      </x:c>
      <x:c r="M128" s="26" t="s">
        <x:v>332</x:v>
      </x:c>
      <x:c r="N128" s="23" t="n">
        <x:v>387000</x:v>
      </x:c>
      <x:c r="O128" s="23" t="s">
        <x:v>198</x:v>
      </x:c>
      <x:c r="P128" s="23" t="n">
        <x:v>0.85</x:v>
      </x:c>
      <x:c r="Q128" s="20" t="n">
        <x:v>2018</x:v>
      </x:c>
      <x:c r="R128" s="23" t="s">
        <x:v>96</x:v>
      </x:c>
      <x:c r="S128" s="26" t="s">
        <x:v>199</x:v>
      </x:c>
      <x:c r="T128" s="43" t="s">
        <x:v>318</x:v>
      </x:c>
      <x:c r="U128" s="56"/>
      <x:c r="V128" s="50"/>
      <x:c r="W128" s="12" t="s">
        <x:v>167</x:v>
      </x:c>
      <x:c r="X128" s="24" t="n">
        <x:f aca="0">0.9*$J128</x:f>
        <x:v>0</x:v>
      </x:c>
      <x:c r="Y128" s="24" t="n">
        <x:f aca="0">1.5*J128</x:f>
        <x:v>0</x:v>
      </x:c>
      <x:c r="Z128" s="12" t="s">
        <x:v>44</x:v>
      </x:c>
      <x:c r="AA128" s="13" t="n">
        <x:f aca="0">0.9*K128</x:f>
        <x:v>7.374444186046513</x:v>
      </x:c>
      <x:c r="AB128" s="13" t="n">
        <x:f aca="0">1.3*K128</x:f>
        <x:v>10.651974935400519</x:v>
      </x:c>
      <x:c r="AC128" s="12" t="s">
        <x:v>44</x:v>
      </x:c>
      <x:c r="AD128" s="13" t="s">
        <x:v>45</x:v>
      </x:c>
      <x:c r="AE128" s="13" t="s">
        <x:v>46</x:v>
      </x:c>
      <x:c r="AF128" s="13" t="s">
        <x:v>47</x:v>
      </x:c>
      <x:c r="AG128" s="12" t="s">
        <x:v>48</x:v>
      </x:c>
    </x:row>
    <x:row r="129" ht="26.25" hidden="0" customHeight="1">
      <x:c r="A129" s="30" t="n">
        <x:v>223</x:v>
      </x:c>
      <x:c r="B129" s="9" t="n">
        <x:f aca="0">IF(ISNUMBER(A129),
IF(AND(A129=INT(A129), MOD(A129, 10) = 0), 0,
IF(AND(A129=INT(A129), LEN(A129)=2), 1,
IF(AND(A129=INT(A129), LEN(A129)=3), 2,
LEN(A129) - FIND(".", A129) + 2)
)
),
"")</x:f>
        <x:v>2</x:v>
      </x:c>
      <x:c r="C129" s="37" t="s">
        <x:v>335</x:v>
      </x:c>
      <x:c r="D129" s="10" t="str">
        <x:f aca="0">REPT("   ", B129*2) &amp; C129</x:f>
        <x:v>            Safety Systems</x:v>
      </x:c>
      <x:c r="E129" s="10"/>
      <x:c r="F129" s="10"/>
      <x:c r="G129" s="10"/>
      <x:c r="H129" s="10"/>
      <x:c r="I129" s="10"/>
      <x:c r="J129" s="16"/>
      <x:c r="K129" s="17"/>
      <x:c r="L129" s="23"/>
      <x:c r="M129" s="26"/>
      <x:c r="N129" s="23"/>
      <x:c r="O129" s="23"/>
      <x:c r="P129" s="23"/>
      <x:c r="Q129" s="20"/>
      <x:c r="R129" s="23"/>
      <x:c r="S129" s="26"/>
      <x:c r="T129" s="23"/>
      <x:c r="U129" s="23"/>
      <x:c r="V129" s="23"/>
      <x:c r="W129" s="12"/>
      <x:c r="X129" s="24"/>
      <x:c r="Y129" s="24"/>
      <x:c r="Z129" s="12"/>
      <x:c r="AA129" s="13"/>
      <x:c r="AB129" s="13"/>
      <x:c r="AC129" s="12"/>
      <x:c r="AD129" s="13"/>
      <x:c r="AE129" s="13"/>
      <x:c r="AF129" s="13"/>
      <x:c r="AG129" s="12"/>
    </x:row>
    <x:row r="130" ht="26.25" hidden="0" customHeight="1">
      <x:c r="A130" s="30" t="n">
        <x:v>223.2</x:v>
      </x:c>
      <x:c r="B130" s="9" t="n">
        <x:f aca="0">IF(ISNUMBER(A130),
IF(AND(A130=INT(A130), MOD(A130, 10) = 0), 0,
IF(AND(A130=INT(A130), LEN(A130)=2), 1,
IF(AND(A130=INT(A130), LEN(A130)=3), 2,
LEN(A130) - FIND(".", A130) + 2)
)
),
"")</x:f>
        <x:v>3</x:v>
      </x:c>
      <x:c r="C130" s="37" t="s">
        <x:v>336</x:v>
      </x:c>
      <x:c r="D130" s="10" t="str">
        <x:f aca="0">REPT("   ", B130*2) &amp; C130</x:f>
        <x:v>                  Reactor Cavity Cooling System (Rvacs)</x:v>
      </x:c>
      <x:c r="E130" s="10"/>
      <x:c r="F130" s="10"/>
      <x:c r="G130" s="10"/>
      <x:c r="H130" s="10"/>
      <x:c r="I130" s="10"/>
      <x:c r="J130" s="16"/>
      <x:c r="K130" s="17"/>
      <x:c r="L130" s="23"/>
      <x:c r="M130" s="26"/>
      <x:c r="N130" s="23"/>
      <x:c r="O130" s="23"/>
      <x:c r="P130" s="23"/>
      <x:c r="Q130" s="20"/>
      <x:c r="R130" s="23"/>
      <x:c r="S130" s="26"/>
      <x:c r="T130" s="23"/>
      <x:c r="U130" s="23"/>
      <x:c r="V130" s="23"/>
      <x:c r="W130" s="12"/>
      <x:c r="X130" s="24"/>
      <x:c r="Y130" s="24"/>
      <x:c r="Z130" s="12"/>
      <x:c r="AA130" s="13"/>
      <x:c r="AB130" s="13"/>
      <x:c r="AC130" s="12"/>
      <x:c r="AD130" s="13"/>
      <x:c r="AE130" s="13"/>
      <x:c r="AF130" s="13"/>
      <x:c r="AG130" s="12"/>
    </x:row>
    <x:row r="131" ht="53.25" hidden="0" customHeight="1">
      <x:c r="A131" s="30" t="n">
        <x:v>223.21</x:v>
      </x:c>
      <x:c r="B131" s="9" t="n">
        <x:f aca="0">IF(ISNUMBER(A131),
IF(AND(A131=INT(A131), MOD(A131, 10) = 0), 0,
IF(AND(A131=INT(A131), LEN(A131)=2), 1,
IF(AND(A131=INT(A131), LEN(A131)=3), 2,
LEN(A131) - FIND(".", A131) + 2)
)
),
"")</x:f>
        <x:v>4</x:v>
      </x:c>
      <x:c r="C131" s="37" t="s">
        <x:v>337</x:v>
      </x:c>
      <x:c r="D131" s="10" t="str">
        <x:f aca="0">REPT("   ", B131*2) &amp; C131</x:f>
        <x:v>                        Rvacs (Cooling Vessel)</x:v>
      </x:c>
      <x:c r="E131" s="10" t="s">
        <x:v>35</x:v>
      </x:c>
      <x:c r="F131" s="10"/>
      <x:c r="G131" s="18"/>
      <x:c r="H131" s="18"/>
      <x:c r="I131" s="18"/>
      <x:c r="J131" s="20"/>
      <x:c r="K131" s="17" t="n">
        <x:f aca="0">K72</x:f>
        <x:v>757.2076874606175</x:v>
      </x:c>
      <x:c r="L131" s="23" t="s">
        <x:v>196</x:v>
      </x:c>
      <x:c r="M131" s="26" t="s">
        <x:v>338</x:v>
      </x:c>
      <x:c r="N131" s="23"/>
      <x:c r="O131" s="23"/>
      <x:c r="P131" s="23"/>
      <x:c r="Q131" s="20" t="n">
        <x:v>2017</x:v>
      </x:c>
      <x:c r="R131" s="23" t="s">
        <x:v>96</x:v>
      </x:c>
      <x:c r="S131" s="26" t="s">
        <x:v>206</x:v>
      </x:c>
      <x:c r="T131" s="43" t="s">
        <x:v>207</x:v>
      </x:c>
      <x:c r="U131" s="23"/>
      <x:c r="V131" s="23"/>
      <x:c r="W131" s="12" t="s">
        <x:v>167</x:v>
      </x:c>
      <x:c r="X131" s="24" t="n">
        <x:f aca="0">0.9*$J131</x:f>
        <x:v>0</x:v>
      </x:c>
      <x:c r="Y131" s="24" t="n">
        <x:f aca="0">1.5*J131</x:f>
        <x:v>0</x:v>
      </x:c>
      <x:c r="Z131" s="12" t="s">
        <x:v>44</x:v>
      </x:c>
      <x:c r="AA131" s="13" t="n">
        <x:f aca="0">0.9*K131</x:f>
        <x:v>681.4869187145558</x:v>
      </x:c>
      <x:c r="AB131" s="13" t="n">
        <x:f aca="0">1.3*K131</x:f>
        <x:v>984.3699936988028</x:v>
      </x:c>
      <x:c r="AC131" s="12" t="s">
        <x:v>44</x:v>
      </x:c>
      <x:c r="AD131" s="13" t="s">
        <x:v>45</x:v>
      </x:c>
      <x:c r="AE131" s="13" t="s">
        <x:v>46</x:v>
      </x:c>
      <x:c r="AF131" s="13" t="s">
        <x:v>47</x:v>
      </x:c>
      <x:c r="AG131" s="12" t="s">
        <x:v>48</x:v>
      </x:c>
    </x:row>
    <x:row r="132" ht="53.25" hidden="0" customHeight="1">
      <x:c r="A132" s="30" t="n">
        <x:v>223.22</x:v>
      </x:c>
      <x:c r="B132" s="9" t="n">
        <x:f aca="0">IF(ISNUMBER(A132),
IF(AND(A132=INT(A132), MOD(A132, 10) = 0), 0,
IF(AND(A132=INT(A132), LEN(A132)=2), 1,
IF(AND(A132=INT(A132), LEN(A132)=3), 2,
LEN(A132) - FIND(".", A132) + 2)
)
),
"")</x:f>
        <x:v>4</x:v>
      </x:c>
      <x:c r="C132" s="37" t="s">
        <x:v>339</x:v>
      </x:c>
      <x:c r="D132" s="10" t="str">
        <x:f aca="0">REPT("   ", B132*2) &amp; C132</x:f>
        <x:v>                        Rvacs (Intake Vessel)</x:v>
      </x:c>
      <x:c r="E132" s="10" t="s">
        <x:v>35</x:v>
      </x:c>
      <x:c r="F132" s="10"/>
      <x:c r="G132" s="18"/>
      <x:c r="H132" s="18"/>
      <x:c r="I132" s="18"/>
      <x:c r="J132" s="20"/>
      <x:c r="K132" s="17" t="n">
        <x:f aca="0">K131</x:f>
        <x:v>757.2076874606175</x:v>
      </x:c>
      <x:c r="L132" s="23" t="s">
        <x:v>196</x:v>
      </x:c>
      <x:c r="M132" s="26" t="s">
        <x:v>340</x:v>
      </x:c>
      <x:c r="N132" s="23"/>
      <x:c r="O132" s="23"/>
      <x:c r="P132" s="23"/>
      <x:c r="Q132" s="20" t="n">
        <x:v>2017</x:v>
      </x:c>
      <x:c r="R132" s="23" t="s">
        <x:v>96</x:v>
      </x:c>
      <x:c r="S132" s="26" t="s">
        <x:v>206</x:v>
      </x:c>
      <x:c r="T132" s="43" t="s">
        <x:v>207</x:v>
      </x:c>
      <x:c r="U132" s="23"/>
      <x:c r="V132" s="23"/>
      <x:c r="W132" s="12" t="s">
        <x:v>167</x:v>
      </x:c>
      <x:c r="X132" s="24" t="n">
        <x:f aca="0">0.9*$J132</x:f>
        <x:v>0</x:v>
      </x:c>
      <x:c r="Y132" s="24" t="n">
        <x:f aca="0">1.5*J132</x:f>
        <x:v>0</x:v>
      </x:c>
      <x:c r="Z132" s="12" t="s">
        <x:v>44</x:v>
      </x:c>
      <x:c r="AA132" s="13" t="n">
        <x:f aca="0">0.9*K132</x:f>
        <x:v>681.4869187145558</x:v>
      </x:c>
      <x:c r="AB132" s="13" t="n">
        <x:f aca="0">1.3*K132</x:f>
        <x:v>984.3699936988028</x:v>
      </x:c>
      <x:c r="AC132" s="12" t="s">
        <x:v>44</x:v>
      </x:c>
      <x:c r="AD132" s="13" t="s">
        <x:v>45</x:v>
      </x:c>
      <x:c r="AE132" s="13" t="s">
        <x:v>46</x:v>
      </x:c>
      <x:c r="AF132" s="13" t="s">
        <x:v>47</x:v>
      </x:c>
      <x:c r="AG132" s="12" t="s">
        <x:v>48</x:v>
      </x:c>
    </x:row>
    <x:row r="133" ht="53.25" hidden="0" customHeight="1">
      <x:c r="A133" s="30" t="n">
        <x:v>226</x:v>
      </x:c>
      <x:c r="B133" s="9" t="n">
        <x:f aca="0">IF(ISNUMBER(A133),
IF(AND(A133=INT(A133), MOD(A133, 10) = 0), 0,
IF(AND(A133=INT(A133), LEN(A133)=2), 1,
IF(AND(A133=INT(A133), LEN(A133)=3), 2,
LEN(A133) - FIND(".", A133) + 2)
)
),
"")</x:f>
        <x:v>2</x:v>
      </x:c>
      <x:c r="C133" s="37" t="s">
        <x:v>341</x:v>
      </x:c>
      <x:c r="D133" s="10" t="str">
        <x:f aca="0">REPT("   ", B133*2) &amp; C133</x:f>
        <x:v>            Other Reactor Plant Equipment</x:v>
      </x:c>
      <x:c r="E133" s="10" t="s">
        <x:v>35</x:v>
      </x:c>
      <x:c r="F133" s="10" t="s">
        <x:v>128</x:v>
      </x:c>
      <x:c r="G133" s="18" t="s">
        <x:v>307</x:v>
      </x:c>
      <x:c r="H133" s="18"/>
      <x:c r="I133" s="18"/>
      <x:c r="J133" s="17" t="n">
        <x:f aca="0">MARVEL_Cost!C42</x:f>
        <x:v>456297</x:v>
      </x:c>
      <x:c r="K133" s="17"/>
      <x:c r="L133" s="23"/>
      <x:c r="M133" s="26"/>
      <x:c r="N133" s="23"/>
      <x:c r="O133" s="23"/>
      <x:c r="P133" s="23"/>
      <x:c r="Q133" s="20" t="n">
        <x:v>2024</x:v>
      </x:c>
      <x:c r="R133" s="23" t="s">
        <x:v>163</x:v>
      </x:c>
      <x:c r="S133" s="26" t="s">
        <x:v>342</x:v>
      </x:c>
      <x:c r="T133" s="23"/>
      <x:c r="U133" s="23"/>
      <x:c r="V133" s="23"/>
      <x:c r="W133" s="12" t="s">
        <x:v>167</x:v>
      </x:c>
      <x:c r="X133" s="24" t="n">
        <x:f aca="0">0.9*$J133</x:f>
        <x:v>410667.3</x:v>
      </x:c>
      <x:c r="Y133" s="24" t="n">
        <x:f aca="0">1.5*J133</x:f>
        <x:v>684445.5</x:v>
      </x:c>
      <x:c r="Z133" s="12" t="s">
        <x:v>44</x:v>
      </x:c>
      <x:c r="AA133" s="13" t="n">
        <x:f aca="0">0.9*K133</x:f>
        <x:v>0</x:v>
      </x:c>
      <x:c r="AB133" s="13" t="n">
        <x:f aca="0">1.3*K133</x:f>
        <x:v>0</x:v>
      </x:c>
      <x:c r="AC133" s="12" t="s">
        <x:v>44</x:v>
      </x:c>
      <x:c r="AD133" s="13" t="s">
        <x:v>45</x:v>
      </x:c>
      <x:c r="AE133" s="13" t="s">
        <x:v>46</x:v>
      </x:c>
      <x:c r="AF133" s="13" t="s">
        <x:v>47</x:v>
      </x:c>
      <x:c r="AG133" s="12" t="s">
        <x:v>48</x:v>
      </x:c>
    </x:row>
    <x:row r="134" ht="53.25" hidden="0" customHeight="1">
      <x:c r="A134" s="30" t="n">
        <x:v>226</x:v>
      </x:c>
      <x:c r="B134" s="9" t="n">
        <x:v>2</x:v>
      </x:c>
      <x:c r="C134" s="37" t="s">
        <x:v>341</x:v>
      </x:c>
      <x:c r="D134" s="10" t="str">
        <x:f aca="0">REPT("   ", B134*2) &amp; C134</x:f>
        <x:v>            Other Reactor Plant Equipment</x:v>
      </x:c>
      <x:c r="E134" s="10" t="s">
        <x:v>35</x:v>
      </x:c>
      <x:c r="F134" s="10" t="s">
        <x:v>128</x:v>
      </x:c>
      <x:c r="G134" s="18" t="s">
        <x:v>129</x:v>
      </x:c>
      <x:c r="H134" s="18"/>
      <x:c r="I134" s="18"/>
      <x:c r="J134" s="17"/>
      <x:c r="K134" s="17" t="n">
        <x:f aca="0">8844770/N134*8.15527886031535</x:f>
        <x:v>118207.77405377067</x:v>
      </x:c>
      <x:c r="L134" s="23" t="s">
        <x:v>301</x:v>
      </x:c>
      <x:c r="M134" s="26" t="s">
        <x:v>343</x:v>
      </x:c>
      <x:c r="N134" s="23" t="n">
        <x:v>610.21</x:v>
      </x:c>
      <x:c r="O134" s="23" t="s">
        <x:v>344</x:v>
      </x:c>
      <x:c r="P134" s="23" t="n">
        <x:v>0.6</x:v>
      </x:c>
      <x:c r="Q134" s="20" t="n">
        <x:v>2023</x:v>
      </x:c>
      <x:c r="R134" s="23" t="s">
        <x:v>96</x:v>
      </x:c>
      <x:c r="S134" s="26" t="s">
        <x:v>345</x:v>
      </x:c>
      <x:c r="T134" s="23" t="s">
        <x:v>346</x:v>
      </x:c>
      <x:c r="U134" s="57" t="s">
        <x:v>347</x:v>
      </x:c>
      <x:c r="V134" s="23" t="s">
        <x:v>348</x:v>
      </x:c>
      <x:c r="W134" s="12" t="s">
        <x:v>167</x:v>
      </x:c>
      <x:c r="X134" s="24" t="n">
        <x:f aca="0">0.9*$J134</x:f>
        <x:v>0</x:v>
      </x:c>
      <x:c r="Y134" s="24" t="n">
        <x:f aca="0">1.5*J134</x:f>
        <x:v>0</x:v>
      </x:c>
      <x:c r="Z134" s="12" t="s">
        <x:v>44</x:v>
      </x:c>
      <x:c r="AA134" s="13" t="n">
        <x:f aca="0">0.9*K134</x:f>
        <x:v>106386.9966483936</x:v>
      </x:c>
      <x:c r="AB134" s="13" t="n">
        <x:f aca="0">1.3*K134</x:f>
        <x:v>153670.10626990188</x:v>
      </x:c>
      <x:c r="AC134" s="12" t="s">
        <x:v>44</x:v>
      </x:c>
      <x:c r="AD134" s="13" t="s">
        <x:v>45</x:v>
      </x:c>
      <x:c r="AE134" s="13" t="s">
        <x:v>46</x:v>
      </x:c>
      <x:c r="AF134" s="13" t="s">
        <x:v>47</x:v>
      </x:c>
      <x:c r="AG134" s="12" t="s">
        <x:v>48</x:v>
      </x:c>
    </x:row>
    <x:row r="135" ht="75.75" hidden="0" customHeight="1">
      <x:c r="A135" s="30" t="n">
        <x:v>227</x:v>
      </x:c>
      <x:c r="B135" s="9" t="n">
        <x:f aca="0">IF(ISNUMBER(A135),
    IF(AND(A135=INT(A135), MOD(A135, 10) = 0), 0,
        IF(AND(A135=INT(A135), LEN(A135)=2), 1,
            IF(AND(A135=INT(A135), LEN(A135)=3), 2,
                LEN(A135) - FIND(".", A135) + 2)
        )
    ),
"")</x:f>
        <x:v>2</x:v>
      </x:c>
      <x:c r="C135" s="37" t="s">
        <x:v>349</x:v>
      </x:c>
      <x:c r="D135" s="10" t="str">
        <x:f aca="0">REPT("   ", B135*2) &amp; C135</x:f>
        <x:v>            Reactor Instrumentation and Control (I&amp;C)</x:v>
      </x:c>
      <x:c r="E135" s="10" t="s">
        <x:v>35</x:v>
      </x:c>
      <x:c r="F135" s="10"/>
      <x:c r="G135" s="18"/>
      <x:c r="H135" s="18"/>
      <x:c r="I135" s="18"/>
      <x:c r="J135" s="17" t="n">
        <x:v>8500000</x:v>
      </x:c>
      <x:c r="K135" s="17"/>
      <x:c r="L135" s="23"/>
      <x:c r="M135" s="26"/>
      <x:c r="N135" s="23"/>
      <x:c r="O135" s="23"/>
      <x:c r="P135" s="23"/>
      <x:c r="Q135" s="20" t="n">
        <x:v>2023</x:v>
      </x:c>
      <x:c r="R135" s="23" t="s">
        <x:v>73</x:v>
      </x:c>
      <x:c r="S135" s="26" t="s">
        <x:v>350</x:v>
      </x:c>
      <x:c r="T135" s="26" t="s">
        <x:v>351</x:v>
      </x:c>
      <x:c r="U135" s="57" t="s">
        <x:v>352</x:v>
      </x:c>
      <x:c r="V135" s="23" t="s">
        <x:v>353</x:v>
      </x:c>
      <x:c r="W135" s="1" t="s">
        <x:v>354</x:v>
      </x:c>
      <x:c r="X135" s="24" t="n">
        <x:f aca="0">0.9*$J135</x:f>
        <x:v>7650000</x:v>
      </x:c>
      <x:c r="Y135" s="24" t="n">
        <x:f aca="0">1.5*J135</x:f>
        <x:v>12750000</x:v>
      </x:c>
      <x:c r="Z135" s="12" t="s">
        <x:v>44</x:v>
      </x:c>
      <x:c r="AA135" s="13" t="n">
        <x:f aca="0">0.9*K135</x:f>
        <x:v>0</x:v>
      </x:c>
      <x:c r="AB135" s="13" t="n">
        <x:f aca="0">1.3*K135</x:f>
        <x:v>0</x:v>
      </x:c>
      <x:c r="AC135" s="12" t="s">
        <x:v>44</x:v>
      </x:c>
      <x:c r="AD135" s="13" t="s">
        <x:v>45</x:v>
      </x:c>
      <x:c r="AE135" s="13" t="s">
        <x:v>46</x:v>
      </x:c>
      <x:c r="AF135" s="13" t="s">
        <x:v>47</x:v>
      </x:c>
      <x:c r="AG135" s="12" t="s">
        <x:v>48</x:v>
      </x:c>
    </x:row>
    <x:row r="136" ht="26.25" hidden="0" customHeight="1">
      <x:c r="A136" s="30" t="n">
        <x:v>228</x:v>
      </x:c>
      <x:c r="B136" s="9" t="n">
        <x:f aca="0">IF(ISNUMBER(A136),
IF(AND(A136=INT(A136), MOD(A136, 10) = 0), 0,
IF(AND(A136=INT(A136), LEN(A136)=2), 1,
IF(AND(A136=INT(A136), LEN(A136)=3), 2,
LEN(A136) - FIND(".", A136) + 2)
)
),
"")</x:f>
        <x:v>2</x:v>
      </x:c>
      <x:c r="C136" s="37" t="s">
        <x:v>355</x:v>
      </x:c>
      <x:c r="D136" s="10" t="str">
        <x:f aca="0">REPT("   ", B136*2) &amp; C136</x:f>
        <x:v>            Reactor Plant Miscellaneous Items</x:v>
      </x:c>
      <x:c r="E136" s="10" t="s">
        <x:v>35</x:v>
      </x:c>
      <x:c r="F136" s="10"/>
      <x:c r="G136" s="18"/>
      <x:c r="H136" s="18"/>
      <x:c r="I136" s="18"/>
      <x:c r="J136" s="17" t="n">
        <x:f aca="0">MARVEL_Cost!C44</x:f>
        <x:v>30960</x:v>
      </x:c>
      <x:c r="K136" s="17"/>
      <x:c r="L136" s="23"/>
      <x:c r="M136" s="26"/>
      <x:c r="N136" s="23"/>
      <x:c r="O136" s="23"/>
      <x:c r="P136" s="23"/>
      <x:c r="Q136" s="20" t="n">
        <x:v>2024</x:v>
      </x:c>
      <x:c r="R136" s="23" t="s">
        <x:v>96</x:v>
      </x:c>
      <x:c r="S136" s="26" t="s">
        <x:v>342</x:v>
      </x:c>
      <x:c r="T136" s="23"/>
      <x:c r="U136" s="23"/>
      <x:c r="V136" s="23"/>
      <x:c r="W136" s="12" t="s">
        <x:v>167</x:v>
      </x:c>
      <x:c r="X136" s="24" t="n">
        <x:f aca="0">0.9*$J136</x:f>
        <x:v>27864</x:v>
      </x:c>
      <x:c r="Y136" s="24" t="n">
        <x:f aca="0">1.5*J136</x:f>
        <x:v>46440</x:v>
      </x:c>
      <x:c r="Z136" s="12" t="s">
        <x:v>44</x:v>
      </x:c>
      <x:c r="AA136" s="13" t="n">
        <x:f aca="0">0.9*K136</x:f>
        <x:v>0</x:v>
      </x:c>
      <x:c r="AB136" s="13" t="n">
        <x:f aca="0">1.3*K136</x:f>
        <x:v>0</x:v>
      </x:c>
      <x:c r="AC136" s="12" t="s">
        <x:v>44</x:v>
      </x:c>
      <x:c r="AD136" s="13" t="s">
        <x:v>45</x:v>
      </x:c>
      <x:c r="AE136" s="13" t="s">
        <x:v>46</x:v>
      </x:c>
      <x:c r="AF136" s="13" t="s">
        <x:v>47</x:v>
      </x:c>
      <x:c r="AG136" s="12" t="s">
        <x:v>48</x:v>
      </x:c>
    </x:row>
    <x:row r="137" ht="26.25" hidden="0" customHeight="1">
      <x:c r="A137" s="6" t="n">
        <x:v>23</x:v>
      </x:c>
      <x:c r="B137" s="9" t="n">
        <x:f aca="0">IF(ISNUMBER(A137),
IF(AND(A137=INT(A137), MOD(A137, 10) = 0), 0,
IF(AND(A137=INT(A137), LEN(A137)=2), 1,
IF(AND(A137=INT(A137), LEN(A137)=3), 2,
LEN(A137) - FIND(".", A137) + 2)
)
),
"")</x:f>
        <x:v>1</x:v>
      </x:c>
      <x:c r="C137" s="37" t="s">
        <x:v>356</x:v>
      </x:c>
      <x:c r="D137" s="10" t="str">
        <x:f aca="0">REPT("   ", B137*2) &amp; C137</x:f>
        <x:v>      Energy Conversion System </x:v>
      </x:c>
      <x:c r="E137" s="10"/>
      <x:c r="F137" s="10"/>
      <x:c r="G137" s="18"/>
      <x:c r="H137" s="18"/>
      <x:c r="I137" s="18"/>
      <x:c r="J137" s="20"/>
      <x:c r="K137" s="17"/>
      <x:c r="L137" s="23"/>
      <x:c r="M137" s="26"/>
      <x:c r="N137" s="23"/>
      <x:c r="O137" s="23"/>
      <x:c r="P137" s="23"/>
      <x:c r="Q137" s="20"/>
      <x:c r="R137" s="23"/>
      <x:c r="S137" s="26"/>
      <x:c r="T137" s="23"/>
      <x:c r="U137" s="23"/>
      <x:c r="V137" s="23"/>
      <x:c r="W137" s="12"/>
      <x:c r="X137" s="24"/>
      <x:c r="Y137" s="24"/>
      <x:c r="Z137" s="12"/>
      <x:c r="AA137" s="13"/>
      <x:c r="AB137" s="13"/>
      <x:c r="AC137" s="12"/>
      <x:c r="AD137" s="13"/>
      <x:c r="AE137" s="13"/>
      <x:c r="AF137" s="13"/>
      <x:c r="AG137" s="12"/>
    </x:row>
    <x:row r="138" ht="26.25" hidden="0" customHeight="1">
      <x:c r="A138" s="30" t="n">
        <x:v>232</x:v>
      </x:c>
      <x:c r="B138" s="9" t="n">
        <x:f aca="0">IF(ISNUMBER(A138),
IF(AND(A138=INT(A138), MOD(A138, 10) = 0), 0,
IF(AND(A138=INT(A138), LEN(A138)=2), 1,
IF(AND(A138=INT(A138), LEN(A138)=3), 2,
LEN(A138) - FIND(".", A138) + 2)
)
),
"")</x:f>
        <x:v>2</x:v>
      </x:c>
      <x:c r="C138" s="37" t="s">
        <x:v>357</x:v>
      </x:c>
      <x:c r="D138" s="10" t="str">
        <x:f aca="0">REPT("   ", B138*2) &amp; C138</x:f>
        <x:v>            Energy Applications</x:v>
      </x:c>
      <x:c r="E138" s="10"/>
      <x:c r="F138" s="10"/>
      <x:c r="G138" s="18"/>
      <x:c r="H138" s="18"/>
      <x:c r="I138" s="18"/>
      <x:c r="J138" s="20"/>
      <x:c r="K138" s="17"/>
      <x:c r="L138" s="23"/>
      <x:c r="M138" s="26"/>
      <x:c r="N138" s="23"/>
      <x:c r="O138" s="23"/>
      <x:c r="P138" s="23"/>
      <x:c r="Q138" s="20"/>
      <x:c r="R138" s="23"/>
      <x:c r="S138" s="26"/>
      <x:c r="T138" s="23"/>
      <x:c r="U138" s="23"/>
      <x:c r="V138" s="23"/>
      <x:c r="W138" s="12"/>
      <x:c r="X138" s="24"/>
      <x:c r="Y138" s="24"/>
      <x:c r="Z138" s="12"/>
      <x:c r="AA138" s="13"/>
      <x:c r="AB138" s="13"/>
      <x:c r="AC138" s="12"/>
      <x:c r="AD138" s="13"/>
      <x:c r="AE138" s="13"/>
      <x:c r="AF138" s="13"/>
      <x:c r="AG138" s="12"/>
    </x:row>
    <x:row r="139" ht="26.25" hidden="0" customHeight="1">
      <x:c r="A139" s="30" t="n">
        <x:v>232.1</x:v>
      </x:c>
      <x:c r="B139" s="9" t="n">
        <x:f aca="0">IF(ISNUMBER(A139),
IF(AND(A139=INT(A139), MOD(A139, 10) = 0), 0,
IF(AND(A139=INT(A139), LEN(A139)=2), 1,
IF(AND(A139=INT(A139), LEN(A139)=3), 2,
LEN(A139) - FIND(".", A139) + 2)
)
),
"")</x:f>
        <x:v>3</x:v>
      </x:c>
      <x:c r="C139" s="37" t="s">
        <x:v>358</x:v>
      </x:c>
      <x:c r="D139" s="10" t="str">
        <x:f aca="0">REPT("   ", B139*2) &amp; C139</x:f>
        <x:v>                  Electricity Generation Systems</x:v>
      </x:c>
      <x:c r="E139" s="10" t="s">
        <x:v>35</x:v>
      </x:c>
      <x:c r="F139" s="10"/>
      <x:c r="G139" s="18"/>
      <x:c r="H139" s="18"/>
      <x:c r="I139" s="18"/>
      <x:c r="J139" s="20"/>
      <x:c r="K139" s="16" t="n">
        <x:v>12504</x:v>
      </x:c>
      <x:c r="L139" s="23" t="s">
        <x:v>359</x:v>
      </x:c>
      <x:c r="M139" s="18" t="s">
        <x:v>360</x:v>
      </x:c>
      <x:c r="N139" s="23" t="n">
        <x:v>1</x:v>
      </x:c>
      <x:c r="O139" s="23"/>
      <x:c r="P139" s="18" t="n">
        <x:v>0.777</x:v>
      </x:c>
      <x:c r="Q139" s="20" t="n">
        <x:v>2023</x:v>
      </x:c>
      <x:c r="R139" s="23" t="s">
        <x:v>96</x:v>
      </x:c>
      <x:c r="S139" s="58" t="s">
        <x:v>361</x:v>
      </x:c>
      <x:c r="T139" s="58" t="s">
        <x:v>361</x:v>
      </x:c>
      <x:c r="U139" s="57" t="s">
        <x:v>362</x:v>
      </x:c>
      <x:c r="V139" s="23"/>
      <x:c r="W139" s="12" t="s">
        <x:v>354</x:v>
      </x:c>
      <x:c r="X139" s="24" t="n">
        <x:f aca="0">0.9*$J139</x:f>
        <x:v>0</x:v>
      </x:c>
      <x:c r="Y139" s="24" t="n">
        <x:f aca="0">1.5*J139</x:f>
        <x:v>0</x:v>
      </x:c>
      <x:c r="Z139" s="12" t="s">
        <x:v>44</x:v>
      </x:c>
      <x:c r="AA139" s="13" t="n">
        <x:f aca="0">0.9*K139</x:f>
        <x:v>11253.6</x:v>
      </x:c>
      <x:c r="AB139" s="13" t="n">
        <x:f aca="0">1.3*K139</x:f>
        <x:v>16255.2</x:v>
      </x:c>
      <x:c r="AC139" s="12" t="s">
        <x:v>44</x:v>
      </x:c>
      <x:c r="AD139" s="13" t="s">
        <x:v>45</x:v>
      </x:c>
      <x:c r="AE139" s="13" t="s">
        <x:v>46</x:v>
      </x:c>
      <x:c r="AF139" s="13" t="s">
        <x:v>47</x:v>
      </x:c>
      <x:c r="AG139" s="12" t="s">
        <x:v>48</x:v>
      </x:c>
    </x:row>
    <x:row r="140" ht="75.75" hidden="0" customHeight="1">
      <x:c r="A140" s="30" t="n">
        <x:v>236</x:v>
      </x:c>
      <x:c r="B140" s="9" t="n">
        <x:f aca="0">IF(ISNUMBER(A140),
IF(AND(A140=INT(A140), MOD(A140, 10) = 0), 0,
IF(AND(A140=INT(A140), LEN(A140)=2), 1,
IF(AND(A140=INT(A140), LEN(A140)=3), 2,
LEN(A140) - FIND(".", A140) + 2)
)
),
"")</x:f>
        <x:v>2</x:v>
      </x:c>
      <x:c r="C140" s="37" t="s">
        <x:v>363</x:v>
      </x:c>
      <x:c r="D140" s="10" t="str">
        <x:f aca="0">REPT("   ", B140*2) &amp; C140</x:f>
        <x:v>            Common Instrumentation &amp; Controls</x:v>
      </x:c>
      <x:c r="E140" s="10" t="s">
        <x:v>35</x:v>
      </x:c>
      <x:c r="F140" s="10"/>
      <x:c r="G140" s="18"/>
      <x:c r="H140" s="18"/>
      <x:c r="I140" s="18"/>
      <x:c r="J140" s="16" t="n">
        <x:v>1000000</x:v>
      </x:c>
      <x:c r="K140" s="16"/>
      <x:c r="L140" s="23"/>
      <x:c r="M140" s="18"/>
      <x:c r="N140" s="23"/>
      <x:c r="O140" s="23"/>
      <x:c r="P140" s="18"/>
      <x:c r="Q140" s="20" t="n">
        <x:v>2023</x:v>
      </x:c>
      <x:c r="R140" s="23" t="s">
        <x:v>96</x:v>
      </x:c>
      <x:c r="S140" s="58"/>
      <x:c r="T140" s="58"/>
      <x:c r="U140" s="57" t="s">
        <x:v>352</x:v>
      </x:c>
      <x:c r="V140" s="23"/>
      <x:c r="W140" s="12" t="s">
        <x:v>354</x:v>
      </x:c>
      <x:c r="X140" s="24" t="n">
        <x:f aca="0">0.9*$J140</x:f>
        <x:v>900000</x:v>
      </x:c>
      <x:c r="Y140" s="24" t="n">
        <x:f aca="0">1.5*J140</x:f>
        <x:v>1500000</x:v>
      </x:c>
      <x:c r="Z140" s="12" t="s">
        <x:v>44</x:v>
      </x:c>
      <x:c r="AA140" s="13"/>
      <x:c r="AB140" s="13"/>
      <x:c r="AC140" s="12"/>
      <x:c r="AD140" s="13"/>
      <x:c r="AE140" s="13"/>
      <x:c r="AF140" s="13"/>
      <x:c r="AG140" s="12"/>
    </x:row>
    <x:row r="141" ht="26.25" hidden="0" customHeight="1">
      <x:c r="A141" s="6" t="n">
        <x:v>24</x:v>
      </x:c>
      <x:c r="B141" s="9" t="n">
        <x:f aca="0">IF(ISNUMBER(A141),
IF(AND(A141=INT(A141), MOD(A141, 10) = 0), 0,
IF(AND(A141=INT(A141), LEN(A141)=2), 1,
IF(AND(A141=INT(A141), LEN(A141)=3), 2,
LEN(A141) - FIND(".", A141) + 2)
)
),
"")</x:f>
        <x:v>1</x:v>
      </x:c>
      <x:c r="C141" s="37" t="s">
        <x:v>364</x:v>
      </x:c>
      <x:c r="D141" s="10" t="str">
        <x:f aca="0">REPT("   ", B141*2) &amp; C141</x:f>
        <x:v>      Electrical Equipment</x:v>
      </x:c>
      <x:c r="E141" s="10"/>
      <x:c r="F141" s="10"/>
      <x:c r="G141" s="18"/>
      <x:c r="H141" s="18"/>
      <x:c r="I141" s="18"/>
      <x:c r="J141" s="20"/>
      <x:c r="K141" s="17"/>
      <x:c r="L141" s="23"/>
      <x:c r="M141" s="26"/>
      <x:c r="N141" s="23"/>
      <x:c r="O141" s="23"/>
      <x:c r="P141" s="23"/>
      <x:c r="Q141" s="20"/>
      <x:c r="R141" s="23"/>
      <x:c r="S141" s="58"/>
      <x:c r="T141" s="58"/>
      <x:c r="U141" s="23"/>
      <x:c r="V141" s="23"/>
      <x:c r="W141" s="12"/>
      <x:c r="X141" s="24"/>
      <x:c r="Y141" s="24"/>
      <x:c r="Z141" s="12"/>
      <x:c r="AA141" s="13"/>
      <x:c r="AB141" s="13"/>
      <x:c r="AC141" s="12"/>
      <x:c r="AD141" s="13"/>
      <x:c r="AE141" s="13"/>
      <x:c r="AF141" s="13"/>
      <x:c r="AG141" s="12"/>
    </x:row>
    <x:row r="142" ht="26.25" hidden="0" customHeight="1">
      <x:c r="A142" s="6" t="n">
        <x:v>241</x:v>
      </x:c>
      <x:c r="B142" s="9" t="n">
        <x:f aca="0">IF(ISNUMBER(A142),
IF(AND(A142=INT(A142), MOD(A142, 10) = 0), 0,
IF(AND(A142=INT(A142), LEN(A142)=2), 1,
IF(AND(A142=INT(A142), LEN(A142)=3), 2,
LEN(A142) - FIND(".", A142) + 2)
)
),
"")</x:f>
        <x:v>2</x:v>
      </x:c>
      <x:c r="C142" s="26" t="s">
        <x:v>365</x:v>
      </x:c>
      <x:c r="D142" s="10" t="str">
        <x:f aca="0">REPT("   ", B142*2) &amp; C142</x:f>
        <x:v>            Switchgear</x:v>
      </x:c>
      <x:c r="E142" s="10" t="s">
        <x:v>35</x:v>
      </x:c>
      <x:c r="F142" s="10"/>
      <x:c r="G142" s="18"/>
      <x:c r="H142" s="18"/>
      <x:c r="I142" s="18"/>
      <x:c r="J142" s="20"/>
      <x:c r="K142" s="17" t="n">
        <x:f aca="0">14424707.2061682/N142</x:f>
        <x:v>12609.009795601574</x:v>
      </x:c>
      <x:c r="L142" s="23" t="s">
        <x:v>50</x:v>
      </x:c>
      <x:c r="M142" s="18" t="s">
        <x:v>51</x:v>
      </x:c>
      <x:c r="N142" s="23" t="n">
        <x:v>1144</x:v>
      </x:c>
      <x:c r="O142" s="23" t="s">
        <x:v>52</x:v>
      </x:c>
      <x:c r="P142" s="18" t="n">
        <x:v>0.6</x:v>
      </x:c>
      <x:c r="Q142" s="20" t="n">
        <x:v>2018</x:v>
      </x:c>
      <x:c r="R142" s="23" t="s">
        <x:v>96</x:v>
      </x:c>
      <x:c r="S142" s="58"/>
      <x:c r="T142" s="58"/>
      <x:c r="U142" s="23"/>
      <x:c r="V142" s="23"/>
      <x:c r="W142" s="12" t="s">
        <x:v>354</x:v>
      </x:c>
      <x:c r="X142" s="24" t="n">
        <x:f aca="0">0.9*$J142</x:f>
        <x:v>0</x:v>
      </x:c>
      <x:c r="Y142" s="24" t="n">
        <x:f aca="0">1.5*J142</x:f>
        <x:v>0</x:v>
      </x:c>
      <x:c r="Z142" s="12"/>
      <x:c r="AA142" s="13" t="n">
        <x:f aca="0">0.9*K142</x:f>
        <x:v>11348.108816041417</x:v>
      </x:c>
      <x:c r="AB142" s="13" t="n">
        <x:f aca="0">1.3*K142</x:f>
        <x:v>16391.712734282046</x:v>
      </x:c>
      <x:c r="AC142" s="12" t="s">
        <x:v>44</x:v>
      </x:c>
      <x:c r="AD142" s="13" t="n">
        <x:v>0.1</x:v>
      </x:c>
      <x:c r="AE142" s="13" t="n">
        <x:v>1</x:v>
      </x:c>
      <x:c r="AF142" s="13" t="n">
        <x:v>0</x:v>
      </x:c>
      <x:c r="AG142" s="12" t="s">
        <x:v>48</x:v>
      </x:c>
    </x:row>
    <x:row r="143" ht="26.25" hidden="0" customHeight="1">
      <x:c r="A143" s="6" t="n">
        <x:v>242</x:v>
      </x:c>
      <x:c r="B143" s="9" t="n">
        <x:f aca="0">IF(ISNUMBER(A143),
IF(AND(A143=INT(A143), MOD(A143, 10) = 0), 0,
IF(AND(A143=INT(A143), LEN(A143)=2), 1,
IF(AND(A143=INT(A143), LEN(A143)=3), 2,
LEN(A143) - FIND(".", A143) + 2)
)
),
"")</x:f>
        <x:v>2</x:v>
      </x:c>
      <x:c r="C143" s="26" t="s">
        <x:v>366</x:v>
      </x:c>
      <x:c r="D143" s="10" t="str">
        <x:f aca="0">REPT("   ", B143*2) &amp; C143</x:f>
        <x:v>            Station Service Equipment</x:v>
      </x:c>
      <x:c r="E143" s="10" t="s">
        <x:v>35</x:v>
      </x:c>
      <x:c r="F143" s="10"/>
      <x:c r="G143" s="18"/>
      <x:c r="H143" s="18"/>
      <x:c r="I143" s="18"/>
      <x:c r="J143" s="20"/>
      <x:c r="K143" s="17" t="n">
        <x:f aca="0">11992641.3775456/N142</x:f>
        <x:v>10483.078127225175</x:v>
      </x:c>
      <x:c r="L143" s="23" t="s">
        <x:v>50</x:v>
      </x:c>
      <x:c r="M143" s="18" t="s">
        <x:v>51</x:v>
      </x:c>
      <x:c r="N143" s="23" t="n">
        <x:v>1144</x:v>
      </x:c>
      <x:c r="O143" s="23" t="s">
        <x:v>52</x:v>
      </x:c>
      <x:c r="P143" s="18" t="n">
        <x:v>0.6</x:v>
      </x:c>
      <x:c r="Q143" s="20" t="n">
        <x:v>2018</x:v>
      </x:c>
      <x:c r="R143" s="23" t="s">
        <x:v>96</x:v>
      </x:c>
      <x:c r="S143" s="58"/>
      <x:c r="T143" s="58"/>
      <x:c r="U143" s="23"/>
      <x:c r="V143" s="23"/>
      <x:c r="W143" s="12" t="s">
        <x:v>354</x:v>
      </x:c>
      <x:c r="X143" s="24" t="n">
        <x:f aca="0">0.9*$J143</x:f>
        <x:v>0</x:v>
      </x:c>
      <x:c r="Y143" s="24" t="n">
        <x:f aca="0">1.5*J143</x:f>
        <x:v>0</x:v>
      </x:c>
      <x:c r="Z143" s="12"/>
      <x:c r="AA143" s="13" t="n">
        <x:f aca="0">0.9*K143</x:f>
        <x:v>9434.770314502657</x:v>
      </x:c>
      <x:c r="AB143" s="13" t="n">
        <x:f aca="0">1.3*K143</x:f>
        <x:v>13628.001565392728</x:v>
      </x:c>
      <x:c r="AC143" s="12" t="s">
        <x:v>44</x:v>
      </x:c>
      <x:c r="AD143" s="13" t="n">
        <x:v>0.1</x:v>
      </x:c>
      <x:c r="AE143" s="13" t="n">
        <x:v>1</x:v>
      </x:c>
      <x:c r="AF143" s="13" t="n">
        <x:v>0</x:v>
      </x:c>
      <x:c r="AG143" s="12" t="s">
        <x:v>48</x:v>
      </x:c>
    </x:row>
    <x:row r="144" ht="26.25" hidden="0" customHeight="1">
      <x:c r="A144" s="6" t="n">
        <x:v>243</x:v>
      </x:c>
      <x:c r="B144" s="9" t="n">
        <x:f aca="0">IF(ISNUMBER(A144),
IF(AND(A144=INT(A144), MOD(A144, 10) = 0), 0,
IF(AND(A144=INT(A144), LEN(A144)=2), 1,
IF(AND(A144=INT(A144), LEN(A144)=3), 2,
LEN(A144) - FIND(".", A144) + 2)
)
),
"")</x:f>
        <x:v>2</x:v>
      </x:c>
      <x:c r="C144" s="26" t="s">
        <x:v>367</x:v>
      </x:c>
      <x:c r="D144" s="10" t="str">
        <x:f aca="0">REPT("   ", B144*2) &amp; C144</x:f>
        <x:v>            Switchboards</x:v>
      </x:c>
      <x:c r="E144" s="10" t="s">
        <x:v>35</x:v>
      </x:c>
      <x:c r="F144" s="10"/>
      <x:c r="G144" s="18"/>
      <x:c r="H144" s="18"/>
      <x:c r="I144" s="18"/>
      <x:c r="J144" s="20"/>
      <x:c r="K144" s="17" t="n">
        <x:f aca="0">3894246.37400843/N142</x:f>
        <x:v>3404.0615157416346</x:v>
      </x:c>
      <x:c r="L144" s="23" t="s">
        <x:v>50</x:v>
      </x:c>
      <x:c r="M144" s="18" t="s">
        <x:v>51</x:v>
      </x:c>
      <x:c r="N144" s="23" t="n">
        <x:v>1144</x:v>
      </x:c>
      <x:c r="O144" s="23" t="s">
        <x:v>52</x:v>
      </x:c>
      <x:c r="P144" s="18" t="n">
        <x:v>0.6</x:v>
      </x:c>
      <x:c r="Q144" s="20" t="n">
        <x:v>2018</x:v>
      </x:c>
      <x:c r="R144" s="23" t="s">
        <x:v>96</x:v>
      </x:c>
      <x:c r="S144" s="58"/>
      <x:c r="T144" s="58"/>
      <x:c r="U144" s="23"/>
      <x:c r="V144" s="23"/>
      <x:c r="W144" s="12" t="s">
        <x:v>354</x:v>
      </x:c>
      <x:c r="X144" s="24" t="n">
        <x:f aca="0">0.9*$J144</x:f>
        <x:v>0</x:v>
      </x:c>
      <x:c r="Y144" s="24" t="n">
        <x:f aca="0">1.5*J144</x:f>
        <x:v>0</x:v>
      </x:c>
      <x:c r="Z144" s="12"/>
      <x:c r="AA144" s="13" t="n">
        <x:f aca="0">0.9*K144</x:f>
        <x:v>3063.6553641674714</x:v>
      </x:c>
      <x:c r="AB144" s="13" t="n">
        <x:f aca="0">1.3*K144</x:f>
        <x:v>4425.279970464125</x:v>
      </x:c>
      <x:c r="AC144" s="12" t="s">
        <x:v>44</x:v>
      </x:c>
      <x:c r="AD144" s="13" t="n">
        <x:v>0.1</x:v>
      </x:c>
      <x:c r="AE144" s="13" t="n">
        <x:v>1</x:v>
      </x:c>
      <x:c r="AF144" s="13" t="n">
        <x:v>0</x:v>
      </x:c>
      <x:c r="AG144" s="12" t="s">
        <x:v>48</x:v>
      </x:c>
    </x:row>
    <x:row r="145" ht="26.25" hidden="0" customHeight="1">
      <x:c r="A145" s="6" t="n">
        <x:v>244</x:v>
      </x:c>
      <x:c r="B145" s="9" t="n">
        <x:f aca="0">IF(ISNUMBER(A145),
IF(AND(A145=INT(A145), MOD(A145, 10) = 0), 0,
IF(AND(A145=INT(A145), LEN(A145)=2), 1,
IF(AND(A145=INT(A145), LEN(A145)=3), 2,
LEN(A145) - FIND(".", A145) + 2)
)
),
"")</x:f>
        <x:v>2</x:v>
      </x:c>
      <x:c r="C145" s="26" t="s">
        <x:v>368</x:v>
      </x:c>
      <x:c r="D145" s="10" t="str">
        <x:f aca="0">REPT("   ", B145*2) &amp; C145</x:f>
        <x:v>            Protective Equipment</x:v>
      </x:c>
      <x:c r="E145" s="10" t="s">
        <x:v>35</x:v>
      </x:c>
      <x:c r="F145" s="10"/>
      <x:c r="G145" s="18"/>
      <x:c r="H145" s="18"/>
      <x:c r="I145" s="18"/>
      <x:c r="J145" s="20"/>
      <x:c r="K145" s="17" t="n">
        <x:f aca="0">11183911.9256997/N142</x:f>
        <x:v>9776.146788199037</x:v>
      </x:c>
      <x:c r="L145" s="23" t="s">
        <x:v>50</x:v>
      </x:c>
      <x:c r="M145" s="18" t="s">
        <x:v>51</x:v>
      </x:c>
      <x:c r="N145" s="23" t="n">
        <x:v>1144</x:v>
      </x:c>
      <x:c r="O145" s="23" t="s">
        <x:v>52</x:v>
      </x:c>
      <x:c r="P145" s="18" t="n">
        <x:v>0.6</x:v>
      </x:c>
      <x:c r="Q145" s="20" t="n">
        <x:v>2018</x:v>
      </x:c>
      <x:c r="R145" s="23" t="s">
        <x:v>96</x:v>
      </x:c>
      <x:c r="S145" s="49"/>
      <x:c r="T145" s="49"/>
      <x:c r="U145" s="23"/>
      <x:c r="V145" s="23"/>
      <x:c r="W145" s="12" t="s">
        <x:v>354</x:v>
      </x:c>
      <x:c r="X145" s="24" t="n">
        <x:f aca="0">0.9*$J145</x:f>
        <x:v>0</x:v>
      </x:c>
      <x:c r="Y145" s="24" t="n">
        <x:f aca="0">1.5*J145</x:f>
        <x:v>0</x:v>
      </x:c>
      <x:c r="Z145" s="12"/>
      <x:c r="AA145" s="13" t="n">
        <x:f aca="0">0.9*K145</x:f>
        <x:v>8798.532109379134</x:v>
      </x:c>
      <x:c r="AB145" s="13" t="n">
        <x:f aca="0">1.3*K145</x:f>
        <x:v>12708.99082465875</x:v>
      </x:c>
      <x:c r="AC145" s="12" t="s">
        <x:v>44</x:v>
      </x:c>
      <x:c r="AD145" s="13" t="n">
        <x:v>0.1</x:v>
      </x:c>
      <x:c r="AE145" s="13" t="n">
        <x:v>1</x:v>
      </x:c>
      <x:c r="AF145" s="13" t="n">
        <x:v>0</x:v>
      </x:c>
      <x:c r="AG145" s="12" t="s">
        <x:v>48</x:v>
      </x:c>
    </x:row>
    <x:row r="146" ht="26.25" hidden="0" customHeight="1">
      <x:c r="A146" s="6" t="n">
        <x:v>245</x:v>
      </x:c>
      <x:c r="B146" s="9" t="n">
        <x:f aca="0">IF(ISNUMBER(A146),
IF(AND(A146=INT(A146), MOD(A146, 10) = 0), 0,
IF(AND(A146=INT(A146), LEN(A146)=2), 1,
IF(AND(A146=INT(A146), LEN(A146)=3), 2,
LEN(A146) - FIND(".", A146) + 2)
)
),
"")</x:f>
        <x:v>2</x:v>
      </x:c>
      <x:c r="C146" s="26" t="s">
        <x:v>369</x:v>
      </x:c>
      <x:c r="D146" s="10" t="str">
        <x:f aca="0">REPT("   ", B146*2) &amp; C146</x:f>
        <x:v>            Electrical Structure &amp; Wiring Container</x:v>
      </x:c>
      <x:c r="E146" s="10" t="s">
        <x:v>35</x:v>
      </x:c>
      <x:c r="F146" s="10"/>
      <x:c r="G146" s="18"/>
      <x:c r="H146" s="18"/>
      <x:c r="I146" s="18"/>
      <x:c r="J146" s="20"/>
      <x:c r="K146" s="17" t="n">
        <x:f aca="0">60312483.673456/N142</x:f>
        <x:v>52720.70251176224</x:v>
      </x:c>
      <x:c r="L146" s="23" t="s">
        <x:v>50</x:v>
      </x:c>
      <x:c r="M146" s="18" t="s">
        <x:v>51</x:v>
      </x:c>
      <x:c r="N146" s="23" t="n">
        <x:v>1144</x:v>
      </x:c>
      <x:c r="O146" s="23" t="s">
        <x:v>52</x:v>
      </x:c>
      <x:c r="P146" s="18" t="n">
        <x:v>0.6</x:v>
      </x:c>
      <x:c r="Q146" s="20" t="n">
        <x:v>2018</x:v>
      </x:c>
      <x:c r="R146" s="23" t="s">
        <x:v>96</x:v>
      </x:c>
      <x:c r="S146" s="49"/>
      <x:c r="T146" s="49"/>
      <x:c r="U146" s="23"/>
      <x:c r="V146" s="23"/>
      <x:c r="W146" s="12" t="s">
        <x:v>354</x:v>
      </x:c>
      <x:c r="X146" s="24" t="n">
        <x:f aca="0">0.9*$J146</x:f>
        <x:v>0</x:v>
      </x:c>
      <x:c r="Y146" s="24" t="n">
        <x:f aca="0">1.5*J146</x:f>
        <x:v>0</x:v>
      </x:c>
      <x:c r="Z146" s="12"/>
      <x:c r="AA146" s="13" t="n">
        <x:f aca="0">0.9*K146</x:f>
        <x:v>47448.63226058602</x:v>
      </x:c>
      <x:c r="AB146" s="13" t="n">
        <x:f aca="0">1.3*K146</x:f>
        <x:v>68536.91326529092</x:v>
      </x:c>
      <x:c r="AC146" s="12" t="s">
        <x:v>44</x:v>
      </x:c>
      <x:c r="AD146" s="13" t="n">
        <x:v>0.1</x:v>
      </x:c>
      <x:c r="AE146" s="13" t="n">
        <x:v>1</x:v>
      </x:c>
      <x:c r="AF146" s="13" t="n">
        <x:v>0</x:v>
      </x:c>
      <x:c r="AG146" s="12" t="s">
        <x:v>48</x:v>
      </x:c>
    </x:row>
    <x:row r="147" ht="26.25" hidden="0" customHeight="1">
      <x:c r="A147" s="6" t="n">
        <x:v>246</x:v>
      </x:c>
      <x:c r="B147" s="9" t="n">
        <x:f aca="0">IF(ISNUMBER(A147),
IF(AND(A147=INT(A147), MOD(A147, 10) = 0), 0,
IF(AND(A147=INT(A147), LEN(A147)=2), 1,
IF(AND(A147=INT(A147), LEN(A147)=3), 2,
LEN(A147) - FIND(".", A147) + 2)
)
),
"")</x:f>
        <x:v>2</x:v>
      </x:c>
      <x:c r="C147" s="26" t="s">
        <x:v>370</x:v>
      </x:c>
      <x:c r="D147" s="10" t="str">
        <x:f aca="0">REPT("   ", B147*2) &amp; C147</x:f>
        <x:v>            Power &amp; Control Wiring</x:v>
      </x:c>
      <x:c r="E147" s="10" t="s">
        <x:v>35</x:v>
      </x:c>
      <x:c r="F147" s="10"/>
      <x:c r="G147" s="18"/>
      <x:c r="H147" s="18"/>
      <x:c r="I147" s="18"/>
      <x:c r="J147" s="20"/>
      <x:c r="K147" s="17" t="n">
        <x:f aca="0">45613077.4753702/N142</x:f>
        <x:v>39871.571219729194</x:v>
      </x:c>
      <x:c r="L147" s="23" t="s">
        <x:v>50</x:v>
      </x:c>
      <x:c r="M147" s="18" t="s">
        <x:v>51</x:v>
      </x:c>
      <x:c r="N147" s="23" t="n">
        <x:v>1144</x:v>
      </x:c>
      <x:c r="O147" s="23" t="s">
        <x:v>52</x:v>
      </x:c>
      <x:c r="P147" s="18" t="n">
        <x:v>0.6</x:v>
      </x:c>
      <x:c r="Q147" s="20" t="n">
        <x:v>2018</x:v>
      </x:c>
      <x:c r="R147" s="23" t="s">
        <x:v>96</x:v>
      </x:c>
      <x:c r="S147" s="49"/>
      <x:c r="T147" s="49"/>
      <x:c r="U147" s="23"/>
      <x:c r="V147" s="23"/>
      <x:c r="W147" s="12" t="s">
        <x:v>354</x:v>
      </x:c>
      <x:c r="X147" s="24" t="n">
        <x:f aca="0">0.9*$J147</x:f>
        <x:v>0</x:v>
      </x:c>
      <x:c r="Y147" s="24" t="n">
        <x:f aca="0">1.5*J147</x:f>
        <x:v>0</x:v>
      </x:c>
      <x:c r="Z147" s="12"/>
      <x:c r="AA147" s="13" t="n">
        <x:f aca="0">0.9*K147</x:f>
        <x:v>35884.41409775628</x:v>
      </x:c>
      <x:c r="AB147" s="13" t="n">
        <x:f aca="0">1.3*K147</x:f>
        <x:v>51833.042585647956</x:v>
      </x:c>
      <x:c r="AC147" s="12" t="s">
        <x:v>44</x:v>
      </x:c>
      <x:c r="AD147" s="13" t="n">
        <x:v>0.1</x:v>
      </x:c>
      <x:c r="AE147" s="13" t="n">
        <x:v>1</x:v>
      </x:c>
      <x:c r="AF147" s="13" t="n">
        <x:v>0</x:v>
      </x:c>
      <x:c r="AG147" s="12" t="s">
        <x:v>48</x:v>
      </x:c>
    </x:row>
    <x:row r="148" ht="26.25" hidden="0" customHeight="1">
      <x:c r="A148" s="6" t="n">
        <x:v>25</x:v>
      </x:c>
      <x:c r="B148" s="9" t="n">
        <x:f aca="0">IF(ISNUMBER(A148),
IF(AND(A148=INT(A148), MOD(A148, 10) = 0), 0,
IF(AND(A148=INT(A148), LEN(A148)=2), 1,
IF(AND(A148=INT(A148), LEN(A148)=3), 2,
LEN(A148) - FIND(".", A148) + 2)
)
),
"")</x:f>
        <x:v>1</x:v>
      </x:c>
      <x:c r="C148" s="37" t="s">
        <x:v>371</x:v>
      </x:c>
      <x:c r="D148" s="10" t="str">
        <x:f aca="0">REPT("   ", B148*2) &amp; C148</x:f>
        <x:v>      Initial Fuel Inventory</x:v>
      </x:c>
      <x:c r="E148" s="10"/>
      <x:c r="F148" s="10"/>
      <x:c r="G148" s="18"/>
      <x:c r="H148" s="18"/>
      <x:c r="I148" s="18"/>
      <x:c r="J148" s="20"/>
      <x:c r="K148" s="17"/>
      <x:c r="L148" s="23"/>
      <x:c r="M148" s="26"/>
      <x:c r="N148" s="23"/>
      <x:c r="O148" s="23"/>
      <x:c r="P148" s="23"/>
      <x:c r="Q148" s="20"/>
      <x:c r="R148" s="23"/>
      <x:c r="S148" s="49"/>
      <x:c r="T148" s="49"/>
      <x:c r="U148" s="23"/>
      <x:c r="V148" s="23"/>
      <x:c r="W148" s="12"/>
      <x:c r="X148" s="24"/>
      <x:c r="Y148" s="24"/>
      <x:c r="Z148" s="12"/>
      <x:c r="AA148" s="13"/>
      <x:c r="AB148" s="13"/>
      <x:c r="AC148" s="12"/>
      <x:c r="AD148" s="13"/>
      <x:c r="AE148" s="13"/>
      <x:c r="AF148" s="13"/>
      <x:c r="AG148" s="12"/>
    </x:row>
    <x:row r="149" ht="28.5" hidden="0" customHeight="1">
      <x:c r="A149" s="30" t="n">
        <x:v>251</x:v>
      </x:c>
      <x:c r="B149" s="9" t="n">
        <x:f aca="0">IF(ISNUMBER(A149),
IF(AND(A149=INT(A149), MOD(A149, 10) = 0), 0,
IF(AND(A149=INT(A149), LEN(A149)=2), 1,
IF(AND(A149=INT(A149), LEN(A149)=3), 2,
LEN(A149) - FIND(".", A149) + 2)
)
),
"")</x:f>
        <x:v>2</x:v>
      </x:c>
      <x:c r="C149" s="37" t="s">
        <x:v>372</x:v>
      </x:c>
      <x:c r="D149" s="10" t="str">
        <x:f aca="0">REPT("   ", B149*2) &amp; C149</x:f>
        <x:v>            First Core Mining</x:v>
      </x:c>
      <x:c r="E149" s="10" t="s">
        <x:v>35</x:v>
      </x:c>
      <x:c r="F149" s="10"/>
      <x:c r="G149" s="18"/>
      <x:c r="H149" s="18"/>
      <x:c r="I149" s="18"/>
      <x:c r="J149" s="20"/>
      <x:c r="K149" s="20" t="n">
        <x:v>184</x:v>
      </x:c>
      <x:c r="L149" s="23" t="s">
        <x:v>196</x:v>
      </x:c>
      <x:c r="M149" s="18" t="s">
        <x:v>373</x:v>
      </x:c>
      <x:c r="N149" s="23"/>
      <x:c r="O149" s="23"/>
      <x:c r="P149" s="23"/>
      <x:c r="Q149" s="20" t="n">
        <x:v>2022</x:v>
      </x:c>
      <x:c r="R149" s="23" t="s">
        <x:v>229</x:v>
      </x:c>
      <x:c r="S149" s="49"/>
      <x:c r="T149" s="49"/>
      <x:c r="U149" s="23"/>
      <x:c r="V149" s="23"/>
      <x:c r="W149" s="12" t="s">
        <x:v>43</x:v>
      </x:c>
      <x:c r="X149" s="24" t="n">
        <x:f aca="0">0.9*$J149</x:f>
        <x:v>0</x:v>
      </x:c>
      <x:c r="Y149" s="24" t="n">
        <x:f aca="0">1.5*J149</x:f>
        <x:v>0</x:v>
      </x:c>
      <x:c r="Z149" s="12" t="s">
        <x:v>44</x:v>
      </x:c>
      <x:c r="AA149" s="13" t="n">
        <x:f aca="0">0.9*K149</x:f>
        <x:v>165.6</x:v>
      </x:c>
      <x:c r="AB149" s="13" t="n">
        <x:f aca="0">1.3*K149</x:f>
        <x:v>239.20000000000002</x:v>
      </x:c>
      <x:c r="AC149" s="12" t="s">
        <x:v>44</x:v>
      </x:c>
      <x:c r="AD149" s="13" t="s">
        <x:v>45</x:v>
      </x:c>
      <x:c r="AE149" s="13" t="s">
        <x:v>46</x:v>
      </x:c>
      <x:c r="AF149" s="13" t="s">
        <x:v>47</x:v>
      </x:c>
      <x:c r="AG149" s="12" t="s">
        <x:v>48</x:v>
      </x:c>
    </x:row>
    <x:row r="150" ht="26.25" hidden="0" customHeight="1">
      <x:c r="A150" s="30" t="n">
        <x:v>252</x:v>
      </x:c>
      <x:c r="B150" s="9" t="n">
        <x:f aca="0">IF(ISNUMBER(A150),
IF(AND(A150=INT(A150), MOD(A150, 10) = 0), 0,
IF(AND(A150=INT(A150), LEN(A150)=2), 1,
IF(AND(A150=INT(A150), LEN(A150)=3), 2,
LEN(A150) - FIND(".", A150) + 2)
)
),
"")</x:f>
        <x:v>2</x:v>
      </x:c>
      <x:c r="C150" s="37" t="s">
        <x:v>374</x:v>
      </x:c>
      <x:c r="D150" s="10" t="str">
        <x:f aca="0">REPT("   ", B150*2) &amp; C150</x:f>
        <x:v>            First Core Conversion </x:v>
      </x:c>
      <x:c r="E150" s="10" t="s">
        <x:v>35</x:v>
      </x:c>
      <x:c r="F150" s="10"/>
      <x:c r="G150" s="18"/>
      <x:c r="H150" s="18"/>
      <x:c r="I150" s="18"/>
      <x:c r="J150" s="20"/>
      <x:c r="K150" s="20" t="n">
        <x:v>15.1</x:v>
      </x:c>
      <x:c r="L150" s="23" t="s">
        <x:v>196</x:v>
      </x:c>
      <x:c r="M150" s="18" t="s">
        <x:v>373</x:v>
      </x:c>
      <x:c r="N150" s="23"/>
      <x:c r="O150" s="23"/>
      <x:c r="P150" s="23"/>
      <x:c r="Q150" s="20" t="n">
        <x:v>2022</x:v>
      </x:c>
      <x:c r="R150" s="23" t="s">
        <x:v>229</x:v>
      </x:c>
      <x:c r="S150" s="49"/>
      <x:c r="T150" s="49"/>
      <x:c r="U150" s="23"/>
      <x:c r="V150" s="23"/>
      <x:c r="W150" s="12" t="s">
        <x:v>43</x:v>
      </x:c>
      <x:c r="X150" s="24" t="n">
        <x:f aca="0">0.9*$J150</x:f>
        <x:v>0</x:v>
      </x:c>
      <x:c r="Y150" s="24" t="n">
        <x:f aca="0">1.5*J150</x:f>
        <x:v>0</x:v>
      </x:c>
      <x:c r="Z150" s="12" t="s">
        <x:v>44</x:v>
      </x:c>
      <x:c r="AA150" s="13" t="n">
        <x:f aca="0">0.9*K150</x:f>
        <x:v>13.59</x:v>
      </x:c>
      <x:c r="AB150" s="13" t="n">
        <x:f aca="0">1.3*K150</x:f>
        <x:v>19.63</x:v>
      </x:c>
      <x:c r="AC150" s="12" t="s">
        <x:v>44</x:v>
      </x:c>
      <x:c r="AD150" s="13" t="s">
        <x:v>45</x:v>
      </x:c>
      <x:c r="AE150" s="13" t="s">
        <x:v>46</x:v>
      </x:c>
      <x:c r="AF150" s="13" t="s">
        <x:v>47</x:v>
      </x:c>
      <x:c r="AG150" s="12" t="s">
        <x:v>48</x:v>
      </x:c>
    </x:row>
    <x:row r="151" ht="26.25" hidden="0" customHeight="1">
      <x:c r="A151" s="30" t="n">
        <x:v>253</x:v>
      </x:c>
      <x:c r="B151" s="9" t="n">
        <x:f aca="0">IF(ISNUMBER(A151),
IF(AND(A151=INT(A151), MOD(A151, 10) = 0), 0,
IF(AND(A151=INT(A151), LEN(A151)=2), 1,
IF(AND(A151=INT(A151), LEN(A151)=3), 2,
LEN(A151) - FIND(".", A151) + 2)
)
),
"")</x:f>
        <x:v>2</x:v>
      </x:c>
      <x:c r="C151" s="37" t="s">
        <x:v>375</x:v>
      </x:c>
      <x:c r="D151" s="10" t="str">
        <x:f aca="0">REPT("   ", B151*2) &amp; C151</x:f>
        <x:v>            First Core Enrichment </x:v>
      </x:c>
      <x:c r="E151" s="10" t="s">
        <x:v>290</x:v>
      </x:c>
      <x:c r="F151" s="10"/>
      <x:c r="G151" s="18"/>
      <x:c r="H151" s="18"/>
      <x:c r="I151" s="18"/>
      <x:c r="J151" s="20"/>
      <x:c r="K151" s="20" t="n">
        <x:v>184.2</x:v>
      </x:c>
      <x:c r="L151" s="23" t="s">
        <x:v>376</x:v>
      </x:c>
      <x:c r="M151" s="26" t="s">
        <x:v>377</x:v>
      </x:c>
      <x:c r="N151" s="23"/>
      <x:c r="O151" s="23"/>
      <x:c r="P151" s="23" t="n">
        <x:v>1</x:v>
      </x:c>
      <x:c r="Q151" s="20" t="n">
        <x:v>2022</x:v>
      </x:c>
      <x:c r="R151" s="23" t="s">
        <x:v>229</x:v>
      </x:c>
      <x:c r="S151" s="49"/>
      <x:c r="T151" s="49"/>
      <x:c r="U151" s="23"/>
      <x:c r="V151" s="23"/>
      <x:c r="W151" s="12" t="s">
        <x:v>43</x:v>
      </x:c>
      <x:c r="X151" s="24" t="n">
        <x:f aca="0">0.9*$J151</x:f>
        <x:v>0</x:v>
      </x:c>
      <x:c r="Y151" s="24" t="n">
        <x:f aca="0">1.5*J151</x:f>
        <x:v>0</x:v>
      </x:c>
      <x:c r="Z151" s="12" t="s">
        <x:v>44</x:v>
      </x:c>
      <x:c r="AA151" s="13" t="n">
        <x:f aca="0">0.9*K151</x:f>
        <x:v>165.78</x:v>
      </x:c>
      <x:c r="AB151" s="13" t="n">
        <x:f aca="0">1.3*K151</x:f>
        <x:v>239.45999999999998</x:v>
      </x:c>
      <x:c r="AC151" s="12" t="s">
        <x:v>44</x:v>
      </x:c>
      <x:c r="AD151" s="13" t="s">
        <x:v>45</x:v>
      </x:c>
      <x:c r="AE151" s="13" t="s">
        <x:v>46</x:v>
      </x:c>
      <x:c r="AF151" s="13" t="s">
        <x:v>47</x:v>
      </x:c>
      <x:c r="AG151" s="12" t="s">
        <x:v>48</x:v>
      </x:c>
    </x:row>
    <x:row r="152" ht="26.25" hidden="0" customHeight="1">
      <x:c r="A152" s="30" t="n">
        <x:v>254</x:v>
      </x:c>
      <x:c r="B152" s="9" t="n">
        <x:f aca="0">IF(ISNUMBER(A152),
IF(AND(A152=INT(A152), MOD(A152, 10) = 0), 0,
IF(AND(A152=INT(A152), LEN(A152)=2), 1,
IF(AND(A152=INT(A152), LEN(A152)=3), 2,
LEN(A152) - FIND(".", A152) + 2)
)
),
"")</x:f>
        <x:v>2</x:v>
      </x:c>
      <x:c r="C152" s="37" t="s">
        <x:v>378</x:v>
      </x:c>
      <x:c r="D152" s="10" t="str">
        <x:f aca="0">REPT("   ", B152*2) &amp; C152</x:f>
        <x:v>            First Core Fuel Assembly Fabrication </x:v>
      </x:c>
      <x:c r="E152" s="10" t="s">
        <x:v>35</x:v>
      </x:c>
      <x:c r="F152" s="10" t="s">
        <x:v>379</x:v>
      </x:c>
      <x:c r="G152" s="18" t="s">
        <x:v>380</x:v>
      </x:c>
      <x:c r="H152" s="18" t="s">
        <x:v>381</x:v>
      </x:c>
      <x:c r="I152" s="18" t="s">
        <x:v>382</x:v>
      </x:c>
      <x:c r="J152" s="20"/>
      <x:c r="K152" s="20" t="n">
        <x:v>1520</x:v>
      </x:c>
      <x:c r="L152" s="23" t="s">
        <x:v>196</x:v>
      </x:c>
      <x:c r="M152" s="26" t="s">
        <x:v>383</x:v>
      </x:c>
      <x:c r="N152" s="23"/>
      <x:c r="O152" s="23"/>
      <x:c r="P152" s="23"/>
      <x:c r="Q152" s="20" t="n">
        <x:v>2023</x:v>
      </x:c>
      <x:c r="R152" s="23" t="s">
        <x:v>229</x:v>
      </x:c>
      <x:c r="S152" s="49"/>
      <x:c r="T152" s="49"/>
      <x:c r="U152" s="23"/>
      <x:c r="V152" s="23"/>
      <x:c r="W152" s="12" t="s">
        <x:v>167</x:v>
      </x:c>
      <x:c r="X152" s="24" t="n">
        <x:f aca="0">0.9*$J152</x:f>
        <x:v>0</x:v>
      </x:c>
      <x:c r="Y152" s="24" t="n">
        <x:f aca="0">1.5*J152</x:f>
        <x:v>0</x:v>
      </x:c>
      <x:c r="Z152" s="12" t="s">
        <x:v>44</x:v>
      </x:c>
      <x:c r="AA152" s="13" t="n">
        <x:f aca="0">0.9*K152</x:f>
        <x:v>1368</x:v>
      </x:c>
      <x:c r="AB152" s="13" t="n">
        <x:f aca="0">1.3*K152</x:f>
        <x:v>1976</x:v>
      </x:c>
      <x:c r="AC152" s="12" t="s">
        <x:v>44</x:v>
      </x:c>
      <x:c r="AD152" s="13" t="s">
        <x:v>45</x:v>
      </x:c>
      <x:c r="AE152" s="13" t="s">
        <x:v>46</x:v>
      </x:c>
      <x:c r="AF152" s="13" t="s">
        <x:v>47</x:v>
      </x:c>
      <x:c r="AG152" s="12" t="s">
        <x:v>48</x:v>
      </x:c>
    </x:row>
    <x:row r="153" ht="26.25" hidden="0" customHeight="1">
      <x:c r="A153" s="30" t="n">
        <x:v>254</x:v>
      </x:c>
      <x:c r="B153" s="9" t="n">
        <x:f aca="0">IF(ISNUMBER(A153),
    IF(AND(A153=INT(A153), MOD(A153, 10) = 0), 0,
        IF(AND(A153=INT(A153), LEN(A153)=2), 1,
            IF(AND(A153=INT(A153), LEN(A153)=3), 2,
                LEN(A153) - FIND(".", A153) + 2)
        )
    ),
"")</x:f>
        <x:v>2</x:v>
      </x:c>
      <x:c r="C153" s="37" t="s">
        <x:v>378</x:v>
      </x:c>
      <x:c r="D153" s="10" t="str">
        <x:f aca="0">REPT("   ", B153*2) &amp; C153</x:f>
        <x:v>            First Core Fuel Assembly Fabrication </x:v>
      </x:c>
      <x:c r="E153" s="10" t="s">
        <x:v>35</x:v>
      </x:c>
      <x:c r="F153" s="10" t="s">
        <x:v>379</x:v>
      </x:c>
      <x:c r="G153" s="18" t="s">
        <x:v>380</x:v>
      </x:c>
      <x:c r="H153" s="18" t="s">
        <x:v>381</x:v>
      </x:c>
      <x:c r="I153" s="18" t="s">
        <x:v>384</x:v>
      </x:c>
      <x:c r="J153" s="20"/>
      <x:c r="K153" s="20" t="n">
        <x:v>250</x:v>
      </x:c>
      <x:c r="L153" s="23" t="s">
        <x:v>196</x:v>
      </x:c>
      <x:c r="M153" s="26" t="s">
        <x:v>383</x:v>
      </x:c>
      <x:c r="N153" s="23"/>
      <x:c r="O153" s="23"/>
      <x:c r="P153" s="23"/>
      <x:c r="Q153" s="20" t="n">
        <x:v>2023</x:v>
      </x:c>
      <x:c r="R153" s="23" t="s">
        <x:v>229</x:v>
      </x:c>
      <x:c r="S153" s="49"/>
      <x:c r="T153" s="49"/>
      <x:c r="U153" s="23"/>
      <x:c r="V153" s="23"/>
      <x:c r="W153" s="12" t="s">
        <x:v>167</x:v>
      </x:c>
      <x:c r="X153" s="24" t="n">
        <x:f aca="0">0.9*$J153</x:f>
        <x:v>0</x:v>
      </x:c>
      <x:c r="Y153" s="24" t="n">
        <x:f aca="0">1.5*J153</x:f>
        <x:v>0</x:v>
      </x:c>
      <x:c r="Z153" s="12" t="s">
        <x:v>44</x:v>
      </x:c>
      <x:c r="AA153" s="13" t="n">
        <x:f aca="0">0.9*K153</x:f>
        <x:v>225</x:v>
      </x:c>
      <x:c r="AB153" s="13" t="n">
        <x:f aca="0">1.3*K153</x:f>
        <x:v>325</x:v>
      </x:c>
      <x:c r="AC153" s="12" t="s">
        <x:v>44</x:v>
      </x:c>
      <x:c r="AD153" s="13" t="s">
        <x:v>45</x:v>
      </x:c>
      <x:c r="AE153" s="13" t="s">
        <x:v>46</x:v>
      </x:c>
      <x:c r="AF153" s="13" t="s">
        <x:v>47</x:v>
      </x:c>
      <x:c r="AG153" s="12" t="s">
        <x:v>48</x:v>
      </x:c>
    </x:row>
    <x:row r="154" ht="26.25" hidden="0" customHeight="1">
      <x:c r="A154" s="30" t="n">
        <x:v>254</x:v>
      </x:c>
      <x:c r="B154" s="9" t="n">
        <x:f aca="0">IF(ISNUMBER(A154),
    IF(AND(A154=INT(A154), MOD(A154, 10) = 0), 0,
        IF(AND(A154=INT(A154), LEN(A154)=2), 1,
            IF(AND(A154=INT(A154), LEN(A154)=3), 2,
                LEN(A154) - FIND(".", A154) + 2)
        )
    ),
"")</x:f>
        <x:v>2</x:v>
      </x:c>
      <x:c r="C154" s="37" t="s">
        <x:v>378</x:v>
      </x:c>
      <x:c r="D154" s="10" t="str">
        <x:f aca="0">REPT("   ", B154*2) &amp; C154</x:f>
        <x:v>            First Core Fuel Assembly Fabrication </x:v>
      </x:c>
      <x:c r="E154" s="10" t="s">
        <x:v>35</x:v>
      </x:c>
      <x:c r="F154" s="10" t="s">
        <x:v>379</x:v>
      </x:c>
      <x:c r="G154" s="18" t="s">
        <x:v>291</x:v>
      </x:c>
      <x:c r="H154" s="18"/>
      <x:c r="I154" s="18"/>
      <x:c r="J154" s="20"/>
      <x:c r="K154" s="20" t="n">
        <x:v>10000</x:v>
      </x:c>
      <x:c r="L154" s="23" t="s">
        <x:v>196</x:v>
      </x:c>
      <x:c r="M154" s="26" t="s">
        <x:v>383</x:v>
      </x:c>
      <x:c r="N154" s="23"/>
      <x:c r="O154" s="23"/>
      <x:c r="P154" s="23"/>
      <x:c r="Q154" s="20" t="n">
        <x:v>2009</x:v>
      </x:c>
      <x:c r="R154" s="23" t="s">
        <x:v>229</x:v>
      </x:c>
      <x:c r="S154" s="50"/>
      <x:c r="T154" s="50"/>
      <x:c r="U154" s="23"/>
      <x:c r="V154" s="23"/>
      <x:c r="W154" s="12" t="s">
        <x:v>167</x:v>
      </x:c>
      <x:c r="X154" s="24" t="n">
        <x:f aca="0">0.9*$J154</x:f>
        <x:v>0</x:v>
      </x:c>
      <x:c r="Y154" s="24" t="n">
        <x:f aca="0">1.5*J154</x:f>
        <x:v>0</x:v>
      </x:c>
      <x:c r="Z154" s="12" t="s">
        <x:v>44</x:v>
      </x:c>
      <x:c r="AA154" s="13" t="n">
        <x:f aca="0">0.9*K154</x:f>
        <x:v>9000</x:v>
      </x:c>
      <x:c r="AB154" s="13" t="n">
        <x:f aca="0">1.3*K154</x:f>
        <x:v>13000</x:v>
      </x:c>
      <x:c r="AC154" s="12" t="s">
        <x:v>44</x:v>
      </x:c>
      <x:c r="AD154" s="13" t="s">
        <x:v>45</x:v>
      </x:c>
      <x:c r="AE154" s="13" t="s">
        <x:v>46</x:v>
      </x:c>
      <x:c r="AF154" s="13" t="s">
        <x:v>47</x:v>
      </x:c>
      <x:c r="AG154" s="12" t="s">
        <x:v>48</x:v>
      </x:c>
    </x:row>
    <x:row r="155" ht="53.25" hidden="0" customHeight="1">
      <x:c r="A155" s="6" t="n">
        <x:v>26</x:v>
      </x:c>
      <x:c r="B155" s="9" t="n">
        <x:f aca="0">IF(ISNUMBER(A155),
IF(AND(A155=INT(A155), MOD(A155, 10) = 0), 0,
IF(AND(A155=INT(A155), LEN(A155)=2), 1,
IF(AND(A155=INT(A155), LEN(A155)=3), 2,
LEN(A155) - FIND(".", A155) + 2)
)
),
"")</x:f>
        <x:v>1</x:v>
      </x:c>
      <x:c r="C155" s="37" t="s">
        <x:v>385</x:v>
      </x:c>
      <x:c r="D155" s="10" t="str">
        <x:f aca="0">REPT("   ", B155*2) &amp; C155</x:f>
        <x:v>      Miscellaneous Equipment (Cranes)</x:v>
      </x:c>
      <x:c r="E155" s="10" t="s">
        <x:v>35</x:v>
      </x:c>
      <x:c r="F155" s="10"/>
      <x:c r="G155" s="10"/>
      <x:c r="H155" s="10"/>
      <x:c r="I155" s="10"/>
      <x:c r="J155" s="17" t="n">
        <x:v>1000000</x:v>
      </x:c>
      <x:c r="K155" s="20"/>
      <x:c r="L155" s="23"/>
      <x:c r="M155" s="26"/>
      <x:c r="N155" s="23"/>
      <x:c r="O155" s="23"/>
      <x:c r="P155" s="23"/>
      <x:c r="Q155" s="20" t="n">
        <x:v>2021</x:v>
      </x:c>
      <x:c r="R155" s="23" t="s">
        <x:v>163</x:v>
      </x:c>
      <x:c r="S155" s="26" t="s">
        <x:v>386</x:v>
      </x:c>
      <x:c r="T155" s="26" t="s">
        <x:v>387</x:v>
      </x:c>
      <x:c r="U155" s="23"/>
      <x:c r="V155" s="23"/>
      <x:c r="W155" s="12" t="s">
        <x:v>167</x:v>
      </x:c>
      <x:c r="X155" s="24" t="n">
        <x:f aca="0">0.9*$J155</x:f>
        <x:v>900000</x:v>
      </x:c>
      <x:c r="Y155" s="24" t="n">
        <x:f aca="0">1.5*J155</x:f>
        <x:v>1500000</x:v>
      </x:c>
      <x:c r="Z155" s="12" t="s">
        <x:v>44</x:v>
      </x:c>
      <x:c r="AA155" s="13" t="n">
        <x:f aca="0">0.9*K155</x:f>
        <x:v>0</x:v>
      </x:c>
      <x:c r="AB155" s="13" t="n">
        <x:f aca="0">1.3*K155</x:f>
        <x:v>0</x:v>
      </x:c>
      <x:c r="AC155" s="12" t="s">
        <x:v>44</x:v>
      </x:c>
      <x:c r="AD155" s="13" t="s">
        <x:v>45</x:v>
      </x:c>
      <x:c r="AE155" s="13" t="s">
        <x:v>46</x:v>
      </x:c>
      <x:c r="AF155" s="13" t="s">
        <x:v>47</x:v>
      </x:c>
      <x:c r="AG155" s="12" t="s">
        <x:v>48</x:v>
      </x:c>
    </x:row>
    <x:row r="156" ht="26.25" hidden="0" customHeight="1">
      <x:c r="A156" s="4" t="n">
        <x:v>30</x:v>
      </x:c>
      <x:c r="B156" s="9" t="n">
        <x:f aca="0">IF(ISNUMBER(A156),
    IF(AND(A156=INT(A156), MOD(A156, 10) = 0), 0,
        IF(AND(A156=INT(A156), LEN(A156)=2), 1,
            IF(AND(A156=INT(A156), LEN(A156)=3), 2,
                LEN(A156) - FIND(".", A156) + 2)
        )
    ),
"")</x:f>
        <x:v>0</x:v>
      </x:c>
      <x:c r="C156" s="37" t="s">
        <x:v>388</x:v>
      </x:c>
      <x:c r="D156" s="10" t="str">
        <x:f aca="0">REPT("   ", B156*2) &amp; C156</x:f>
        <x:v>Capitalized Indirect Services Cost</x:v>
      </x:c>
      <x:c r="E156" s="10"/>
      <x:c r="F156" s="10"/>
      <x:c r="G156" s="10"/>
      <x:c r="H156" s="10"/>
      <x:c r="I156" s="10"/>
      <x:c r="J156" s="28"/>
      <x:c r="K156" s="27"/>
      <x:c r="L156" s="4"/>
      <x:c r="M156" s="4"/>
      <x:c r="N156" s="4"/>
      <x:c r="O156" s="4"/>
      <x:c r="P156" s="4"/>
      <x:c r="Q156" s="28"/>
      <x:c r="R156" s="4"/>
      <x:c r="S156" s="4"/>
      <x:c r="T156" s="4"/>
      <x:c r="U156" s="4"/>
      <x:c r="V156" s="4"/>
      <x:c r="W156" s="12"/>
      <x:c r="X156" s="24"/>
      <x:c r="Y156" s="24"/>
      <x:c r="Z156" s="12"/>
      <x:c r="AA156" s="13"/>
      <x:c r="AB156" s="13"/>
      <x:c r="AC156" s="12"/>
      <x:c r="AD156" s="13"/>
      <x:c r="AE156" s="13"/>
      <x:c r="AF156" s="13"/>
      <x:c r="AG156" s="12"/>
    </x:row>
    <x:row r="157" ht="51.75" hidden="0" customHeight="1">
      <x:c r="A157" s="4" t="n">
        <x:v>31</x:v>
      </x:c>
      <x:c r="B157" s="9" t="n">
        <x:v>1</x:v>
      </x:c>
      <x:c r="C157" s="37" t="s">
        <x:v>389</x:v>
      </x:c>
      <x:c r="D157" s="10" t="str">
        <x:f aca="0">REPT("   ", B157*2) &amp; C157</x:f>
        <x:v>      Factory &amp; field indirect costs</x:v>
      </x:c>
      <x:c r="E157" s="10"/>
      <x:c r="F157" s="10"/>
      <x:c r="G157" s="10"/>
      <x:c r="H157" s="10"/>
      <x:c r="I157" s="10"/>
      <x:c r="J157" s="28"/>
      <x:c r="K157" s="59"/>
      <x:c r="L157" s="23"/>
      <x:c r="M157" s="26"/>
      <x:c r="N157" s="4"/>
      <x:c r="O157" s="4"/>
      <x:c r="P157" s="4"/>
      <x:c r="Q157" s="20"/>
      <x:c r="R157" s="23"/>
      <x:c r="S157" s="4"/>
      <x:c r="T157" s="4"/>
      <x:c r="U157" s="4"/>
      <x:c r="V157" s="4"/>
      <x:c r="W157" s="12"/>
      <x:c r="X157" s="24"/>
      <x:c r="Y157" s="24"/>
      <x:c r="Z157" s="12"/>
      <x:c r="AA157" s="13"/>
      <x:c r="AB157" s="13"/>
      <x:c r="AC157" s="12"/>
      <x:c r="AD157" s="13"/>
      <x:c r="AE157" s="13"/>
      <x:c r="AF157" s="13"/>
      <x:c r="AG157" s="12"/>
    </x:row>
    <x:row r="158" ht="26.25" hidden="0" customHeight="1">
      <x:c r="A158" s="4" t="n">
        <x:v>32</x:v>
      </x:c>
      <x:c r="B158" s="9" t="n">
        <x:v>1</x:v>
      </x:c>
      <x:c r="C158" s="37" t="s">
        <x:v>390</x:v>
      </x:c>
      <x:c r="D158" s="10" t="str">
        <x:f aca="0">REPT("   ", B158*2) &amp; C158</x:f>
        <x:v>      Factory and construction supervision</x:v>
      </x:c>
      <x:c r="E158" s="10"/>
      <x:c r="F158" s="10"/>
      <x:c r="G158" s="10"/>
      <x:c r="H158" s="10"/>
      <x:c r="I158" s="10"/>
      <x:c r="J158" s="28"/>
      <x:c r="K158" s="27"/>
      <x:c r="L158" s="4"/>
      <x:c r="M158" s="4"/>
      <x:c r="N158" s="4"/>
      <x:c r="O158" s="4"/>
      <x:c r="P158" s="4"/>
      <x:c r="Q158" s="20"/>
      <x:c r="R158" s="23"/>
      <x:c r="S158" s="4"/>
      <x:c r="T158" s="4"/>
      <x:c r="U158" s="4"/>
      <x:c r="V158" s="4"/>
      <x:c r="W158" s="12"/>
      <x:c r="X158" s="24"/>
      <x:c r="Y158" s="24"/>
      <x:c r="Z158" s="12"/>
      <x:c r="AA158" s="13"/>
      <x:c r="AB158" s="13"/>
      <x:c r="AC158" s="12"/>
      <x:c r="AD158" s="13"/>
      <x:c r="AE158" s="13"/>
      <x:c r="AF158" s="13"/>
      <x:c r="AG158" s="12"/>
    </x:row>
    <x:row r="159" ht="26.25" hidden="0" customHeight="1">
      <x:c r="A159" s="6" t="n">
        <x:v>33</x:v>
      </x:c>
      <x:c r="B159" s="9" t="n">
        <x:f aca="0">IF(ISNUMBER(A159),
IF(AND(A159=INT(A159), MOD(A159, 10) = 0), 0,
IF(AND(A159=INT(A159), LEN(A159)=2), 1,
IF(AND(A159=INT(A159), LEN(A159)=3), 2,
LEN(A159) - FIND(".", A159) + 2)
)
),
"")</x:f>
        <x:v>1</x:v>
      </x:c>
      <x:c r="C159" s="37" t="s">
        <x:v>391</x:v>
      </x:c>
      <x:c r="D159" s="10" t="str">
        <x:f aca="0">REPT("   ", B159*2) &amp; C159</x:f>
        <x:v>      Startup Costs</x:v>
      </x:c>
      <x:c r="E159" s="10" t="s">
        <x:v>35</x:v>
      </x:c>
      <x:c r="F159" s="10"/>
      <x:c r="G159" s="10"/>
      <x:c r="H159" s="10"/>
      <x:c r="I159" s="10"/>
      <x:c r="J159" s="16" t="n">
        <x:f aca="0">MARVEL_Cost!C58</x:f>
        <x:v>2407166.4</x:v>
      </x:c>
      <x:c r="K159" s="17"/>
      <x:c r="L159" s="19"/>
      <x:c r="M159" s="29"/>
      <x:c r="N159" s="19"/>
      <x:c r="O159" s="19"/>
      <x:c r="P159" s="19"/>
      <x:c r="Q159" s="20" t="n">
        <x:v>2024</x:v>
      </x:c>
      <x:c r="R159" s="19" t="s">
        <x:v>73</x:v>
      </x:c>
      <x:c r="S159" s="4"/>
      <x:c r="T159" s="19"/>
      <x:c r="U159" s="19"/>
      <x:c r="V159" s="19"/>
      <x:c r="W159" s="12" t="s">
        <x:v>77</x:v>
      </x:c>
      <x:c r="X159" s="24" t="n">
        <x:f aca="0">0.9*$J159</x:f>
        <x:v>2166449.76</x:v>
      </x:c>
      <x:c r="Y159" s="24" t="n">
        <x:f aca="0">1.5*J159</x:f>
        <x:v>3610749.5999999996</x:v>
      </x:c>
      <x:c r="Z159" s="12" t="s">
        <x:v>44</x:v>
      </x:c>
      <x:c r="AA159" s="13" t="n">
        <x:f aca="0">0.9*K159</x:f>
        <x:v>0</x:v>
      </x:c>
      <x:c r="AB159" s="13" t="n">
        <x:f aca="0">1.3*K159</x:f>
        <x:v>0</x:v>
      </x:c>
      <x:c r="AC159" s="12" t="s">
        <x:v>44</x:v>
      </x:c>
      <x:c r="AD159" s="13" t="s">
        <x:v>45</x:v>
      </x:c>
      <x:c r="AE159" s="13" t="s">
        <x:v>46</x:v>
      </x:c>
      <x:c r="AF159" s="13" t="s">
        <x:v>47</x:v>
      </x:c>
      <x:c r="AG159" s="12" t="s">
        <x:v>48</x:v>
      </x:c>
    </x:row>
    <x:row r="160" ht="53.25" hidden="0" customHeight="1">
      <x:c r="A160" s="6" t="n">
        <x:v>34</x:v>
      </x:c>
      <x:c r="B160" s="9" t="n">
        <x:f aca="0">IF(ISNUMBER(A160),
IF(AND(A160=INT(A160), MOD(A160, 10) = 0), 0,
IF(AND(A160=INT(A160), LEN(A160)=2), 1,
IF(AND(A160=INT(A160), LEN(A160)=3), 2,
LEN(A160) - FIND(".", A160) + 2)
)
),
"")</x:f>
        <x:v>1</x:v>
      </x:c>
      <x:c r="C160" s="37" t="s">
        <x:v>392</x:v>
      </x:c>
      <x:c r="D160" s="10" t="str">
        <x:f aca="0">REPT("   ", B160*2) &amp; C160</x:f>
        <x:v>      Shipping and Transportation Costs</x:v>
      </x:c>
      <x:c r="E160" s="10" t="s">
        <x:v>35</x:v>
      </x:c>
      <x:c r="F160" s="10"/>
      <x:c r="G160" s="10"/>
      <x:c r="H160" s="10"/>
      <x:c r="I160" s="10"/>
      <x:c r="J160" s="16" t="n">
        <x:f aca="0">0.5*MARVEL_Cost!C62</x:f>
        <x:v>832641.4</x:v>
      </x:c>
      <x:c r="K160" s="17"/>
      <x:c r="L160" s="19"/>
      <x:c r="M160" s="29"/>
      <x:c r="N160" s="19"/>
      <x:c r="O160" s="19"/>
      <x:c r="P160" s="19"/>
      <x:c r="Q160" s="20" t="n">
        <x:v>2024</x:v>
      </x:c>
      <x:c r="R160" s="19" t="s">
        <x:v>73</x:v>
      </x:c>
      <x:c r="S160" s="49"/>
      <x:c r="T160" s="19"/>
      <x:c r="U160" s="19"/>
      <x:c r="V160" s="19"/>
      <x:c r="W160" s="12" t="s">
        <x:v>77</x:v>
      </x:c>
      <x:c r="X160" s="24" t="n">
        <x:f aca="0">0.9*$J160</x:f>
        <x:v>749377.26</x:v>
      </x:c>
      <x:c r="Y160" s="24" t="n">
        <x:f aca="0">1.5*J160</x:f>
        <x:v>1248962.1</x:v>
      </x:c>
      <x:c r="Z160" s="12" t="s">
        <x:v>44</x:v>
      </x:c>
      <x:c r="AA160" s="13" t="n">
        <x:f aca="0">0.9*K160</x:f>
        <x:v>0</x:v>
      </x:c>
      <x:c r="AB160" s="13" t="n">
        <x:f aca="0">1.3*K160</x:f>
        <x:v>0</x:v>
      </x:c>
      <x:c r="AC160" s="12" t="s">
        <x:v>44</x:v>
      </x:c>
      <x:c r="AD160" s="13" t="s">
        <x:v>45</x:v>
      </x:c>
      <x:c r="AE160" s="13" t="s">
        <x:v>46</x:v>
      </x:c>
      <x:c r="AF160" s="13" t="s">
        <x:v>47</x:v>
      </x:c>
      <x:c r="AG160" s="12" t="s">
        <x:v>48</x:v>
      </x:c>
    </x:row>
    <x:row r="161" ht="26.25" hidden="0" customHeight="1">
      <x:c r="A161" s="6" t="n">
        <x:v>35</x:v>
      </x:c>
      <x:c r="B161" s="9" t="n">
        <x:f aca="0">IF(ISNUMBER(A161),
IF(AND(A161=INT(A161), MOD(A161, 10) = 0), 0,
IF(AND(A161=INT(A161), LEN(A161)=2), 1,
IF(AND(A161=INT(A161), LEN(A161)=3), 2,
LEN(A161) - FIND(".", A161) + 2)
)
),
"")</x:f>
        <x:v>1</x:v>
      </x:c>
      <x:c r="C161" s="37" t="s">
        <x:v>393</x:v>
      </x:c>
      <x:c r="D161" s="10" t="str">
        <x:f aca="0">REPT("   ", B161*2) &amp; C161</x:f>
        <x:v>      Engineering Services</x:v>
      </x:c>
      <x:c r="E161" s="10" t="s">
        <x:v>35</x:v>
      </x:c>
      <x:c r="F161" s="10"/>
      <x:c r="G161" s="10"/>
      <x:c r="H161" s="10"/>
      <x:c r="I161" s="10"/>
      <x:c r="J161" s="16" t="n">
        <x:f aca="0">MARVEL_Cost!C65</x:f>
        <x:v>620313.587737832</x:v>
      </x:c>
      <x:c r="K161" s="17"/>
      <x:c r="L161" s="23"/>
      <x:c r="M161" s="26"/>
      <x:c r="N161" s="23"/>
      <x:c r="O161" s="23"/>
      <x:c r="P161" s="23"/>
      <x:c r="Q161" s="20" t="n">
        <x:v>2024</x:v>
      </x:c>
      <x:c r="R161" s="23" t="s">
        <x:v>53</x:v>
      </x:c>
      <x:c r="S161" s="49"/>
      <x:c r="T161" s="23"/>
      <x:c r="U161" s="23"/>
      <x:c r="V161" s="23"/>
      <x:c r="W161" s="12" t="s">
        <x:v>77</x:v>
      </x:c>
      <x:c r="X161" s="24" t="n">
        <x:f aca="0">0.9*$J161</x:f>
        <x:v>558282.2289640488</x:v>
      </x:c>
      <x:c r="Y161" s="24" t="n">
        <x:f aca="0">1.5*J161</x:f>
        <x:v>930470.381606748</x:v>
      </x:c>
      <x:c r="Z161" s="12" t="s">
        <x:v>44</x:v>
      </x:c>
      <x:c r="AA161" s="13" t="n">
        <x:f aca="0">0.9*K161</x:f>
        <x:v>0</x:v>
      </x:c>
      <x:c r="AB161" s="13" t="n">
        <x:f aca="0">1.3*K161</x:f>
        <x:v>0</x:v>
      </x:c>
      <x:c r="AC161" s="12" t="s">
        <x:v>44</x:v>
      </x:c>
      <x:c r="AD161" s="13" t="s">
        <x:v>45</x:v>
      </x:c>
      <x:c r="AE161" s="13" t="s">
        <x:v>46</x:v>
      </x:c>
      <x:c r="AF161" s="13" t="s">
        <x:v>47</x:v>
      </x:c>
      <x:c r="AG161" s="12" t="s">
        <x:v>48</x:v>
      </x:c>
    </x:row>
    <x:row r="162" ht="26.25" hidden="0" customHeight="1">
      <x:c r="A162" s="6" t="n">
        <x:v>36</x:v>
      </x:c>
      <x:c r="B162" s="9" t="n">
        <x:f aca="0">IF(ISNUMBER(A162),
IF(AND(A162=INT(A162), MOD(A162, 10) = 0), 0,
IF(AND(A162=INT(A162), LEN(A162)=2), 1,
IF(AND(A162=INT(A162), LEN(A162)=3), 2,
LEN(A162) - FIND(".", A162) + 2)
)
),
"")</x:f>
        <x:v>1</x:v>
      </x:c>
      <x:c r="C162" s="37" t="s">
        <x:v>394</x:v>
      </x:c>
      <x:c r="D162" s="10" t="str">
        <x:f aca="0">REPT("   ", B162*2) &amp; C162</x:f>
        <x:v>      PM/CM Services</x:v>
      </x:c>
      <x:c r="E162" s="10" t="s">
        <x:v>35</x:v>
      </x:c>
      <x:c r="F162" s="10"/>
      <x:c r="G162" s="10"/>
      <x:c r="H162" s="10"/>
      <x:c r="I162" s="10"/>
      <x:c r="J162" s="16" t="n">
        <x:f aca="0">MARVEL_Cost!C68</x:f>
        <x:v>416958.936</x:v>
      </x:c>
      <x:c r="K162" s="17"/>
      <x:c r="L162" s="23"/>
      <x:c r="M162" s="26"/>
      <x:c r="N162" s="23"/>
      <x:c r="O162" s="23"/>
      <x:c r="P162" s="23"/>
      <x:c r="Q162" s="20" t="n">
        <x:v>2024</x:v>
      </x:c>
      <x:c r="R162" s="23" t="s">
        <x:v>53</x:v>
      </x:c>
      <x:c r="S162" s="50"/>
      <x:c r="T162" s="23"/>
      <x:c r="U162" s="23"/>
      <x:c r="V162" s="23"/>
      <x:c r="W162" s="12" t="s">
        <x:v>77</x:v>
      </x:c>
      <x:c r="X162" s="24" t="n">
        <x:f aca="0">0.9*$J162</x:f>
        <x:v>375263.0424</x:v>
      </x:c>
      <x:c r="Y162" s="24" t="n">
        <x:f aca="0">1.5*J162</x:f>
        <x:v>625438.404</x:v>
      </x:c>
      <x:c r="Z162" s="12" t="s">
        <x:v>44</x:v>
      </x:c>
      <x:c r="AA162" s="13" t="n">
        <x:f aca="0">0.9*K162</x:f>
        <x:v>0</x:v>
      </x:c>
      <x:c r="AB162" s="13" t="n">
        <x:f aca="0">1.3*K162</x:f>
        <x:v>0</x:v>
      </x:c>
      <x:c r="AC162" s="12" t="s">
        <x:v>44</x:v>
      </x:c>
      <x:c r="AD162" s="13" t="s">
        <x:v>45</x:v>
      </x:c>
      <x:c r="AE162" s="13" t="s">
        <x:v>46</x:v>
      </x:c>
      <x:c r="AF162" s="13" t="s">
        <x:v>47</x:v>
      </x:c>
      <x:c r="AG162" s="12" t="s">
        <x:v>48</x:v>
      </x:c>
    </x:row>
    <x:row r="163" ht="26.25" hidden="0" customHeight="1">
      <x:c r="A163" s="6" t="n">
        <x:v>40</x:v>
      </x:c>
      <x:c r="B163" s="9" t="n">
        <x:f aca="0">IF(ISNUMBER(A163),
IF(AND(A163=INT(A163), MOD(A163, 10) = 0), 0,
IF(AND(A163=INT(A163), LEN(A163)=2), 1,
IF(AND(A163=INT(A163), LEN(A163)=3), 2,
LEN(A163) - FIND(".", A163) + 2)
)
),
"")</x:f>
        <x:v>0</x:v>
      </x:c>
      <x:c r="C163" s="37" t="s">
        <x:v>395</x:v>
      </x:c>
      <x:c r="D163" s="10" t="str">
        <x:f aca="0">REPT("   ", B163*2) &amp; C163</x:f>
        <x:v>Capitalized training costs</x:v>
      </x:c>
      <x:c r="E163" s="10"/>
      <x:c r="F163" s="10"/>
      <x:c r="G163" s="10"/>
      <x:c r="H163" s="10"/>
      <x:c r="I163" s="10"/>
      <x:c r="J163" s="16"/>
      <x:c r="K163" s="17"/>
      <x:c r="L163" s="23"/>
      <x:c r="M163" s="26"/>
      <x:c r="N163" s="23"/>
      <x:c r="O163" s="23"/>
      <x:c r="P163" s="23"/>
      <x:c r="Q163" s="20"/>
      <x:c r="R163" s="23"/>
      <x:c r="S163" s="4"/>
      <x:c r="T163" s="23"/>
      <x:c r="U163" s="23"/>
      <x:c r="V163" s="23"/>
      <x:c r="W163" s="12"/>
      <x:c r="X163" s="24"/>
      <x:c r="Y163" s="24"/>
      <x:c r="Z163" s="12"/>
      <x:c r="AA163" s="13"/>
      <x:c r="AB163" s="13"/>
      <x:c r="AC163" s="12"/>
      <x:c r="AD163" s="13"/>
      <x:c r="AE163" s="13"/>
      <x:c r="AF163" s="13"/>
      <x:c r="AG163" s="12"/>
    </x:row>
    <x:row r="164" ht="26.25" hidden="0" customHeight="1">
      <x:c r="A164" s="6" t="n">
        <x:v>41</x:v>
      </x:c>
      <x:c r="B164" s="9" t="n">
        <x:f aca="0">IF(ISNUMBER(A164),
IF(AND(A164=INT(A164), MOD(A164, 10) = 0), 0,
IF(AND(A164=INT(A164), LEN(A164)=2), 1,
IF(AND(A164=INT(A164), LEN(A164)=3), 2,
LEN(A164) - FIND(".", A164) + 2)
)
),
"")</x:f>
        <x:v>1</x:v>
      </x:c>
      <x:c r="C164" s="37" t="s">
        <x:v>396</x:v>
      </x:c>
      <x:c r="D164" s="10" t="str">
        <x:f aca="0">REPT("   ", B164*2) &amp; C164</x:f>
        <x:v>      staff recruitment and training</x:v>
      </x:c>
      <x:c r="E164" s="10" t="s">
        <x:v>35</x:v>
      </x:c>
      <x:c r="F164" s="10"/>
      <x:c r="G164" s="10"/>
      <x:c r="H164" s="10"/>
      <x:c r="I164" s="10"/>
      <x:c r="J164" s="16" t="n">
        <x:v>300000</x:v>
      </x:c>
      <x:c r="K164" s="17"/>
      <x:c r="L164" s="23"/>
      <x:c r="M164" s="26"/>
      <x:c r="N164" s="23"/>
      <x:c r="O164" s="23"/>
      <x:c r="P164" s="23"/>
      <x:c r="Q164" s="20" t="n">
        <x:v>2024</x:v>
      </x:c>
      <x:c r="R164" s="23" t="s">
        <x:v>53</x:v>
      </x:c>
      <x:c r="S164" s="15"/>
      <x:c r="T164" s="23" t="s">
        <x:v>397</x:v>
      </x:c>
      <x:c r="U164" s="23" t="s">
        <x:v>398</x:v>
      </x:c>
      <x:c r="V164" s="23"/>
      <x:c r="W164" s="12" t="s">
        <x:v>43</x:v>
      </x:c>
      <x:c r="X164" s="24" t="n">
        <x:f aca="0">0.9*$J164</x:f>
        <x:v>270000</x:v>
      </x:c>
      <x:c r="Y164" s="24" t="n">
        <x:f aca="0">1.5*J164</x:f>
        <x:v>450000</x:v>
      </x:c>
      <x:c r="Z164" s="12" t="s">
        <x:v>44</x:v>
      </x:c>
      <x:c r="AA164" s="13" t="n">
        <x:f aca="0">0.9*K164</x:f>
        <x:v>0</x:v>
      </x:c>
      <x:c r="AB164" s="13" t="n">
        <x:f aca="0">1.3*K164</x:f>
        <x:v>0</x:v>
      </x:c>
      <x:c r="AC164" s="12" t="s">
        <x:v>44</x:v>
      </x:c>
      <x:c r="AD164" s="13" t="s">
        <x:v>45</x:v>
      </x:c>
      <x:c r="AE164" s="13" t="s">
        <x:v>46</x:v>
      </x:c>
      <x:c r="AF164" s="13" t="s">
        <x:v>47</x:v>
      </x:c>
      <x:c r="AG164" s="12" t="s">
        <x:v>48</x:v>
      </x:c>
    </x:row>
    <x:row r="165" ht="26.25" hidden="0" customHeight="1">
      <x:c r="A165" s="4" t="n">
        <x:v>60</x:v>
      </x:c>
      <x:c r="B165" s="9" t="n">
        <x:f aca="0">IF(ISNUMBER(A165),
IF(AND(A165=INT(A165), MOD(A165, 10) = 0), 0,
IF(AND(A165=INT(A165), LEN(A165)=2), 1,
IF(AND(A165=INT(A165), LEN(A165)=3), 2,
LEN(A165) - FIND(".", A165) + 2)
)
),
"")</x:f>
        <x:v>0</x:v>
      </x:c>
      <x:c r="C165" s="37" t="s">
        <x:v>399</x:v>
      </x:c>
      <x:c r="D165" s="10" t="str">
        <x:f aca="0">REPT("   ", B165*2) &amp; C165</x:f>
        <x:v>Capitalized Financial Costs </x:v>
      </x:c>
      <x:c r="E165" s="10"/>
      <x:c r="F165" s="10"/>
      <x:c r="G165" s="10"/>
      <x:c r="H165" s="10"/>
      <x:c r="I165" s="10"/>
      <x:c r="J165" s="28"/>
      <x:c r="K165" s="27"/>
      <x:c r="L165" s="4"/>
      <x:c r="M165" s="4"/>
      <x:c r="N165" s="4"/>
      <x:c r="O165" s="4"/>
      <x:c r="P165" s="4"/>
      <x:c r="Q165" s="28"/>
      <x:c r="R165" s="4"/>
      <x:c r="S165" s="4"/>
      <x:c r="T165" s="4"/>
      <x:c r="U165" s="4"/>
      <x:c r="V165" s="4"/>
      <x:c r="W165" s="12"/>
      <x:c r="X165" s="24"/>
      <x:c r="Y165" s="24"/>
      <x:c r="Z165" s="12"/>
      <x:c r="AA165" s="13"/>
      <x:c r="AB165" s="13"/>
      <x:c r="AC165" s="12"/>
      <x:c r="AD165" s="13"/>
      <x:c r="AE165" s="13"/>
      <x:c r="AF165" s="13"/>
      <x:c r="AG165" s="12"/>
    </x:row>
    <x:row r="166" ht="26.25" hidden="0" customHeight="1">
      <x:c r="A166" s="6" t="n">
        <x:v>62</x:v>
      </x:c>
      <x:c r="B166" s="9" t="n">
        <x:f aca="0">IF(ISNUMBER(A166),
IF(AND(A166=INT(A166), MOD(A166, 10) = 0), 0,
IF(AND(A166=INT(A166), LEN(A166)=2), 1,
IF(AND(A166=INT(A166), LEN(A166)=3), 2,
LEN(A166) - FIND(".", A166) + 2)
)
),
"")</x:f>
        <x:v>1</x:v>
      </x:c>
      <x:c r="C166" s="37" t="s">
        <x:v>400</x:v>
      </x:c>
      <x:c r="D166" s="10" t="str">
        <x:f aca="0">REPT("   ", B166*2) &amp; C166</x:f>
        <x:v>      Interest</x:v>
      </x:c>
      <x:c r="E166" s="10"/>
      <x:c r="F166" s="10"/>
      <x:c r="G166" s="10"/>
      <x:c r="H166" s="10"/>
      <x:c r="I166" s="10"/>
      <x:c r="J166" s="16"/>
      <x:c r="K166" s="17"/>
      <x:c r="L166" s="23"/>
      <x:c r="M166" s="26"/>
      <x:c r="N166" s="23"/>
      <x:c r="O166" s="23"/>
      <x:c r="P166" s="23"/>
      <x:c r="Q166" s="20"/>
      <x:c r="R166" s="23"/>
      <x:c r="S166" s="26"/>
      <x:c r="T166" s="23"/>
      <x:c r="U166" s="23"/>
      <x:c r="V166" s="23"/>
      <x:c r="W166" s="12"/>
      <x:c r="X166" s="24"/>
      <x:c r="Y166" s="24"/>
      <x:c r="Z166" s="12"/>
      <x:c r="AA166" s="13"/>
      <x:c r="AB166" s="13"/>
      <x:c r="AC166" s="12"/>
      <x:c r="AD166" s="13"/>
      <x:c r="AE166" s="13"/>
      <x:c r="AF166" s="13"/>
      <x:c r="AG166" s="12"/>
    </x:row>
    <x:row r="167" ht="26.25" hidden="0" customHeight="1">
      <x:c r="A167" s="6" t="n">
        <x:v>70</x:v>
      </x:c>
      <x:c r="B167" s="9" t="n">
        <x:f aca="0">IF(ISNUMBER(A167),
IF(AND(A167=INT(A167), MOD(A167, 10) = 0), 0,
IF(AND(A167=INT(A167), LEN(A167)=2), 1,
IF(AND(A167=INT(A167), LEN(A167)=3), 2,
LEN(A167) - FIND(".", A167) + 2)
)
),
"")</x:f>
        <x:v>0</x:v>
      </x:c>
      <x:c r="C167" s="60" t="s">
        <x:v>401</x:v>
      </x:c>
      <x:c r="D167" s="10" t="str">
        <x:f aca="0">REPT("   ", B167*2) &amp; C167</x:f>
        <x:v>Annualized O&amp;M Cost </x:v>
      </x:c>
      <x:c r="E167" s="10"/>
      <x:c r="F167" s="10"/>
      <x:c r="G167" s="10"/>
      <x:c r="H167" s="10"/>
      <x:c r="I167" s="10"/>
      <x:c r="J167" s="11"/>
      <x:c r="K167" s="11"/>
      <x:c r="L167" s="9"/>
      <x:c r="M167" s="5"/>
      <x:c r="N167" s="9"/>
      <x:c r="O167" s="9"/>
      <x:c r="P167" s="9"/>
      <x:c r="Q167" s="11"/>
      <x:c r="R167" s="9"/>
      <x:c r="S167" s="5"/>
      <x:c r="T167" s="9"/>
      <x:c r="U167" s="9"/>
      <x:c r="V167" s="9"/>
      <x:c r="W167" s="12"/>
      <x:c r="X167" s="24"/>
      <x:c r="Y167" s="24"/>
      <x:c r="Z167" s="12"/>
      <x:c r="AA167" s="13"/>
      <x:c r="AB167" s="13"/>
      <x:c r="AC167" s="12"/>
      <x:c r="AD167" s="13"/>
      <x:c r="AE167" s="13"/>
      <x:c r="AF167" s="13"/>
      <x:c r="AG167" s="12"/>
    </x:row>
    <x:row r="168" ht="26.25" hidden="0" customHeight="1">
      <x:c r="A168" s="6" t="n">
        <x:v>71</x:v>
      </x:c>
      <x:c r="B168" s="9" t="n">
        <x:f aca="0">IF(ISNUMBER(A168),
IF(AND(A168=INT(A168), MOD(A168, 10) = 0), 0,
IF(AND(A168=INT(A168), LEN(A168)=2), 1,
IF(AND(A168=INT(A168), LEN(A168)=3), 2,
LEN(A168) - FIND(".", A168) + 2)
)
),
"")</x:f>
        <x:v>1</x:v>
      </x:c>
      <x:c r="C168" s="37" t="s">
        <x:v>402</x:v>
      </x:c>
      <x:c r="D168" s="10" t="str">
        <x:f aca="0">REPT("   ", B168*2) &amp; C168</x:f>
        <x:v>      O&amp;M Staff</x:v>
      </x:c>
      <x:c r="E168" s="10"/>
      <x:c r="F168" s="10"/>
      <x:c r="G168" s="10"/>
      <x:c r="H168" s="10"/>
      <x:c r="I168" s="10"/>
      <x:c r="J168" s="16"/>
      <x:c r="K168" s="17"/>
      <x:c r="L168" s="23"/>
      <x:c r="M168" s="26"/>
      <x:c r="N168" s="23"/>
      <x:c r="O168" s="23"/>
      <x:c r="P168" s="23"/>
      <x:c r="Q168" s="20"/>
      <x:c r="R168" s="23"/>
      <x:c r="S168" s="26"/>
      <x:c r="T168" s="23"/>
      <x:c r="U168" s="23"/>
      <x:c r="V168" s="23"/>
      <x:c r="W168" s="12"/>
      <x:c r="X168" s="24"/>
      <x:c r="Y168" s="24"/>
      <x:c r="Z168" s="12"/>
      <x:c r="AA168" s="13"/>
      <x:c r="AB168" s="13"/>
      <x:c r="AC168" s="12"/>
      <x:c r="AD168" s="13"/>
      <x:c r="AE168" s="13"/>
      <x:c r="AF168" s="13"/>
      <x:c r="AG168" s="12"/>
    </x:row>
    <x:row r="169" ht="126" hidden="0" customHeight="1">
      <x:c r="A169" s="30" t="n">
        <x:v>711</x:v>
      </x:c>
      <x:c r="B169" s="9" t="n">
        <x:f aca="0">IF(ISNUMBER(A169),
IF(AND(A169=INT(A169), MOD(A169, 10) = 0), 0,
IF(AND(A169=INT(A169), LEN(A169)=2), 1,
IF(AND(A169=INT(A169), LEN(A169)=3), 2,
LEN(A169) - FIND(".", A169) + 2)
)
),
"")</x:f>
        <x:v>2</x:v>
      </x:c>
      <x:c r="C169" s="37" t="s">
        <x:v>403</x:v>
      </x:c>
      <x:c r="D169" s="10" t="str">
        <x:f aca="0">REPT("   ", B169*2) &amp; C169</x:f>
        <x:v>            Operators </x:v>
      </x:c>
      <x:c r="E169" s="10" t="s">
        <x:v>290</x:v>
      </x:c>
      <x:c r="F169" s="10"/>
      <x:c r="G169" s="10"/>
      <x:c r="H169" s="10"/>
      <x:c r="I169" s="10"/>
      <x:c r="J169" s="16"/>
      <x:c r="K169" s="17" t="n">
        <x:v>178500</x:v>
      </x:c>
      <x:c r="L169" s="23" t="s">
        <x:v>404</x:v>
      </x:c>
      <x:c r="M169" s="26" t="s">
        <x:v>405</x:v>
      </x:c>
      <x:c r="N169" s="23"/>
      <x:c r="O169" s="23"/>
      <x:c r="P169" s="23" t="n">
        <x:v>1</x:v>
      </x:c>
      <x:c r="Q169" s="20" t="n">
        <x:v>2024</x:v>
      </x:c>
      <x:c r="R169" s="23" t="s">
        <x:v>53</x:v>
      </x:c>
      <x:c r="S169" s="26"/>
      <x:c r="T169" s="26" t="s">
        <x:v>406</x:v>
      </x:c>
      <x:c r="U169" s="23"/>
      <x:c r="V169" s="23"/>
      <x:c r="W169" s="12" t="s">
        <x:v>43</x:v>
      </x:c>
      <x:c r="X169" s="24" t="n">
        <x:f aca="0">0.9*$J169</x:f>
        <x:v>0</x:v>
      </x:c>
      <x:c r="Y169" s="24" t="n">
        <x:f aca="0">1.5*J169</x:f>
        <x:v>0</x:v>
      </x:c>
      <x:c r="Z169" s="12" t="s">
        <x:v>44</x:v>
      </x:c>
      <x:c r="AA169" s="13" t="n">
        <x:f aca="0">0.9*K169</x:f>
        <x:v>160650</x:v>
      </x:c>
      <x:c r="AB169" s="13" t="n">
        <x:f aca="0">1.3*K169</x:f>
        <x:v>232050</x:v>
      </x:c>
      <x:c r="AC169" s="12" t="s">
        <x:v>44</x:v>
      </x:c>
      <x:c r="AD169" s="13" t="s">
        <x:v>45</x:v>
      </x:c>
      <x:c r="AE169" s="13" t="s">
        <x:v>46</x:v>
      </x:c>
      <x:c r="AF169" s="13" t="s">
        <x:v>47</x:v>
      </x:c>
      <x:c r="AG169" s="12" t="s">
        <x:v>48</x:v>
      </x:c>
    </x:row>
    <x:row r="170" ht="53.25" hidden="0" customHeight="1">
      <x:c r="A170" s="30" t="n">
        <x:v>712</x:v>
      </x:c>
      <x:c r="B170" s="9" t="n">
        <x:f aca="0">IF(ISNUMBER(A170),
IF(AND(A170=INT(A170), MOD(A170, 10) = 0), 0,
IF(AND(A170=INT(A170), LEN(A170)=2), 1,
IF(AND(A170=INT(A170), LEN(A170)=3), 2,
LEN(A170) - FIND(".", A170) + 2)
)
),
"")</x:f>
        <x:v>2</x:v>
      </x:c>
      <x:c r="C170" s="37" t="s">
        <x:v>407</x:v>
      </x:c>
      <x:c r="D170" s="10" t="str">
        <x:f aca="0">REPT("   ", B170*2) &amp; C170</x:f>
        <x:v>            Remote Monitoring Technicians </x:v>
      </x:c>
      <x:c r="E170" s="10" t="s">
        <x:v>290</x:v>
      </x:c>
      <x:c r="F170" s="10" t="s">
        <x:v>408</x:v>
      </x:c>
      <x:c r="G170" s="10" t="s">
        <x:v>409</x:v>
      </x:c>
      <x:c r="H170" s="10"/>
      <x:c r="I170" s="10"/>
      <x:c r="J170" s="16"/>
      <x:c r="K170" s="17" t="n">
        <x:v>178500</x:v>
      </x:c>
      <x:c r="L170" s="23" t="s">
        <x:v>404</x:v>
      </x:c>
      <x:c r="M170" s="26" t="s">
        <x:v>410</x:v>
      </x:c>
      <x:c r="N170" s="23"/>
      <x:c r="O170" s="23"/>
      <x:c r="P170" s="23" t="n">
        <x:v>1</x:v>
      </x:c>
      <x:c r="Q170" s="20" t="n">
        <x:v>2024</x:v>
      </x:c>
      <x:c r="R170" s="23" t="s">
        <x:v>53</x:v>
      </x:c>
      <x:c r="S170" s="26"/>
      <x:c r="T170" s="26" t="s">
        <x:v>406</x:v>
      </x:c>
      <x:c r="U170" s="23"/>
      <x:c r="V170" s="23"/>
      <x:c r="W170" s="12" t="s">
        <x:v>43</x:v>
      </x:c>
      <x:c r="X170" s="24" t="n">
        <x:f aca="0">0.9*$J170</x:f>
        <x:v>0</x:v>
      </x:c>
      <x:c r="Y170" s="24" t="n">
        <x:f aca="0">1.5*J170</x:f>
        <x:v>0</x:v>
      </x:c>
      <x:c r="Z170" s="12" t="s">
        <x:v>44</x:v>
      </x:c>
      <x:c r="AA170" s="13" t="n">
        <x:f aca="0">0.9*K170</x:f>
        <x:v>160650</x:v>
      </x:c>
      <x:c r="AB170" s="13" t="n">
        <x:f aca="0">1.3*K170</x:f>
        <x:v>232050</x:v>
      </x:c>
      <x:c r="AC170" s="12" t="s">
        <x:v>44</x:v>
      </x:c>
      <x:c r="AD170" s="13" t="s">
        <x:v>45</x:v>
      </x:c>
      <x:c r="AE170" s="13" t="s">
        <x:v>46</x:v>
      </x:c>
      <x:c r="AF170" s="13" t="s">
        <x:v>47</x:v>
      </x:c>
      <x:c r="AG170" s="12" t="s">
        <x:v>48</x:v>
      </x:c>
    </x:row>
    <x:row r="171" ht="150.75" hidden="0" customHeight="1">
      <x:c r="A171" s="30" t="n">
        <x:v>713</x:v>
      </x:c>
      <x:c r="B171" s="9" t="n">
        <x:f aca="0">IF(ISNUMBER(A171),
IF(AND(A171=INT(A171), MOD(A171, 10) = 0), 0,
IF(AND(A171=INT(A171), LEN(A171)=2), 1,
IF(AND(A171=INT(A171), LEN(A171)=3), 2,
LEN(A171) - FIND(".", A171) + 2)
)
),
"")</x:f>
        <x:v>2</x:v>
      </x:c>
      <x:c r="C171" s="37" t="s">
        <x:v>411</x:v>
      </x:c>
      <x:c r="D171" s="10" t="str">
        <x:f aca="0">REPT("   ", B171*2) &amp; C171</x:f>
        <x:v>            Security Staff </x:v>
      </x:c>
      <x:c r="E171" s="10" t="s">
        <x:v>290</x:v>
      </x:c>
      <x:c r="F171" s="10"/>
      <x:c r="G171" s="10"/>
      <x:c r="H171" s="10"/>
      <x:c r="I171" s="10"/>
      <x:c r="J171" s="16"/>
      <x:c r="K171" s="17" t="n">
        <x:v>178500</x:v>
      </x:c>
      <x:c r="L171" s="23" t="s">
        <x:v>404</x:v>
      </x:c>
      <x:c r="M171" s="26" t="s">
        <x:v>412</x:v>
      </x:c>
      <x:c r="N171" s="23"/>
      <x:c r="O171" s="23"/>
      <x:c r="P171" s="23" t="n">
        <x:v>1</x:v>
      </x:c>
      <x:c r="Q171" s="20" t="n">
        <x:v>2024</x:v>
      </x:c>
      <x:c r="R171" s="23" t="s">
        <x:v>53</x:v>
      </x:c>
      <x:c r="S171" s="26"/>
      <x:c r="T171" s="26" t="s">
        <x:v>406</x:v>
      </x:c>
      <x:c r="U171" s="23"/>
      <x:c r="V171" s="23"/>
      <x:c r="W171" s="12" t="s">
        <x:v>43</x:v>
      </x:c>
      <x:c r="X171" s="24" t="n">
        <x:f aca="0">0.9*$J171</x:f>
        <x:v>0</x:v>
      </x:c>
      <x:c r="Y171" s="24" t="n">
        <x:f aca="0">1.5*J171</x:f>
        <x:v>0</x:v>
      </x:c>
      <x:c r="Z171" s="12" t="s">
        <x:v>44</x:v>
      </x:c>
      <x:c r="AA171" s="13" t="n">
        <x:f aca="0">0.9*K171</x:f>
        <x:v>160650</x:v>
      </x:c>
      <x:c r="AB171" s="13" t="n">
        <x:f aca="0">1.3*K171</x:f>
        <x:v>232050</x:v>
      </x:c>
      <x:c r="AC171" s="12" t="s">
        <x:v>44</x:v>
      </x:c>
      <x:c r="AD171" s="13" t="s">
        <x:v>45</x:v>
      </x:c>
      <x:c r="AE171" s="13" t="s">
        <x:v>46</x:v>
      </x:c>
      <x:c r="AF171" s="13" t="s">
        <x:v>47</x:v>
      </x:c>
      <x:c r="AG171" s="12" t="s">
        <x:v>48</x:v>
      </x:c>
    </x:row>
    <x:row r="172" ht="26.25" hidden="0" customHeight="1">
      <x:c r="A172" s="6" t="n">
        <x:v>72</x:v>
      </x:c>
      <x:c r="B172" s="9" t="n">
        <x:f aca="0">IF(ISNUMBER(A172),
IF(AND(A172=INT(A172), MOD(A172, 10) = 0), 0,
IF(AND(A172=INT(A172), LEN(A172)=2), 1,
IF(AND(A172=INT(A172), LEN(A172)=3), 2,
LEN(A172) - FIND(".", A172) + 2)
)
),
"")</x:f>
        <x:v>1</x:v>
      </x:c>
      <x:c r="C172" s="37" t="s">
        <x:v>413</x:v>
      </x:c>
      <x:c r="D172" s="10" t="str">
        <x:f aca="0">REPT("   ", B172*2) &amp; C172</x:f>
        <x:v>      Variable Non-Fuel Costs</x:v>
      </x:c>
      <x:c r="E172" s="10"/>
      <x:c r="F172" s="10"/>
      <x:c r="G172" s="10"/>
      <x:c r="H172" s="10"/>
      <x:c r="I172" s="10"/>
      <x:c r="J172" s="16"/>
      <x:c r="K172" s="17"/>
      <x:c r="L172" s="23"/>
      <x:c r="M172" s="26"/>
      <x:c r="N172" s="23"/>
      <x:c r="O172" s="23"/>
      <x:c r="P172" s="23"/>
      <x:c r="Q172" s="20"/>
      <x:c r="R172" s="23"/>
      <x:c r="S172" s="26"/>
      <x:c r="T172" s="26"/>
      <x:c r="U172" s="23"/>
      <x:c r="V172" s="23"/>
      <x:c r="W172" s="12"/>
      <x:c r="X172" s="24"/>
      <x:c r="Y172" s="24"/>
      <x:c r="Z172" s="12"/>
      <x:c r="AA172" s="13"/>
      <x:c r="AB172" s="13"/>
      <x:c r="AC172" s="12"/>
      <x:c r="AD172" s="13"/>
      <x:c r="AE172" s="13"/>
      <x:c r="AF172" s="13"/>
      <x:c r="AG172" s="12"/>
    </x:row>
    <x:row r="173" ht="101.25" hidden="0" customHeight="1">
      <x:c r="A173" s="6" t="n">
        <x:v>721</x:v>
      </x:c>
      <x:c r="B173" s="9" t="n">
        <x:f aca="0">IF(ISNUMBER(A173),
IF(AND(A173=INT(A173), MOD(A173, 10) = 0), 0,
IF(AND(A173=INT(A173), LEN(A173)=2), 1,
IF(AND(A173=INT(A173), LEN(A173)=3), 2,
LEN(A173) - FIND(".", A173) + 2)
)
),
"")</x:f>
        <x:v>2</x:v>
      </x:c>
      <x:c r="C173" s="37" t="s">
        <x:v>324</x:v>
      </x:c>
      <x:c r="D173" s="10" t="str">
        <x:f aca="0">REPT("   ", B173*2) &amp; C173</x:f>
        <x:v>            Coolant</x:v>
      </x:c>
      <x:c r="E173" s="10" t="s">
        <x:v>290</x:v>
      </x:c>
      <x:c r="F173" s="10" t="s">
        <x:v>324</x:v>
      </x:c>
      <x:c r="G173" s="10" t="s">
        <x:v>325</x:v>
      </x:c>
      <x:c r="H173" s="10"/>
      <x:c r="I173" s="10"/>
      <x:c r="J173" s="16"/>
      <x:c r="K173" s="17" t="n">
        <x:v>170</x:v>
      </x:c>
      <x:c r="L173" s="23" t="s">
        <x:v>196</x:v>
      </x:c>
      <x:c r="M173" s="26" t="s">
        <x:v>414</x:v>
      </x:c>
      <x:c r="N173" s="23"/>
      <x:c r="O173" s="23" t="s">
        <x:v>198</x:v>
      </x:c>
      <x:c r="P173" s="23"/>
      <x:c r="Q173" s="20" t="n">
        <x:v>2024</x:v>
      </x:c>
      <x:c r="R173" s="23" t="s">
        <x:v>229</x:v>
      </x:c>
      <x:c r="S173" s="26" t="s">
        <x:v>327</x:v>
      </x:c>
      <x:c r="T173" s="43" t="s">
        <x:v>327</x:v>
      </x:c>
      <x:c r="U173" s="56" t="s">
        <x:v>328</x:v>
      </x:c>
      <x:c r="V173" s="23" t="s">
        <x:v>329</x:v>
      </x:c>
      <x:c r="W173" s="12" t="s">
        <x:v>43</x:v>
      </x:c>
      <x:c r="X173" s="24" t="n">
        <x:f aca="0">0.9*$J173</x:f>
        <x:v>0</x:v>
      </x:c>
      <x:c r="Y173" s="24" t="n">
        <x:f aca="0">1.5*J173</x:f>
        <x:v>0</x:v>
      </x:c>
      <x:c r="Z173" s="12" t="s">
        <x:v>44</x:v>
      </x:c>
      <x:c r="AA173" s="13" t="n">
        <x:f aca="0">0.9*K173</x:f>
        <x:v>153</x:v>
      </x:c>
      <x:c r="AB173" s="13" t="n">
        <x:f aca="0">1.3*K173</x:f>
        <x:v>221</x:v>
      </x:c>
      <x:c r="AC173" s="12" t="s">
        <x:v>44</x:v>
      </x:c>
      <x:c r="AD173" s="13" t="s">
        <x:v>45</x:v>
      </x:c>
      <x:c r="AE173" s="13" t="s">
        <x:v>46</x:v>
      </x:c>
      <x:c r="AF173" s="13" t="s">
        <x:v>47</x:v>
      </x:c>
      <x:c r="AG173" s="12" t="s">
        <x:v>48</x:v>
      </x:c>
    </x:row>
    <x:row r="174" ht="51.75" hidden="0" customHeight="1">
      <x:c r="A174" s="6" t="n">
        <x:v>721</x:v>
      </x:c>
      <x:c r="B174" s="9" t="n">
        <x:f aca="0">IF(ISNUMBER(A174),
    IF(AND(A174=INT(A174), MOD(A174, 10) = 0), 0,
        IF(AND(A174=INT(A174), LEN(A174)=2), 1,
            IF(AND(A174=INT(A174), LEN(A174)=3), 2,
                LEN(A174) - FIND(".", A174) + 2)
        )
    ),
"")</x:f>
        <x:v>2</x:v>
      </x:c>
      <x:c r="C174" s="37" t="s">
        <x:v>324</x:v>
      </x:c>
      <x:c r="D174" s="10" t="str">
        <x:f aca="0">REPT("   ", B174*2) &amp; C174</x:f>
        <x:v>            Coolant</x:v>
      </x:c>
      <x:c r="E174" s="10" t="s">
        <x:v>290</x:v>
      </x:c>
      <x:c r="F174" s="10" t="s">
        <x:v>324</x:v>
      </x:c>
      <x:c r="G174" s="10" t="s">
        <x:v>330</x:v>
      </x:c>
      <x:c r="H174" s="10"/>
      <x:c r="I174" s="10"/>
      <x:c r="J174" s="16"/>
      <x:c r="K174" s="17" t="n">
        <x:v>118</x:v>
      </x:c>
      <x:c r="L174" s="23" t="s">
        <x:v>196</x:v>
      </x:c>
      <x:c r="M174" s="26" t="s">
        <x:v>414</x:v>
      </x:c>
      <x:c r="N174" s="23"/>
      <x:c r="O174" s="23" t="s">
        <x:v>198</x:v>
      </x:c>
      <x:c r="P174" s="23"/>
      <x:c r="Q174" s="20" t="n">
        <x:v>2023</x:v>
      </x:c>
      <x:c r="R174" s="23" t="s">
        <x:v>229</x:v>
      </x:c>
      <x:c r="S174" s="58" t="s">
        <x:v>415</x:v>
      </x:c>
      <x:c r="T174" s="61"/>
      <x:c r="U174" s="56"/>
      <x:c r="V174" s="62" t="s">
        <x:v>416</x:v>
      </x:c>
      <x:c r="W174" s="12" t="s">
        <x:v>43</x:v>
      </x:c>
      <x:c r="X174" s="24" t="n">
        <x:f aca="0">0.9*$J174</x:f>
        <x:v>0</x:v>
      </x:c>
      <x:c r="Y174" s="24" t="n">
        <x:f aca="0">1.5*J174</x:f>
        <x:v>0</x:v>
      </x:c>
      <x:c r="Z174" s="12" t="s">
        <x:v>44</x:v>
      </x:c>
      <x:c r="AA174" s="13" t="n">
        <x:f aca="0">0.9*K174</x:f>
        <x:v>106.2</x:v>
      </x:c>
      <x:c r="AB174" s="13" t="n">
        <x:f aca="0">1.3*K174</x:f>
        <x:v>153.4</x:v>
      </x:c>
      <x:c r="AC174" s="12" t="s">
        <x:v>44</x:v>
      </x:c>
      <x:c r="AD174" s="13" t="s">
        <x:v>45</x:v>
      </x:c>
      <x:c r="AE174" s="13" t="s">
        <x:v>46</x:v>
      </x:c>
      <x:c r="AF174" s="13" t="s">
        <x:v>47</x:v>
      </x:c>
      <x:c r="AG174" s="12" t="s">
        <x:v>48</x:v>
      </x:c>
    </x:row>
    <x:row r="175" ht="275.25" hidden="0" customHeight="1">
      <x:c r="A175" s="6" t="n">
        <x:v>73</x:v>
      </x:c>
      <x:c r="B175" s="9" t="n">
        <x:f aca="0">IF(ISNUMBER(A175),
IF(AND(A175=INT(A175), MOD(A175, 10) = 0), 0,
IF(AND(A175=INT(A175), LEN(A175)=2), 1,
IF(AND(A175=INT(A175), LEN(A175)=3), 2,
LEN(A175) - FIND(".", A175) + 2)
)
),
"")</x:f>
        <x:v>1</x:v>
      </x:c>
      <x:c r="C175" s="37" t="s">
        <x:v>417</x:v>
      </x:c>
      <x:c r="D175" s="10" t="str">
        <x:f aca="0">REPT("   ", B175*2) &amp; C175</x:f>
        <x:v>      Regulatory Costs</x:v>
      </x:c>
      <x:c r="E175" s="10" t="s">
        <x:v>35</x:v>
      </x:c>
      <x:c r="F175" s="10"/>
      <x:c r="G175" s="10"/>
      <x:c r="H175" s="10"/>
      <x:c r="I175" s="10"/>
      <x:c r="J175" s="16" t="n">
        <x:f aca="0">(2/100)*5359000</x:f>
        <x:v>107180</x:v>
      </x:c>
      <x:c r="K175" s="17"/>
      <x:c r="L175" s="23"/>
      <x:c r="M175" s="26"/>
      <x:c r="N175" s="23"/>
      <x:c r="O175" s="23"/>
      <x:c r="P175" s="23"/>
      <x:c r="Q175" s="20" t="n">
        <x:v>2024</x:v>
      </x:c>
      <x:c r="R175" s="23" t="s">
        <x:v>53</x:v>
      </x:c>
      <x:c r="S175" s="58"/>
      <x:c r="T175" s="58"/>
      <x:c r="U175" s="56" t="s">
        <x:v>418</x:v>
      </x:c>
      <x:c r="V175" s="62"/>
      <x:c r="W175" s="1" t="s">
        <x:v>59</x:v>
      </x:c>
      <x:c r="X175" s="24" t="n">
        <x:f aca="0">0.9*$J175</x:f>
        <x:v>96462</x:v>
      </x:c>
      <x:c r="Y175" s="24" t="n">
        <x:f aca="0">1.5*J175</x:f>
        <x:v>160770</x:v>
      </x:c>
      <x:c r="Z175" s="12" t="s">
        <x:v>44</x:v>
      </x:c>
      <x:c r="AA175" s="13"/>
      <x:c r="AB175" s="13"/>
      <x:c r="AC175" s="12"/>
      <x:c r="AD175" s="13"/>
      <x:c r="AE175" s="13"/>
      <x:c r="AF175" s="13"/>
      <x:c r="AG175" s="12"/>
    </x:row>
    <x:row r="176" ht="225.75" hidden="0" customHeight="1">
      <x:c r="A176" s="6" t="n">
        <x:v>75</x:v>
      </x:c>
      <x:c r="B176" s="9" t="n">
        <x:f aca="0">IF(ISNUMBER(A176),
IF(AND(A176=INT(A176), MOD(A176, 10) = 0), 0,
IF(AND(A176=INT(A176), LEN(A176)=2), 1,
IF(AND(A176=INT(A176), LEN(A176)=3), 2,
LEN(A176) - FIND(".", A176) + 2)
)
),
"")</x:f>
        <x:v>1</x:v>
      </x:c>
      <x:c r="C176" s="37" t="s">
        <x:v>419</x:v>
      </x:c>
      <x:c r="D176" s="10" t="str">
        <x:f aca="0">REPT("   ", B176*2) &amp; C176</x:f>
        <x:v>      Capital Plant Expenditures</x:v>
      </x:c>
      <x:c r="E176" s="10"/>
      <x:c r="F176" s="10"/>
      <x:c r="G176" s="10"/>
      <x:c r="H176" s="10"/>
      <x:c r="I176" s="10"/>
      <x:c r="J176" s="16"/>
      <x:c r="K176" s="17"/>
      <x:c r="L176" s="23"/>
      <x:c r="M176" s="26"/>
      <x:c r="N176" s="23"/>
      <x:c r="O176" s="23"/>
      <x:c r="P176" s="23"/>
      <x:c r="Q176" s="20"/>
      <x:c r="R176" s="23"/>
      <x:c r="S176" s="58"/>
      <x:c r="T176" s="58"/>
      <x:c r="U176" s="23"/>
      <x:c r="V176" s="62"/>
      <x:c r="W176" s="12"/>
      <x:c r="X176" s="24"/>
      <x:c r="Y176" s="24"/>
      <x:c r="Z176" s="12"/>
      <x:c r="AA176" s="13"/>
      <x:c r="AB176" s="13"/>
      <x:c r="AC176" s="12"/>
      <x:c r="AD176" s="13"/>
      <x:c r="AE176" s="13"/>
      <x:c r="AF176" s="13"/>
      <x:c r="AG176" s="12"/>
    </x:row>
    <x:row r="177" ht="22.5" hidden="0" customHeight="1">
      <x:c r="A177" s="6" t="n">
        <x:v>751</x:v>
      </x:c>
      <x:c r="B177" s="9" t="n">
        <x:f aca="0">IF(ISNUMBER(A177),
IF(AND(A177=INT(A177), MOD(A177, 10) = 0), 0,
IF(AND(A177=INT(A177), LEN(A177)=2), 1,
IF(AND(A177=INT(A177), LEN(A177)=3), 2,
LEN(A177) - FIND(".", A177) + 2)
)
),
"")</x:f>
        <x:v>2</x:v>
      </x:c>
      <x:c r="C177" s="37" t="s">
        <x:v>420</x:v>
      </x:c>
      <x:c r="D177" s="10" t="str">
        <x:f aca="0">REPT("   ", B177*2) &amp; C177</x:f>
        <x:v>            Annualized Outer Vessel Structure Replacements</x:v>
      </x:c>
      <x:c r="E177" s="10"/>
      <x:c r="F177" s="10"/>
      <x:c r="G177" s="10"/>
      <x:c r="H177" s="10"/>
      <x:c r="I177" s="10"/>
      <x:c r="J177" s="16"/>
      <x:c r="K177" s="17"/>
      <x:c r="L177" s="23"/>
      <x:c r="M177" s="26"/>
      <x:c r="N177" s="23"/>
      <x:c r="O177" s="23"/>
      <x:c r="P177" s="23"/>
      <x:c r="Q177" s="20"/>
      <x:c r="R177" s="23"/>
      <x:c r="S177" s="58"/>
      <x:c r="T177" s="58"/>
      <x:c r="U177" s="23"/>
      <x:c r="V177" s="62"/>
      <x:c r="W177" s="12"/>
      <x:c r="X177" s="24"/>
      <x:c r="Y177" s="24"/>
      <x:c r="Z177" s="12"/>
      <x:c r="AA177" s="13"/>
      <x:c r="AB177" s="13"/>
      <x:c r="AC177" s="12"/>
      <x:c r="AD177" s="13"/>
      <x:c r="AE177" s="13"/>
      <x:c r="AF177" s="13"/>
      <x:c r="AG177" s="12"/>
    </x:row>
    <x:row r="178" ht="26.25" hidden="0" customHeight="1">
      <x:c r="A178" s="6" t="n">
        <x:v>752</x:v>
      </x:c>
      <x:c r="B178" s="9" t="n">
        <x:f aca="0">IF(ISNUMBER(A178),
IF(AND(A178=INT(A178), MOD(A178, 10) = 0), 0,
IF(AND(A178=INT(A178), LEN(A178)=2), 1,
IF(AND(A178=INT(A178), LEN(A178)=3), 2,
LEN(A178) - FIND(".", A178) + 2)
)
),
"")</x:f>
        <x:v>2</x:v>
      </x:c>
      <x:c r="C178" s="37" t="s">
        <x:v>421</x:v>
      </x:c>
      <x:c r="D178" s="10" t="str">
        <x:f aca="0">REPT("   ", B178*2) &amp; C178</x:f>
        <x:v>            Annualized Inner Vessel Structure Replacements</x:v>
      </x:c>
      <x:c r="E178" s="10"/>
      <x:c r="F178" s="10"/>
      <x:c r="G178" s="10"/>
      <x:c r="H178" s="10"/>
      <x:c r="I178" s="10"/>
      <x:c r="J178" s="16"/>
      <x:c r="K178" s="17"/>
      <x:c r="L178" s="23"/>
      <x:c r="M178" s="26"/>
      <x:c r="N178" s="23"/>
      <x:c r="O178" s="23"/>
      <x:c r="P178" s="23"/>
      <x:c r="Q178" s="20"/>
      <x:c r="R178" s="23"/>
      <x:c r="S178" s="58"/>
      <x:c r="T178" s="58"/>
      <x:c r="U178" s="23"/>
      <x:c r="V178" s="62"/>
      <x:c r="W178" s="12"/>
      <x:c r="X178" s="24"/>
      <x:c r="Y178" s="24"/>
      <x:c r="Z178" s="12"/>
      <x:c r="AA178" s="13"/>
      <x:c r="AB178" s="13"/>
      <x:c r="AC178" s="12"/>
      <x:c r="AD178" s="13"/>
      <x:c r="AE178" s="13"/>
      <x:c r="AF178" s="13"/>
      <x:c r="AG178" s="12"/>
    </x:row>
    <x:row r="179" ht="26.25" hidden="0" customHeight="1">
      <x:c r="A179" s="6" t="n">
        <x:v>753</x:v>
      </x:c>
      <x:c r="B179" s="9" t="n">
        <x:f aca="0">IF(ISNUMBER(A179),
IF(AND(A179=INT(A179), MOD(A179, 10) = 0), 0,
IF(AND(A179=INT(A179), LEN(A179)=2), 1,
IF(AND(A179=INT(A179), LEN(A179)=3), 2,
LEN(A179) - FIND(".", A179) + 2)
)
),
"")</x:f>
        <x:v>2</x:v>
      </x:c>
      <x:c r="C179" s="37" t="s">
        <x:v>422</x:v>
      </x:c>
      <x:c r="D179" s="10" t="str">
        <x:f aca="0">REPT("   ", B179*2) &amp; C179</x:f>
        <x:v>            Annualized Moderator Replacements</x:v>
      </x:c>
      <x:c r="E179" s="10"/>
      <x:c r="F179" s="10"/>
      <x:c r="G179" s="10"/>
      <x:c r="H179" s="10"/>
      <x:c r="I179" s="10"/>
      <x:c r="J179" s="16"/>
      <x:c r="K179" s="17"/>
      <x:c r="L179" s="23"/>
      <x:c r="M179" s="26"/>
      <x:c r="N179" s="23"/>
      <x:c r="O179" s="23"/>
      <x:c r="P179" s="23"/>
      <x:c r="Q179" s="20"/>
      <x:c r="R179" s="23"/>
      <x:c r="S179" s="58"/>
      <x:c r="T179" s="58"/>
      <x:c r="U179" s="23"/>
      <x:c r="V179" s="62"/>
      <x:c r="W179" s="12"/>
      <x:c r="X179" s="24"/>
      <x:c r="Y179" s="24"/>
      <x:c r="Z179" s="12"/>
      <x:c r="AA179" s="13"/>
      <x:c r="AB179" s="13"/>
      <x:c r="AC179" s="12"/>
      <x:c r="AD179" s="13"/>
      <x:c r="AE179" s="13"/>
      <x:c r="AF179" s="13"/>
      <x:c r="AG179" s="12"/>
    </x:row>
    <x:row r="180" ht="26.25" hidden="0" customHeight="1">
      <x:c r="A180" s="6" t="n">
        <x:v>754</x:v>
      </x:c>
      <x:c r="B180" s="9" t="n">
        <x:f aca="0">IF(ISNUMBER(A180),
IF(AND(A180=INT(A180), MOD(A180, 10) = 0), 0,
IF(AND(A180=INT(A180), LEN(A180)=2), 1,
IF(AND(A180=INT(A180), LEN(A180)=3), 2,
LEN(A180) - FIND(".", A180) + 2)
)
),
"")</x:f>
        <x:v>2</x:v>
      </x:c>
      <x:c r="C180" s="37" t="s">
        <x:v>423</x:v>
      </x:c>
      <x:c r="D180" s="10" t="str">
        <x:f aca="0">REPT("   ", B180*2) &amp; C180</x:f>
        <x:v>            Annualized Reflector Replacements</x:v>
      </x:c>
      <x:c r="E180" s="10"/>
      <x:c r="F180" s="10"/>
      <x:c r="G180" s="10"/>
      <x:c r="H180" s="10"/>
      <x:c r="I180" s="10"/>
      <x:c r="J180" s="16"/>
      <x:c r="K180" s="17"/>
      <x:c r="L180" s="23"/>
      <x:c r="M180" s="26"/>
      <x:c r="N180" s="23"/>
      <x:c r="O180" s="23"/>
      <x:c r="P180" s="23"/>
      <x:c r="Q180" s="20"/>
      <x:c r="R180" s="23"/>
      <x:c r="S180" s="58"/>
      <x:c r="T180" s="58"/>
      <x:c r="U180" s="23"/>
      <x:c r="V180" s="62"/>
      <x:c r="W180" s="12"/>
      <x:c r="X180" s="24"/>
      <x:c r="Y180" s="24"/>
      <x:c r="Z180" s="12"/>
      <x:c r="AA180" s="13"/>
      <x:c r="AB180" s="13"/>
      <x:c r="AC180" s="12"/>
      <x:c r="AD180" s="13"/>
      <x:c r="AE180" s="13"/>
      <x:c r="AF180" s="13"/>
      <x:c r="AG180" s="12"/>
    </x:row>
    <x:row r="181" ht="51.75" hidden="0" customHeight="1">
      <x:c r="A181" s="6" t="n">
        <x:v>755</x:v>
      </x:c>
      <x:c r="B181" s="9" t="n">
        <x:f aca="0">IF(ISNUMBER(A181),
IF(AND(A181=INT(A181), MOD(A181, 10) = 0), 0,
IF(AND(A181=INT(A181), LEN(A181)=2), 1,
IF(AND(A181=INT(A181), LEN(A181)=3), 2,
LEN(A181) - FIND(".", A181) + 2)
)
),
"")</x:f>
        <x:v>2</x:v>
      </x:c>
      <x:c r="C181" s="37" t="s">
        <x:v>424</x:v>
      </x:c>
      <x:c r="D181" s="10" t="str">
        <x:f aca="0">REPT("   ", B181*2) &amp; C181</x:f>
        <x:v>            Annualized Reactor Control Devices Replacements</x:v>
      </x:c>
      <x:c r="E181" s="10"/>
      <x:c r="F181" s="10"/>
      <x:c r="G181" s="10"/>
      <x:c r="H181" s="10"/>
      <x:c r="I181" s="10"/>
      <x:c r="J181" s="16"/>
      <x:c r="K181" s="17"/>
      <x:c r="L181" s="23"/>
      <x:c r="M181" s="26"/>
      <x:c r="N181" s="23"/>
      <x:c r="O181" s="23"/>
      <x:c r="P181" s="23"/>
      <x:c r="Q181" s="20"/>
      <x:c r="R181" s="23"/>
      <x:c r="S181" s="49"/>
      <x:c r="T181" s="49"/>
      <x:c r="U181" s="23"/>
      <x:c r="V181" s="49"/>
      <x:c r="W181" s="12"/>
      <x:c r="X181" s="24"/>
      <x:c r="Y181" s="24"/>
      <x:c r="Z181" s="12"/>
      <x:c r="AA181" s="13"/>
      <x:c r="AB181" s="13"/>
      <x:c r="AC181" s="12"/>
      <x:c r="AD181" s="13"/>
      <x:c r="AE181" s="13"/>
      <x:c r="AF181" s="13"/>
      <x:c r="AG181" s="12"/>
    </x:row>
    <x:row r="182" ht="45" hidden="0" customHeight="1">
      <x:c r="A182" s="6" t="n">
        <x:v>756</x:v>
      </x:c>
      <x:c r="B182" s="9" t="n">
        <x:v>2</x:v>
      </x:c>
      <x:c r="C182" s="37" t="s">
        <x:v>425</x:v>
      </x:c>
      <x:c r="D182" s="10" t="s">
        <x:v>426</x:v>
      </x:c>
      <x:c r="E182" s="10"/>
      <x:c r="F182" s="10"/>
      <x:c r="G182" s="10"/>
      <x:c r="H182" s="10"/>
      <x:c r="I182" s="10"/>
      <x:c r="J182" s="16"/>
      <x:c r="K182" s="17"/>
      <x:c r="L182" s="23"/>
      <x:c r="M182" s="26"/>
      <x:c r="N182" s="23"/>
      <x:c r="O182" s="23"/>
      <x:c r="P182" s="23"/>
      <x:c r="Q182" s="20"/>
      <x:c r="R182" s="23"/>
      <x:c r="S182" s="49"/>
      <x:c r="T182" s="49"/>
      <x:c r="U182" s="23"/>
      <x:c r="V182" s="49"/>
      <x:c r="W182" s="12"/>
      <x:c r="X182" s="24"/>
      <x:c r="Y182" s="24"/>
      <x:c r="Z182" s="12"/>
      <x:c r="AA182" s="13"/>
      <x:c r="AB182" s="13"/>
      <x:c r="AC182" s="12"/>
      <x:c r="AD182" s="13"/>
      <x:c r="AE182" s="13"/>
      <x:c r="AF182" s="13"/>
      <x:c r="AG182" s="12"/>
    </x:row>
    <x:row r="183" ht="45" hidden="0" customHeight="1">
      <x:c r="A183" s="6" t="n">
        <x:v>757</x:v>
      </x:c>
      <x:c r="B183" s="9" t="n">
        <x:f aca="0">IF(ISNUMBER(A183),
IF(AND(A183=INT(A183), MOD(A183, 10) = 0), 0,
IF(AND(A183=INT(A183), LEN(A183)=2), 1,
IF(AND(A183=INT(A183), LEN(A183)=3), 2,
LEN(A183) - FIND(".", A183) + 2)
)
),
"")</x:f>
        <x:v>2</x:v>
      </x:c>
      <x:c r="C183" s="37" t="s">
        <x:v>427</x:v>
      </x:c>
      <x:c r="D183" s="10" t="str">
        <x:f aca="0">REPT("   ", B183*2) &amp; C183</x:f>
        <x:v>            Annualized Moderator Booster Replacements</x:v>
      </x:c>
      <x:c r="E183" s="10"/>
      <x:c r="F183" s="10"/>
      <x:c r="G183" s="10"/>
      <x:c r="H183" s="10"/>
      <x:c r="I183" s="10"/>
      <x:c r="J183" s="16"/>
      <x:c r="K183" s="17"/>
      <x:c r="L183" s="23"/>
      <x:c r="M183" s="26"/>
      <x:c r="N183" s="23"/>
      <x:c r="O183" s="23"/>
      <x:c r="P183" s="23"/>
      <x:c r="Q183" s="20"/>
      <x:c r="R183" s="23"/>
      <x:c r="S183" s="49"/>
      <x:c r="T183" s="49"/>
      <x:c r="U183" s="23"/>
      <x:c r="V183" s="49"/>
      <x:c r="W183" s="12"/>
      <x:c r="X183" s="24"/>
      <x:c r="Y183" s="24"/>
      <x:c r="Z183" s="12"/>
      <x:c r="AA183" s="13"/>
      <x:c r="AB183" s="13"/>
      <x:c r="AC183" s="12"/>
      <x:c r="AD183" s="13"/>
      <x:c r="AE183" s="13"/>
      <x:c r="AF183" s="13"/>
      <x:c r="AG183" s="12"/>
    </x:row>
    <x:row r="184" ht="45" hidden="0" customHeight="1">
      <x:c r="A184" s="6" t="n">
        <x:v>759</x:v>
      </x:c>
      <x:c r="B184" s="9" t="n">
        <x:f aca="0">IF(ISNUMBER(A184),
IF(AND(A184=INT(A184), MOD(A184, 10) = 0), 0,
IF(AND(A184=INT(A184), LEN(A184)=2), 1,
IF(AND(A184=INT(A184), LEN(A184)=3), 2,
LEN(A184) - FIND(".", A184) + 2)
)
),
"")</x:f>
        <x:v>2</x:v>
      </x:c>
      <x:c r="C184" s="37" t="s">
        <x:v>428</x:v>
      </x:c>
      <x:c r="D184" s="10" t="str">
        <x:f aca="0">REPT("   ", B184*2) &amp; C184</x:f>
        <x:v>            Annualized Plant Maintenance (Misc.)</x:v>
      </x:c>
      <x:c r="E184" s="10"/>
      <x:c r="F184" s="10"/>
      <x:c r="G184" s="10"/>
      <x:c r="H184" s="10"/>
      <x:c r="I184" s="10"/>
      <x:c r="J184" s="16"/>
      <x:c r="K184" s="17"/>
      <x:c r="L184" s="23"/>
      <x:c r="M184" s="26"/>
      <x:c r="N184" s="23"/>
      <x:c r="O184" s="23"/>
      <x:c r="P184" s="23"/>
      <x:c r="Q184" s="20"/>
      <x:c r="R184" s="23"/>
      <x:c r="S184" s="50"/>
      <x:c r="T184" s="50"/>
      <x:c r="U184" s="23"/>
      <x:c r="V184" s="50"/>
      <x:c r="W184" s="12"/>
      <x:c r="X184" s="24"/>
      <x:c r="Y184" s="24"/>
      <x:c r="Z184" s="12"/>
      <x:c r="AA184" s="13"/>
      <x:c r="AB184" s="13"/>
      <x:c r="AC184" s="12"/>
      <x:c r="AD184" s="13"/>
      <x:c r="AE184" s="13"/>
      <x:c r="AF184" s="13"/>
      <x:c r="AG184" s="12"/>
    </x:row>
    <x:row r="185" ht="55.5" hidden="0" customHeight="1">
      <x:c r="A185" s="6" t="n">
        <x:v>759.1</x:v>
      </x:c>
      <x:c r="B185" s="9" t="n">
        <x:f aca="0">IF(ISNUMBER(A185),IF(AND(A185=INT(A185),MOD(A185,10)=0),0,IF(AND(A185=INT(A185),LEN(A185)=2),1,IF(AND(A185=INT(A185),LEN(A185)=3),2,LEN(A185)-FIND(".",A185)+2))),"")</x:f>
        <x:v>3</x:v>
      </x:c>
      <x:c r="C185" s="37" t="s">
        <x:v>429</x:v>
      </x:c>
      <x:c r="D185" s="10" t="str">
        <x:f aca="0">REPT("   ",B185*2)&amp;C185</x:f>
        <x:v>                  Annualized Building and Structural Maintenance (Accounts 212–215)</x:v>
      </x:c>
      <x:c r="E185" s="10"/>
      <x:c r="F185" s="10"/>
      <x:c r="G185" s="10"/>
      <x:c r="H185" s="10"/>
      <x:c r="I185" s="10"/>
      <x:c r="J185" s="16"/>
      <x:c r="K185" s="17"/>
      <x:c r="L185" s="23"/>
      <x:c r="M185" s="26"/>
      <x:c r="N185" s="23"/>
      <x:c r="O185" s="23"/>
      <x:c r="P185" s="23"/>
      <x:c r="Q185" s="20"/>
      <x:c r="R185" s="23"/>
      <x:c r="S185" s="50"/>
      <x:c r="T185" s="50"/>
      <x:c r="U185" s="23"/>
      <x:c r="V185" s="50"/>
      <x:c r="W185" s="12"/>
      <x:c r="X185" s="24"/>
      <x:c r="Y185" s="24"/>
      <x:c r="Z185" s="12"/>
      <x:c r="AA185" s="13"/>
      <x:c r="AB185" s="13"/>
      <x:c r="AC185" s="12"/>
      <x:c r="AD185" s="13"/>
      <x:c r="AE185" s="13"/>
      <x:c r="AF185" s="13"/>
      <x:c r="AG185" s="12"/>
    </x:row>
    <x:row r="186" ht="55.5" hidden="0" customHeight="1">
      <x:c r="A186" s="6" t="n">
        <x:v>759.2</x:v>
      </x:c>
      <x:c r="B186" s="9" t="n">
        <x:f aca="0">IF(ISNUMBER(A186),IF(AND(A186=INT(A186),MOD(A186,10)=0),0,IF(AND(A186=INT(A186),LEN(A186)=2),1,IF(AND(A186=INT(A186),LEN(A186)=3),2,LEN(A186)-FIND(".",A186)+2))),"")</x:f>
        <x:v>3</x:v>
      </x:c>
      <x:c r="C186" s="37" t="s">
        <x:v>430</x:v>
      </x:c>
      <x:c r="D186" s="10" t="str">
        <x:f aca="0">REPT("   ",B186*2)&amp;C186</x:f>
        <x:v>                  Annualized Main Heat Transport System Maintenance (Accounts 222.1–222.3 and 222.6)</x:v>
      </x:c>
      <x:c r="E186" s="10"/>
      <x:c r="F186" s="10"/>
      <x:c r="G186" s="10"/>
      <x:c r="H186" s="10"/>
      <x:c r="I186" s="10"/>
      <x:c r="J186" s="16"/>
      <x:c r="K186" s="17"/>
      <x:c r="L186" s="23"/>
      <x:c r="M186" s="26"/>
      <x:c r="N186" s="23"/>
      <x:c r="O186" s="23"/>
      <x:c r="P186" s="23"/>
      <x:c r="Q186" s="20"/>
      <x:c r="R186" s="23"/>
      <x:c r="S186" s="50"/>
      <x:c r="T186" s="50"/>
      <x:c r="U186" s="23"/>
      <x:c r="V186" s="50"/>
      <x:c r="W186" s="12"/>
      <x:c r="X186" s="24"/>
      <x:c r="Y186" s="24"/>
      <x:c r="Z186" s="12"/>
      <x:c r="AA186" s="13"/>
      <x:c r="AB186" s="13"/>
      <x:c r="AC186" s="12"/>
      <x:c r="AD186" s="13"/>
      <x:c r="AE186" s="13"/>
      <x:c r="AF186" s="13"/>
      <x:c r="AG186" s="12"/>
    </x:row>
    <x:row r="187" ht="55.5" hidden="0" customHeight="1">
      <x:c r="A187" s="6" t="n">
        <x:v>759.3</x:v>
      </x:c>
      <x:c r="B187" s="9" t="n">
        <x:f aca="0">IF(ISNUMBER(A187),IF(AND(A187=INT(A187),MOD(A187,10)=0),0,IF(AND(A187=INT(A187),LEN(A187)=2),1,IF(AND(A187=INT(A187),LEN(A187)=3),2,LEN(A187)-FIND(".",A187)+2))),"")</x:f>
        <x:v>3</x:v>
      </x:c>
      <x:c r="C187" s="37" t="s">
        <x:v>431</x:v>
      </x:c>
      <x:c r="D187" s="10" t="str">
        <x:f aca="0">REPT("   ",B187*2)&amp;C187</x:f>
        <x:v>                  Annualized Safety System Maintenance (Account 223)</x:v>
      </x:c>
      <x:c r="E187" s="10"/>
      <x:c r="F187" s="10"/>
      <x:c r="G187" s="10"/>
      <x:c r="H187" s="10"/>
      <x:c r="I187" s="10"/>
      <x:c r="J187" s="16"/>
      <x:c r="K187" s="17"/>
      <x:c r="L187" s="23"/>
      <x:c r="M187" s="26"/>
      <x:c r="N187" s="23"/>
      <x:c r="O187" s="23"/>
      <x:c r="P187" s="23"/>
      <x:c r="Q187" s="20"/>
      <x:c r="R187" s="23"/>
      <x:c r="S187" s="50"/>
      <x:c r="T187" s="50"/>
      <x:c r="U187" s="23"/>
      <x:c r="V187" s="50"/>
      <x:c r="W187" s="12"/>
      <x:c r="X187" s="24"/>
      <x:c r="Y187" s="24"/>
      <x:c r="Z187" s="12"/>
      <x:c r="AA187" s="13"/>
      <x:c r="AB187" s="13"/>
      <x:c r="AC187" s="12"/>
      <x:c r="AD187" s="13"/>
      <x:c r="AE187" s="13"/>
      <x:c r="AF187" s="13"/>
      <x:c r="AG187" s="12"/>
    </x:row>
    <x:row r="188" ht="55.5" hidden="0" customHeight="1">
      <x:c r="A188" s="6" t="n">
        <x:v>759.4</x:v>
      </x:c>
      <x:c r="B188" s="9" t="n">
        <x:f aca="0">IF(ISNUMBER(A188),IF(AND(A188=INT(A188),MOD(A188,10)=0),0,IF(AND(A188=INT(A188),LEN(A188)=2),1,IF(AND(A188=INT(A188),LEN(A188)=3),2,LEN(A188)-FIND(".",A188)+2))),"")</x:f>
        <x:v>3</x:v>
      </x:c>
      <x:c r="C188" s="37" t="s">
        <x:v>432</x:v>
      </x:c>
      <x:c r="D188" s="10" t="str">
        <x:f aca="0">REPT("   ",B188*2)&amp;C188</x:f>
        <x:v>                  Annualized Reactor Plant Equipment Maintenance (Accounts 221.11, 226, and 228)</x:v>
      </x:c>
      <x:c r="E188" s="10"/>
      <x:c r="F188" s="10"/>
      <x:c r="G188" s="10"/>
      <x:c r="H188" s="10"/>
      <x:c r="I188" s="10"/>
      <x:c r="J188" s="16"/>
      <x:c r="K188" s="17"/>
      <x:c r="L188" s="23"/>
      <x:c r="M188" s="26"/>
      <x:c r="N188" s="23"/>
      <x:c r="O188" s="23"/>
      <x:c r="P188" s="23"/>
      <x:c r="Q188" s="20"/>
      <x:c r="R188" s="23"/>
      <x:c r="S188" s="50"/>
      <x:c r="T188" s="50"/>
      <x:c r="U188" s="23"/>
      <x:c r="V188" s="50"/>
      <x:c r="W188" s="12"/>
      <x:c r="X188" s="24"/>
      <x:c r="Y188" s="24"/>
      <x:c r="Z188" s="12"/>
      <x:c r="AA188" s="13"/>
      <x:c r="AB188" s="13"/>
      <x:c r="AC188" s="12"/>
      <x:c r="AD188" s="13"/>
      <x:c r="AE188" s="13"/>
      <x:c r="AF188" s="13"/>
      <x:c r="AG188" s="12"/>
    </x:row>
    <x:row r="189" ht="55.5" hidden="0" customHeight="1">
      <x:c r="A189" s="6" t="n">
        <x:v>759.5</x:v>
      </x:c>
      <x:c r="B189" s="9" t="n">
        <x:f aca="0">IF(ISNUMBER(A189),IF(AND(A189=INT(A189),MOD(A189,10)=0),0,IF(AND(A189=INT(A189),LEN(A189)=2),1,IF(AND(A189=INT(A189),LEN(A189)=3),2,LEN(A189)-FIND(".",A189)+2))),"")</x:f>
        <x:v>3</x:v>
      </x:c>
      <x:c r="C189" s="37" t="s">
        <x:v>433</x:v>
      </x:c>
      <x:c r="D189" s="10" t="str">
        <x:f aca="0">REPT("   ",B189*2)&amp;C189</x:f>
        <x:v>                  Annualized Reactor I&amp;C Maintenance (Account 227)</x:v>
      </x:c>
      <x:c r="E189" s="10"/>
      <x:c r="F189" s="10"/>
      <x:c r="G189" s="10"/>
      <x:c r="H189" s="10"/>
      <x:c r="I189" s="10"/>
      <x:c r="J189" s="16"/>
      <x:c r="K189" s="17"/>
      <x:c r="L189" s="23"/>
      <x:c r="M189" s="26"/>
      <x:c r="N189" s="23"/>
      <x:c r="O189" s="23"/>
      <x:c r="P189" s="23"/>
      <x:c r="Q189" s="20"/>
      <x:c r="R189" s="23"/>
      <x:c r="S189" s="50"/>
      <x:c r="T189" s="50"/>
      <x:c r="U189" s="23"/>
      <x:c r="V189" s="50"/>
      <x:c r="W189" s="12"/>
      <x:c r="X189" s="24"/>
      <x:c r="Y189" s="24"/>
      <x:c r="Z189" s="12"/>
      <x:c r="AA189" s="13"/>
      <x:c r="AB189" s="13"/>
      <x:c r="AC189" s="12"/>
      <x:c r="AD189" s="13"/>
      <x:c r="AE189" s="13"/>
      <x:c r="AF189" s="13"/>
      <x:c r="AG189" s="12"/>
    </x:row>
    <x:row r="190" ht="55.5" hidden="0" customHeight="1">
      <x:c r="A190" s="6" t="n">
        <x:v>759.6</x:v>
      </x:c>
      <x:c r="B190" s="9" t="n">
        <x:f aca="0">IF(ISNUMBER(A190),IF(AND(A190=INT(A190),MOD(A190,10)=0),0,IF(AND(A190=INT(A190),LEN(A190)=2),1,IF(AND(A190=INT(A190),LEN(A190)=3),2,LEN(A190)-FIND(".",A190)+2))),"")</x:f>
        <x:v>3</x:v>
      </x:c>
      <x:c r="C190" s="37" t="s">
        <x:v>434</x:v>
      </x:c>
      <x:c r="D190" s="10" t="str">
        <x:f aca="0">REPT("   ",B190*2)&amp;C190</x:f>
        <x:v>                  Annualized Energy Conversion System Maintenance (Account 23)</x:v>
      </x:c>
      <x:c r="E190" s="10"/>
      <x:c r="F190" s="10"/>
      <x:c r="G190" s="10"/>
      <x:c r="H190" s="10"/>
      <x:c r="I190" s="10"/>
      <x:c r="J190" s="16"/>
      <x:c r="K190" s="17"/>
      <x:c r="L190" s="23"/>
      <x:c r="M190" s="26"/>
      <x:c r="N190" s="23"/>
      <x:c r="O190" s="23"/>
      <x:c r="P190" s="23"/>
      <x:c r="Q190" s="20"/>
      <x:c r="R190" s="23"/>
      <x:c r="S190" s="50"/>
      <x:c r="T190" s="50"/>
      <x:c r="U190" s="23"/>
      <x:c r="V190" s="50"/>
      <x:c r="W190" s="12"/>
      <x:c r="X190" s="24"/>
      <x:c r="Y190" s="24"/>
      <x:c r="Z190" s="12"/>
      <x:c r="AA190" s="13"/>
      <x:c r="AB190" s="13"/>
      <x:c r="AC190" s="12"/>
      <x:c r="AD190" s="13"/>
      <x:c r="AE190" s="13"/>
      <x:c r="AF190" s="13"/>
      <x:c r="AG190" s="12"/>
    </x:row>
    <x:row r="191" ht="55.5" hidden="0" customHeight="1">
      <x:c r="A191" s="6" t="n">
        <x:v>759.7</x:v>
      </x:c>
      <x:c r="B191" s="9" t="n">
        <x:f aca="0">IF(ISNUMBER(A191),IF(AND(A191=INT(A191),MOD(A191,10)=0),0,IF(AND(A191=INT(A191),LEN(A191)=2),1,IF(AND(A191=INT(A191),LEN(A191)=3),2,LEN(A191)-FIND(".",A191)+2))),"")</x:f>
        <x:v>3</x:v>
      </x:c>
      <x:c r="C191" s="37" t="s">
        <x:v>435</x:v>
      </x:c>
      <x:c r="D191" s="10" t="str">
        <x:f aca="0">REPT("   ",B191*2)&amp;C191</x:f>
        <x:v>                  Annualized Electrical Equipment Maintenance (Account 24)</x:v>
      </x:c>
      <x:c r="E191" s="10"/>
      <x:c r="F191" s="10"/>
      <x:c r="G191" s="10"/>
      <x:c r="H191" s="10"/>
      <x:c r="I191" s="10"/>
      <x:c r="J191" s="16"/>
      <x:c r="K191" s="17"/>
      <x:c r="L191" s="23"/>
      <x:c r="M191" s="26"/>
      <x:c r="N191" s="23"/>
      <x:c r="O191" s="23"/>
      <x:c r="P191" s="23"/>
      <x:c r="Q191" s="20"/>
      <x:c r="R191" s="23"/>
      <x:c r="S191" s="50"/>
      <x:c r="T191" s="50"/>
      <x:c r="U191" s="23"/>
      <x:c r="V191" s="50"/>
      <x:c r="W191" s="12"/>
      <x:c r="X191" s="24"/>
      <x:c r="Y191" s="24"/>
      <x:c r="Z191" s="12"/>
      <x:c r="AA191" s="13"/>
      <x:c r="AB191" s="13"/>
      <x:c r="AC191" s="12"/>
      <x:c r="AD191" s="13"/>
      <x:c r="AE191" s="13"/>
      <x:c r="AF191" s="13"/>
      <x:c r="AG191" s="12"/>
    </x:row>
    <x:row r="192" ht="55.5" hidden="0" customHeight="1">
      <x:c r="A192" s="6" t="n">
        <x:v>759.8</x:v>
      </x:c>
      <x:c r="B192" s="9" t="n">
        <x:f aca="0">IF(ISNUMBER(A192),IF(AND(A192=INT(A192),MOD(A192,10)=0),0,IF(AND(A192=INT(A192),LEN(A192)=2),1,IF(AND(A192=INT(A192),LEN(A192)=3),2,LEN(A192)-FIND(".",A192)+2))),"")</x:f>
        <x:v>3</x:v>
      </x:c>
      <x:c r="C192" s="37" t="s">
        <x:v>436</x:v>
      </x:c>
      <x:c r="D192" s="10" t="str">
        <x:f aca="0">REPT("   ",B192*2)&amp;C192</x:f>
        <x:v>                  Annualized Miscellaneous Equipment Maintenance (Account 26)</x:v>
      </x:c>
      <x:c r="E192" s="10"/>
      <x:c r="F192" s="10"/>
      <x:c r="G192" s="10"/>
      <x:c r="H192" s="10"/>
      <x:c r="I192" s="10"/>
      <x:c r="J192" s="16"/>
      <x:c r="K192" s="17"/>
      <x:c r="L192" s="23"/>
      <x:c r="M192" s="26"/>
      <x:c r="N192" s="23"/>
      <x:c r="O192" s="23"/>
      <x:c r="P192" s="23"/>
      <x:c r="Q192" s="20"/>
      <x:c r="R192" s="23"/>
      <x:c r="S192" s="50"/>
      <x:c r="T192" s="50"/>
      <x:c r="U192" s="23"/>
      <x:c r="V192" s="50"/>
      <x:c r="W192" s="12"/>
      <x:c r="X192" s="24"/>
      <x:c r="Y192" s="24"/>
      <x:c r="Z192" s="12"/>
      <x:c r="AA192" s="13"/>
      <x:c r="AB192" s="13"/>
      <x:c r="AC192" s="12"/>
      <x:c r="AD192" s="13"/>
      <x:c r="AE192" s="13"/>
      <x:c r="AF192" s="13"/>
      <x:c r="AG192" s="12"/>
    </x:row>
    <x:row r="193" ht="53.25" hidden="0" customHeight="1">
      <x:c r="A193" s="6" t="n">
        <x:v>78</x:v>
      </x:c>
      <x:c r="B193" s="9" t="n">
        <x:f aca="0">IF(ISNUMBER(A193),
    IF(AND(A193=INT(A193), MOD(A193, 10) = 0), 0,
        IF(AND(A193=INT(A193), LEN(A193)=2), 1,
            IF(AND(A193=INT(A193), LEN(A193)=3), 2,
                LEN(A193) - FIND(".", A193) + 2)
        )
    ),
"")</x:f>
        <x:v>1</x:v>
      </x:c>
      <x:c r="C193" s="37" t="s">
        <x:v>437</x:v>
      </x:c>
      <x:c r="D193" s="10" t="str">
        <x:f aca="0">REPT("   ", B193*2) &amp; C193</x:f>
        <x:v>      Annualized Decommissioning Cost</x:v>
      </x:c>
      <x:c r="E193" s="10"/>
      <x:c r="F193" s="10"/>
      <x:c r="G193" s="10"/>
      <x:c r="H193" s="10"/>
      <x:c r="I193" s="10"/>
      <x:c r="J193" s="16"/>
      <x:c r="K193" s="63"/>
      <x:c r="L193" s="23"/>
      <x:c r="M193" s="18"/>
      <x:c r="N193" s="23"/>
      <x:c r="O193" s="23"/>
      <x:c r="P193" s="23"/>
      <x:c r="Q193" s="20"/>
      <x:c r="R193" s="23"/>
      <x:c r="S193" s="26"/>
      <x:c r="T193" s="26"/>
      <x:c r="U193" s="23"/>
      <x:c r="V193" s="26" t="s">
        <x:v>438</x:v>
      </x:c>
      <x:c r="W193" s="12"/>
      <x:c r="X193" s="24"/>
      <x:c r="Y193" s="24"/>
      <x:c r="Z193" s="12"/>
      <x:c r="AA193" s="13"/>
      <x:c r="AB193" s="13"/>
      <x:c r="AC193" s="12"/>
      <x:c r="AD193" s="13"/>
      <x:c r="AE193" s="13"/>
      <x:c r="AF193" s="13"/>
      <x:c r="AG193" s="12"/>
    </x:row>
    <x:row r="194" ht="26.25" hidden="0" customHeight="1">
      <x:c r="A194" s="6" t="n">
        <x:v>80</x:v>
      </x:c>
      <x:c r="B194" s="9" t="n">
        <x:f aca="0">IF(ISNUMBER(A194),
IF(AND(A194=INT(A194), MOD(A194, 10) = 0), 0,
IF(AND(A194=INT(A194), LEN(A194)=2), 1,
IF(AND(A194=INT(A194), LEN(A194)=3), 2,
LEN(A194) - FIND(".", A194) + 2)
)
),
"")</x:f>
        <x:v>0</x:v>
      </x:c>
      <x:c r="C194" s="60" t="s">
        <x:v>439</x:v>
      </x:c>
      <x:c r="D194" s="10" t="str">
        <x:f aca="0">REPT("   ", B194*2) &amp; C194</x:f>
        <x:v>Annualized Fuel Cost</x:v>
      </x:c>
      <x:c r="E194" s="10"/>
      <x:c r="F194" s="10"/>
      <x:c r="G194" s="10"/>
      <x:c r="H194" s="10"/>
      <x:c r="I194" s="10"/>
      <x:c r="J194" s="11"/>
      <x:c r="K194" s="11"/>
      <x:c r="L194" s="9"/>
      <x:c r="M194" s="5"/>
      <x:c r="N194" s="9"/>
      <x:c r="O194" s="9"/>
      <x:c r="P194" s="9"/>
      <x:c r="Q194" s="11"/>
      <x:c r="R194" s="9"/>
      <x:c r="S194" s="5"/>
      <x:c r="T194" s="9"/>
      <x:c r="U194" s="9"/>
      <x:c r="V194" s="9"/>
      <x:c r="W194" s="12"/>
      <x:c r="X194" s="24"/>
      <x:c r="Y194" s="24"/>
      <x:c r="Z194" s="12"/>
      <x:c r="AA194" s="13"/>
      <x:c r="AB194" s="13"/>
      <x:c r="AC194" s="12"/>
      <x:c r="AD194" s="13"/>
      <x:c r="AE194" s="13"/>
      <x:c r="AF194" s="13"/>
      <x:c r="AG194" s="12"/>
    </x:row>
    <x:row r="195" ht="150.75" hidden="0" customHeight="1">
      <x:c r="A195" s="6" t="n">
        <x:v>81</x:v>
      </x:c>
      <x:c r="B195" s="9" t="n">
        <x:f aca="0">IF(ISNUMBER(A195),
IF(AND(A195=INT(A195), MOD(A195, 10) = 0), 0,
IF(AND(A195=INT(A195), LEN(A195)=2), 1,
IF(AND(A195=INT(A195), LEN(A195)=3), 2,
LEN(A195) - FIND(".", A195) + 2)
)
),
"")</x:f>
        <x:v>1</x:v>
      </x:c>
      <x:c r="C195" s="37" t="s">
        <x:v>440</x:v>
      </x:c>
      <x:c r="D195" s="10" t="str">
        <x:f aca="0">REPT("   ", B195*2) &amp; C195</x:f>
        <x:v>      Refueling Operations</x:v>
      </x:c>
      <x:c r="E195" s="10" t="s">
        <x:v>290</x:v>
      </x:c>
      <x:c r="F195" s="10"/>
      <x:c r="G195" s="10"/>
      <x:c r="H195" s="10"/>
      <x:c r="I195" s="10"/>
      <x:c r="J195" s="16"/>
      <x:c r="K195" s="17" t="n">
        <x:v>178500</x:v>
      </x:c>
      <x:c r="L195" s="23" t="s">
        <x:v>404</x:v>
      </x:c>
      <x:c r="M195" s="26" t="s">
        <x:v>405</x:v>
      </x:c>
      <x:c r="N195" s="23"/>
      <x:c r="O195" s="23"/>
      <x:c r="P195" s="23" t="n">
        <x:v>1</x:v>
      </x:c>
      <x:c r="Q195" s="20" t="n">
        <x:v>2024</x:v>
      </x:c>
      <x:c r="R195" s="23" t="s">
        <x:v>53</x:v>
      </x:c>
      <x:c r="S195" s="26"/>
      <x:c r="T195" s="26" t="s">
        <x:v>406</x:v>
      </x:c>
      <x:c r="U195" s="23"/>
      <x:c r="V195" s="23"/>
      <x:c r="W195" s="12" t="s">
        <x:v>43</x:v>
      </x:c>
      <x:c r="X195" s="24" t="n">
        <x:f aca="0">0.9*$J195</x:f>
        <x:v>0</x:v>
      </x:c>
      <x:c r="Y195" s="24" t="n">
        <x:f aca="0">1.5*J195</x:f>
        <x:v>0</x:v>
      </x:c>
      <x:c r="Z195" s="12" t="s">
        <x:v>44</x:v>
      </x:c>
      <x:c r="AA195" s="13" t="n">
        <x:f aca="0">0.9*K195</x:f>
        <x:v>160650</x:v>
      </x:c>
      <x:c r="AB195" s="13" t="n">
        <x:f aca="0">1.3*K195</x:f>
        <x:v>232050</x:v>
      </x:c>
      <x:c r="AC195" s="12" t="s">
        <x:v>44</x:v>
      </x:c>
      <x:c r="AD195" s="13" t="s">
        <x:v>45</x:v>
      </x:c>
      <x:c r="AE195" s="13" t="s">
        <x:v>46</x:v>
      </x:c>
      <x:c r="AF195" s="13" t="s">
        <x:v>47</x:v>
      </x:c>
      <x:c r="AG195" s="12" t="s">
        <x:v>48</x:v>
      </x:c>
    </x:row>
    <x:row r="196" ht="26.25" hidden="0" customHeight="1">
      <x:c r="A196" s="6" t="n">
        <x:v>82</x:v>
      </x:c>
      <x:c r="B196" s="9" t="n">
        <x:f aca="0">IF(ISNUMBER(A196),
IF(AND(A196=INT(A196), MOD(A196, 10) = 0), 0,
IF(AND(A196=INT(A196), LEN(A196)=2), 1,
IF(AND(A196=INT(A196), LEN(A196)=3), 2,
LEN(A196) - FIND(".", A196) + 2)
)
),
"")</x:f>
        <x:v>1</x:v>
      </x:c>
      <x:c r="C196" s="37" t="s">
        <x:v>441</x:v>
      </x:c>
      <x:c r="D196" s="10" t="str">
        <x:f aca="0">REPT("   ", B196*2) &amp; C196</x:f>
        <x:v>      Additional Nuclear Fuel</x:v>
      </x:c>
      <x:c r="E196" s="10"/>
      <x:c r="F196" s="10"/>
      <x:c r="G196" s="10"/>
      <x:c r="H196" s="10"/>
      <x:c r="I196" s="10"/>
      <x:c r="J196" s="16"/>
      <x:c r="K196" s="17"/>
      <x:c r="L196" s="23"/>
      <x:c r="M196" s="26"/>
      <x:c r="N196" s="23"/>
      <x:c r="O196" s="23"/>
      <x:c r="P196" s="23"/>
      <x:c r="Q196" s="20"/>
      <x:c r="R196" s="23"/>
      <x:c r="S196" s="26"/>
      <x:c r="T196" s="23"/>
      <x:c r="U196" s="23"/>
      <x:c r="V196" s="23"/>
      <x:c r="W196" s="12"/>
      <x:c r="X196" s="24"/>
      <x:c r="Y196" s="24"/>
      <x:c r="Z196" s="12"/>
      <x:c r="AA196" s="13"/>
      <x:c r="AB196" s="13"/>
      <x:c r="AC196" s="12"/>
      <x:c r="AD196" s="13"/>
      <x:c r="AE196" s="13"/>
      <x:c r="AF196" s="13"/>
      <x:c r="AG196" s="12"/>
    </x:row>
    <x:row r="197" ht="51.75" hidden="0" customHeight="1">
      <x:c r="A197" s="6" t="n">
        <x:v>83</x:v>
      </x:c>
      <x:c r="B197" s="9" t="n">
        <x:f aca="0">IF(ISNUMBER(A197),
IF(AND(A197=INT(A197), MOD(A197, 10) = 0), 0,
IF(AND(A197=INT(A197), LEN(A197)=2), 1,
IF(AND(A197=INT(A197), LEN(A197)=3), 2,
LEN(A197) - FIND(".", A197) + 2)
)
),
"")</x:f>
        <x:v>1</x:v>
      </x:c>
      <x:c r="C197" s="37" t="s">
        <x:v>442</x:v>
      </x:c>
      <x:c r="D197" s="10" t="str">
        <x:f aca="0">REPT("   ", B197*2) &amp; C197</x:f>
        <x:v>      Spent Fuel Management</x:v>
      </x:c>
      <x:c r="E197" s="10" t="s">
        <x:v>35</x:v>
      </x:c>
      <x:c r="F197" s="10"/>
      <x:c r="G197" s="10"/>
      <x:c r="H197" s="10"/>
      <x:c r="I197" s="10"/>
      <x:c r="J197" s="16"/>
      <x:c r="K197" s="17" t="n">
        <x:v>1</x:v>
      </x:c>
      <x:c r="L197" s="23" t="s">
        <x:v>443</x:v>
      </x:c>
      <x:c r="M197" s="26" t="s">
        <x:v>444</x:v>
      </x:c>
      <x:c r="N197" s="23"/>
      <x:c r="O197" s="23"/>
      <x:c r="P197" s="23" t="n">
        <x:v>1</x:v>
      </x:c>
      <x:c r="Q197" s="20" t="n">
        <x:v>2024</x:v>
      </x:c>
      <x:c r="R197" s="23" t="s">
        <x:v>96</x:v>
      </x:c>
      <x:c r="S197" s="26"/>
      <x:c r="T197" s="23"/>
      <x:c r="U197" s="23"/>
      <x:c r="V197" s="23"/>
      <x:c r="W197" s="12" t="s">
        <x:v>43</x:v>
      </x:c>
      <x:c r="X197" s="24" t="n">
        <x:f aca="0">0.9*$J197</x:f>
        <x:v>0</x:v>
      </x:c>
      <x:c r="Y197" s="24" t="n">
        <x:f aca="0">1.5*J197</x:f>
        <x:v>0</x:v>
      </x:c>
      <x:c r="Z197" s="12" t="s">
        <x:v>44</x:v>
      </x:c>
      <x:c r="AA197" s="13" t="n">
        <x:f aca="0">0.9*K197</x:f>
        <x:v>0.9</x:v>
      </x:c>
      <x:c r="AB197" s="13" t="n">
        <x:f aca="0">1.3*K197</x:f>
        <x:v>1.3</x:v>
      </x:c>
      <x:c r="AC197" s="12" t="s">
        <x:v>44</x:v>
      </x:c>
      <x:c r="AD197" s="13" t="s">
        <x:v>45</x:v>
      </x:c>
      <x:c r="AE197" s="13" t="s">
        <x:v>46</x:v>
      </x:c>
      <x:c r="AF197" s="13" t="s">
        <x:v>47</x:v>
      </x:c>
      <x:c r="AG197" s="12" t="s">
        <x:v>48</x:v>
      </x:c>
    </x:row>
  </x:sheetData>
  <x:mergeCells>
    <x:mergeCell ref="T3:T4"/>
    <x:mergeCell ref="U3:U4"/>
    <x:mergeCell ref="U5:U6"/>
    <x:mergeCell ref="S11:S13"/>
    <x:mergeCell ref="T11:T13"/>
    <x:mergeCell ref="U11:U13"/>
    <x:mergeCell ref="S19:S21"/>
    <x:mergeCell ref="T19:T21"/>
    <x:mergeCell ref="U19:U21"/>
    <x:mergeCell ref="S26:S28"/>
    <x:mergeCell ref="T26:T28"/>
    <x:mergeCell ref="U26:U28"/>
    <x:mergeCell ref="S30:S32"/>
    <x:mergeCell ref="T30:T32"/>
    <x:mergeCell ref="U30:U32"/>
    <x:mergeCell ref="S34:S36"/>
    <x:mergeCell ref="T34:T36"/>
    <x:mergeCell ref="U34:U36"/>
    <x:mergeCell ref="S41:S43"/>
    <x:mergeCell ref="T41:T43"/>
    <x:mergeCell ref="U41:U43"/>
    <x:mergeCell ref="S45:S47"/>
    <x:mergeCell ref="T45:T47"/>
    <x:mergeCell ref="U45:U47"/>
    <x:mergeCell ref="S50:S52"/>
    <x:mergeCell ref="T50:T52"/>
    <x:mergeCell ref="U50:U52"/>
    <x:mergeCell ref="S56:S58"/>
    <x:mergeCell ref="T56:T58"/>
    <x:mergeCell ref="U56:U58"/>
    <x:mergeCell ref="V56:V58"/>
    <x:mergeCell ref="S61:S63"/>
    <x:mergeCell ref="T61:T63"/>
    <x:mergeCell ref="U61:U63"/>
    <x:mergeCell ref="S65:S67"/>
    <x:mergeCell ref="T65:T67"/>
    <x:mergeCell ref="U65:U67"/>
    <x:mergeCell ref="T72:T77"/>
    <x:mergeCell ref="T80:T84"/>
    <x:mergeCell ref="U80:U84"/>
    <x:mergeCell ref="U90:U100"/>
    <x:mergeCell ref="T110:T111"/>
    <x:mergeCell ref="U110:U111"/>
    <x:mergeCell ref="V110:V111"/>
    <x:mergeCell ref="V124:V125"/>
    <x:mergeCell ref="S139:S144"/>
    <x:mergeCell ref="T139:T144"/>
    <x:mergeCell ref="S146:S151"/>
    <x:mergeCell ref="T146:T151"/>
    <x:mergeCell ref="S156:S159"/>
    <x:mergeCell ref="S174:S180"/>
    <x:mergeCell ref="T174:T180"/>
    <x:mergeCell ref="V174:V180"/>
  </x:mergeCells>
  <x:dataValidations count="17">
    <x:dataValidation type="whole" errorStyle="stop" operator="between" allowBlank="1" showDropDown="0" showInputMessage="1" showErrorMessage="1" sqref="Q2:Q153 Q155:Q201">
      <x:formula1>1950</x:formula1>
      <x:formula2>2025</x:formula2>
    </x:dataValidation>
    <x:dataValidation type="decimal" errorStyle="stop" operator="greaterThan" allowBlank="1" showDropDown="0" showInputMessage="1" showErrorMessage="1" sqref="N1:N71 J2:K9 J10:J64 K11:K52 K56:K58 K61:K63 J65:K67 J68:J131 K71:K83 N75:N87 K88 N89:N107 K98:K108 N109:N194 K110:K151 J134:J135 J138:J145 J149:J166 K153:K166 J167:K193 N195:N1197">
      <x:formula1>0</x:formula1>
      <x:formula2>0</x:formula2>
    </x:dataValidation>
    <x:dataValidation type="list" errorStyle="stop" operator="between" allowBlank="1" showDropDown="0" showInputMessage="1" showErrorMessage="1" sqref="M360:M370">
      <x:formula1>"Land Area,Power MWe,Excavation Volume,Reactor Building Slab Roof Volume,	Reactor Building  Basement Volume,Reactor Building  Exterior Walls Volume,		Turbine Building Slab Roof Volume,	Turbine Building  Basement Volume,	Turbine Building  Exterior Wall"</x:formula1>
      <x:formula2>0</x:formula2>
    </x:dataValidation>
    <x:dataValidation type="list" errorStyle="stop" operator="between" allowBlank="1" showDropDown="0" showInputMessage="1" showErrorMessage="1" sqref="L1 L202:L1197">
      <x:formula1>"$/acres,$/MWe,$/m^3,$/MWt"</x:formula1>
      <x:formula2>0</x:formula2>
    </x:dataValidation>
    <x:dataValidation type="whole" errorStyle="stop" operator="between" allowBlank="1" showDropDown="0" showInputMessage="1" showErrorMessage="1" sqref="P202:P339">
      <x:formula1>0</x:formula1>
      <x:formula2>2</x:formula2>
    </x:dataValidation>
    <x:dataValidation type="decimal" errorStyle="stop" operator="between" allowBlank="1" showDropDown="0" showInputMessage="1" showErrorMessage="1" sqref="P2:P84 P86:P138 P145:P201">
      <x:formula1>0</x:formula1>
      <x:formula2>2</x:formula2>
    </x:dataValidation>
    <x:dataValidation type="list" errorStyle="stop" operator="between" allowBlank="1" showDropDown="0" showInputMessage="1" showErrorMessage="1" sqref="O2:O13 O15 O18:O84 O86:O135 O138 O145:O201">
      <x:formula1>"acres,MWe,m^3,MWt,Kg,Drums,kW,$,m^2,kg/s"</x:formula1>
      <x:formula2>0</x:formula2>
    </x:dataValidation>
    <x:dataValidation type="list" errorStyle="stop" operator="between" allowBlank="1" showDropDown="0" showInputMessage="1" showErrorMessage="1" sqref="L2:L13 L15 L18:L84 L86:L114 L116:L138 L145:L201">
      <x:formula1>"$/m^2,$/MWeHour,$/FTE,$/acres,$/MWe,$/m^3,$/MWt,$/Kg,$/Drum,$/(kg.sec),$/SWU,unitless,$/kWe"</x:formula1>
      <x:formula2>0</x:formula2>
    </x:dataValidation>
    <x:dataValidation type="list" errorStyle="stop" operator="between" allowBlank="1" showDropDown="0" showInputMessage="1" showErrorMessage="1" sqref="O136:O137">
      <x:formula1>"acres,MWe,m^3,MWt,Kg,Drums,kW,$,m^2,kg/s,kWe"</x:formula1>
      <x:formula2>0</x:formula2>
    </x:dataValidation>
    <x:dataValidation type="list" errorStyle="stop" operator="between" allowBlank="1" showDropDown="0" showInputMessage="1" showErrorMessage="1" sqref="L85 L139:L144">
      <x:formula1>"$/MWeHour,$/FTE,$/acres,$/MWe,$/m^3,$/MWt,$/Kg,$/Drum,$/(kg.sec),$/SWU,unitless"</x:formula1>
      <x:formula2>0</x:formula2>
    </x:dataValidation>
    <x:dataValidation type="list" errorStyle="stop" operator="between" allowBlank="1" showDropDown="0" showInputMessage="1" showErrorMessage="1" sqref="O85 O139:O144">
      <x:formula1>"acres,MWe,m^3,MWt,Kg,Drums,kW,$"</x:formula1>
      <x:formula2>0</x:formula2>
    </x:dataValidation>
    <x:dataValidation type="decimal" errorStyle="stop" operator="between" allowBlank="1" showDropDown="0" showInputMessage="1" showErrorMessage="1" sqref="P85 P139:P144">
      <x:formula1>0</x:formula1>
      <x:formula2>1</x:formula2>
    </x:dataValidation>
    <x:dataValidation type="list" errorStyle="stop" operator="between" allowBlank="1" showDropDown="0" showInputMessage="1" showErrorMessage="1" sqref="E2:E201">
      <x:formula1>"standard,nonstandard"</x:formula1>
      <x:formula2>0</x:formula2>
    </x:dataValidation>
    <x:dataValidation type="list" errorStyle="stop" operator="between" allowBlank="1" showDropDown="0" showInputMessage="1" showErrorMessage="1" sqref="R2:R201">
      <x:formula1>"NA,General,Labor,Material,Equipment,Lab and Mat and Equip,'Lab and Equip"</x:formula1>
      <x:formula2>0</x:formula2>
    </x:dataValidation>
    <x:dataValidation type="list" errorStyle="stop" operator="between" allowBlank="1" showDropDown="0" showInputMessage="1" showErrorMessage="1" sqref="L115">
      <x:formula1>"$/heatpipe,$/m^2,$/MWeHour,$/FTE,$/acres,$/MWe,$/m^3,$/MWt,$/Kg,$/Drum,$/(kg.sec),$/SWU,unitless,$/kWe"</x:formula1>
      <x:formula2>0</x:formula2>
    </x:dataValidation>
    <x:dataValidation type="list" errorStyle="stop" operator="between" allowBlank="1" showDropDown="0" showInputMessage="1" showErrorMessage="1" sqref="O14 O16:O17">
      <x:formula1>"m,acres,MWe,m^3,MWt,Kg,Drums,kW,$,m^2,kg/s"</x:formula1>
      <x:formula2>0</x:formula2>
    </x:dataValidation>
    <x:dataValidation type="list" errorStyle="stop" operator="between" allowBlank="1" showDropDown="0" showInputMessage="1" showErrorMessage="1" sqref="L14 L16:L17">
      <x:formula1>"$/m,$/m^2,$/MWeHour,$/FTE,$/acres,$/MWe,$/m^3,$/MWt,$/Kg,$/Drum,$/(kg.sec),$/SWU,unitless,$/kWe"</x:formula1>
      <x:formula2>0</x:formula2>
    </x:dataValidation>
  </x:dataValidations>
  <x:hyperlinks>
    <x:hyperlink xmlns:r="http://schemas.openxmlformats.org/officeDocument/2006/relationships" ref="U3" r:id="R6422c651c89b4be0"/>
    <x:hyperlink xmlns:r="http://schemas.openxmlformats.org/officeDocument/2006/relationships" ref="U5" r:id="R4bd0ddf9137e49c8"/>
    <x:hyperlink xmlns:r="http://schemas.openxmlformats.org/officeDocument/2006/relationships" ref="U22" r:id="R99151cdbcf5a4ec0"/>
    <x:hyperlink xmlns:r="http://schemas.openxmlformats.org/officeDocument/2006/relationships" ref="U23" r:id="Rd35725a6fc194955"/>
    <x:hyperlink xmlns:r="http://schemas.openxmlformats.org/officeDocument/2006/relationships" ref="U37" r:id="Rfc580d06b8a445d5"/>
    <x:hyperlink xmlns:r="http://schemas.openxmlformats.org/officeDocument/2006/relationships" ref="U53" r:id="R0b59e8fa3512483d"/>
    <x:hyperlink xmlns:r="http://schemas.openxmlformats.org/officeDocument/2006/relationships" ref="U113" r:id="Rb5cf359afa0b4dfa"/>
    <x:hyperlink xmlns:r="http://schemas.openxmlformats.org/officeDocument/2006/relationships" ref="U124" r:id="R020b9dd5e34e4c5d"/>
    <x:hyperlink xmlns:r="http://schemas.openxmlformats.org/officeDocument/2006/relationships" ref="U134" r:id="R0d4c4dab7e1f44eb"/>
    <x:hyperlink xmlns:r="http://schemas.openxmlformats.org/officeDocument/2006/relationships" ref="U135" r:id="R42cbcd45ec3748c6"/>
    <x:hyperlink xmlns:r="http://schemas.openxmlformats.org/officeDocument/2006/relationships" ref="U139" r:id="R391420c37f1e475d"/>
    <x:hyperlink xmlns:r="http://schemas.openxmlformats.org/officeDocument/2006/relationships" ref="U140" r:id="R236878ad560a48ec"/>
    <x:hyperlink xmlns:r="http://schemas.openxmlformats.org/officeDocument/2006/relationships" ref="U173" r:id="R656f6ef0f11b4ff3"/>
  </x:hyperlinks>
  <x:pageMargins left="0.7" right="0.7" top="0.75" bottom="0.75" header="0.3" footer="0.3"/>
</x:worksheet>
</file>

<file path=xl/worksheets/sheet2.xml><?xml version="1.0" encoding="utf-8"?>
<x:worksheet xmlns:x="http://schemas.openxmlformats.org/spreadsheetml/2006/main">
  <x:sheetViews>
    <x:sheetView showGridLines="1" workbookViewId="0"/>
  </x:sheetViews>
  <x:sheetFormatPr defaultColWidth="11.5078125" defaultRowHeight="15"/>
  <x:cols>
    <x:col min="1" max="1" width="11.670000076293945" style="64" hidden="0" customWidth="1"/>
    <x:col min="2" max="2" width="35.66999816894531" style="65" hidden="0" customWidth="1"/>
    <x:col min="3" max="3" width="20.65999984741211" style="66" hidden="0" customWidth="1"/>
    <x:col min="5" max="5" width="12.670000076293945" style="67" hidden="0" customWidth="1"/>
  </x:cols>
  <x:sheetData>
    <x:row r="1" ht="26.25" hidden="0" customHeight="1">
      <x:c r="A1" s="68" t="s">
        <x:v>445</x:v>
      </x:c>
      <x:c r="B1" s="69" t="s">
        <x:v>3</x:v>
      </x:c>
      <x:c r="C1" s="70" t="s">
        <x:v>446</x:v>
      </x:c>
    </x:row>
    <x:row r="2" ht="15" hidden="0" customHeight="1">
      <x:c r="A2" s="68"/>
      <x:c r="B2" s="68"/>
      <x:c r="C2" s="68"/>
    </x:row>
    <x:row r="3" ht="27.75" hidden="0" customHeight="1">
      <x:c r="A3" s="71" t="n">
        <x:v>10</x:v>
      </x:c>
      <x:c r="B3" s="72" t="s">
        <x:v>33</x:v>
      </x:c>
      <x:c r="C3" s="73" t="n">
        <x:f aca="0">C4</x:f>
        <x:v>5210451</x:v>
      </x:c>
    </x:row>
    <x:row r="4" ht="27.75" hidden="0" customHeight="1">
      <x:c r="A4" s="74" t="n">
        <x:v>15</x:v>
      </x:c>
      <x:c r="B4" s="75" t="s">
        <x:v>64</x:v>
      </x:c>
      <x:c r="C4" s="76" t="n">
        <x:v>5210451</x:v>
      </x:c>
      <x:c r="E4" s="76"/>
    </x:row>
    <x:row r="5" ht="27.75" hidden="0" customHeight="1">
      <x:c r="A5" s="71" t="n">
        <x:v>20</x:v>
      </x:c>
      <x:c r="B5" s="72" t="s">
        <x:v>69</x:v>
      </x:c>
      <x:c r="C5" s="73" t="n">
        <x:f aca="0">C6+C13+C45+C48+C52+C54</x:f>
        <x:v>30295715.422000002</x:v>
      </x:c>
    </x:row>
    <x:row r="6" ht="27.75" hidden="0" customHeight="1">
      <x:c r="A6" s="74" t="n">
        <x:v>21</x:v>
      </x:c>
      <x:c r="B6" s="75" t="s">
        <x:v>70</x:v>
      </x:c>
      <x:c r="C6" s="76" t="n">
        <x:f aca="0">C7+C8+C9+C10</x:f>
        <x:v>2799006.732</x:v>
      </x:c>
    </x:row>
    <x:row r="7" ht="27.75" hidden="0" customHeight="1">
      <x:c r="A7" s="74" t="n">
        <x:v>211</x:v>
      </x:c>
      <x:c r="B7" s="75" t="s">
        <x:v>447</x:v>
      </x:c>
      <x:c r="C7" s="76"/>
    </x:row>
    <x:row r="8" ht="27.75" hidden="0" customHeight="1">
      <x:c r="A8" s="74" t="n">
        <x:v>212</x:v>
      </x:c>
      <x:c r="B8" s="75" t="s">
        <x:v>93</x:v>
      </x:c>
      <x:c r="C8" s="76" t="n">
        <x:v>2573469.872</x:v>
      </x:c>
    </x:row>
    <x:row r="9" ht="27.75" hidden="0" customHeight="1">
      <x:c r="A9" s="74" t="n">
        <x:v>213</x:v>
      </x:c>
      <x:c r="B9" s="75" t="s">
        <x:v>111</x:v>
      </x:c>
      <x:c r="C9" s="76"/>
    </x:row>
    <x:row r="10" ht="27.75" hidden="0" customHeight="1">
      <x:c r="A10" s="74" t="n">
        <x:v>214</x:v>
      </x:c>
      <x:c r="B10" s="75" t="s">
        <x:v>138</x:v>
      </x:c>
      <x:c r="C10" s="76" t="n">
        <x:f aca="0">SUM(C11)</x:f>
        <x:v>225536.86</x:v>
      </x:c>
    </x:row>
    <x:row r="11" ht="27.75" hidden="0" customHeight="1">
      <x:c r="A11" s="74" t="n">
        <x:v>214.7</x:v>
      </x:c>
      <x:c r="B11" s="75" t="s">
        <x:v>448</x:v>
      </x:c>
      <x:c r="C11" s="76" t="n">
        <x:v>225536.86</x:v>
      </x:c>
      <x:c r="E11" s="77"/>
    </x:row>
    <x:row r="12" ht="27.75" hidden="0" customHeight="1">
      <x:c r="A12" s="74" t="n">
        <x:v>217</x:v>
      </x:c>
      <x:c r="B12" s="75" t="s">
        <x:v>449</x:v>
      </x:c>
      <x:c r="C12" s="76"/>
    </x:row>
    <x:row r="13" ht="27.75" hidden="0" customHeight="1">
      <x:c r="A13" s="74" t="n">
        <x:v>22</x:v>
      </x:c>
      <x:c r="B13" s="75" t="s">
        <x:v>192</x:v>
      </x:c>
      <x:c r="C13" s="76" t="n">
        <x:f aca="0">C14+C32+C41+C42+C43+C44</x:f>
        <x:v>17586712.57</x:v>
      </x:c>
    </x:row>
    <x:row r="14" ht="27.75" hidden="0" customHeight="1">
      <x:c r="A14" s="74" t="n">
        <x:v>221</x:v>
      </x:c>
      <x:c r="B14" s="75" t="s">
        <x:v>193</x:v>
      </x:c>
      <x:c r="C14" s="76" t="n">
        <x:f aca="0">C15+C19+C25</x:f>
        <x:v>8937296.6</x:v>
      </x:c>
    </x:row>
    <x:row r="15" ht="27.75" hidden="0" customHeight="1">
      <x:c r="A15" s="74" t="n">
        <x:v>221.1</x:v>
      </x:c>
      <x:c r="B15" s="75" t="s">
        <x:v>450</x:v>
      </x:c>
      <x:c r="C15" s="76" t="n">
        <x:f aca="0">C16+C17+C18</x:f>
        <x:v>2004852</x:v>
      </x:c>
    </x:row>
    <x:row r="16" ht="27.75" hidden="0" customHeight="1">
      <x:c r="A16" s="74" t="n">
        <x:v>221.11</x:v>
      </x:c>
      <x:c r="B16" s="75" t="s">
        <x:v>451</x:v>
      </x:c>
      <x:c r="C16" s="76" t="n">
        <x:v>762382.4</x:v>
      </x:c>
    </x:row>
    <x:row r="17" ht="27.75" hidden="0" customHeight="1">
      <x:c r="A17" s="74" t="n">
        <x:v>221.12</x:v>
      </x:c>
      <x:c r="B17" s="78" t="s">
        <x:v>452</x:v>
      </x:c>
      <x:c r="C17" s="76" t="n">
        <x:v>1201688.6</x:v>
      </x:c>
    </x:row>
    <x:row r="18" ht="27.75" hidden="0" customHeight="1">
      <x:c r="A18" s="74" t="n">
        <x:v>221.13</x:v>
      </x:c>
      <x:c r="B18" s="78" t="s">
        <x:v>453</x:v>
      </x:c>
      <x:c r="C18" s="76" t="n">
        <x:v>40781</x:v>
      </x:c>
    </x:row>
    <x:row r="19" ht="27.75" hidden="0" customHeight="1">
      <x:c r="A19" s="74" t="n">
        <x:v>221.2</x:v>
      </x:c>
      <x:c r="B19" s="78" t="s">
        <x:v>454</x:v>
      </x:c>
      <x:c r="C19" s="76" t="n">
        <x:f aca="0">C20</x:f>
        <x:v>2114223</x:v>
      </x:c>
    </x:row>
    <x:row r="20" ht="30" hidden="0" customHeight="1">
      <x:c r="A20" s="74" t="n">
        <x:v>221.21</x:v>
      </x:c>
      <x:c r="B20" s="78" t="s">
        <x:v>455</x:v>
      </x:c>
      <x:c r="C20" s="76" t="n">
        <x:f aca="0">SUM(C21:C23)</x:f>
        <x:v>2114223</x:v>
      </x:c>
    </x:row>
    <x:row r="21" ht="27.75" hidden="0" customHeight="1">
      <x:c r="A21" s="79" t="n">
        <x:v>221.211</x:v>
      </x:c>
      <x:c r="B21" s="80" t="s">
        <x:v>216</x:v>
      </x:c>
      <x:c r="C21" s="76" t="n">
        <x:v>1391560</x:v>
      </x:c>
      <x:c r="D21" s="81"/>
    </x:row>
    <x:row r="22" ht="27.75" hidden="0" customHeight="1">
      <x:c r="A22" s="79" t="n">
        <x:v>221.212</x:v>
      </x:c>
      <x:c r="B22" s="80" t="s">
        <x:v>224</x:v>
      </x:c>
      <x:c r="C22" s="76" t="n">
        <x:v>322663</x:v>
      </x:c>
    </x:row>
    <x:row r="23" ht="27.75" hidden="0" customHeight="1">
      <x:c r="A23" s="79" t="n">
        <x:v>221.213</x:v>
      </x:c>
      <x:c r="B23" s="80" t="s">
        <x:v>225</x:v>
      </x:c>
      <x:c r="C23" s="76" t="n">
        <x:v>400000</x:v>
      </x:c>
    </x:row>
    <x:row r="24" ht="27.75" hidden="0" customHeight="1">
      <x:c r="A24" s="79" t="n">
        <x:v>221.214</x:v>
      </x:c>
      <x:c r="B24" s="80" t="s">
        <x:v>232</x:v>
      </x:c>
    </x:row>
    <x:row r="25" ht="27.75" hidden="0" customHeight="1">
      <x:c r="A25" s="74" t="n">
        <x:v>221.3</x:v>
      </x:c>
      <x:c r="B25" s="78" t="s">
        <x:v>456</x:v>
      </x:c>
      <x:c r="C25" s="76" t="n">
        <x:f aca="0">C26+C30+C31</x:f>
        <x:v>4818221.6</x:v>
      </x:c>
    </x:row>
    <x:row r="26" ht="27.75" hidden="0" customHeight="1">
      <x:c r="A26" s="74" t="n">
        <x:v>221.31</x:v>
      </x:c>
      <x:c r="B26" s="78" t="s">
        <x:v>258</x:v>
      </x:c>
      <x:c r="C26" s="76" t="n">
        <x:v>4170231</x:v>
      </x:c>
    </x:row>
    <x:row r="27" ht="27.75" hidden="0" customHeight="1">
      <x:c r="A27" s="82" t="n">
        <x:v>221.311</x:v>
      </x:c>
      <x:c r="B27" s="78" t="s">
        <x:v>457</x:v>
      </x:c>
      <x:c r="C27" s="76" t="n">
        <x:v>3200000</x:v>
      </x:c>
    </x:row>
    <x:row r="28" ht="27.75" hidden="0" customHeight="1">
      <x:c r="A28" s="82" t="n">
        <x:v>221.312</x:v>
      </x:c>
      <x:c r="B28" s="78" t="s">
        <x:v>458</x:v>
      </x:c>
      <x:c r="C28" s="76" t="n">
        <x:v>850000</x:v>
      </x:c>
    </x:row>
    <x:row r="29" ht="27.75" hidden="0" customHeight="1">
      <x:c r="A29" s="82" t="n">
        <x:v>221.313</x:v>
      </x:c>
      <x:c r="B29" s="78" t="s">
        <x:v>459</x:v>
      </x:c>
      <x:c r="C29" s="76" t="n">
        <x:v>120231</x:v>
      </x:c>
    </x:row>
    <x:row r="30" ht="27.75" hidden="0" customHeight="1">
      <x:c r="A30" s="74" t="n">
        <x:v>221.32</x:v>
      </x:c>
      <x:c r="B30" s="78" t="s">
        <x:v>265</x:v>
      </x:c>
      <x:c r="C30" s="76" t="n">
        <x:v>647990.6</x:v>
      </x:c>
    </x:row>
    <x:row r="31" ht="27.75" hidden="0" customHeight="1">
      <x:c r="A31" s="74" t="n">
        <x:v>221.33</x:v>
      </x:c>
      <x:c r="B31" s="78" t="s">
        <x:v>273</x:v>
      </x:c>
      <x:c r="C31" s="76" t="n">
        <x:v>0</x:v>
      </x:c>
    </x:row>
    <x:row r="32" ht="27.75" hidden="0" customHeight="1">
      <x:c r="A32" s="74" t="s">
        <x:v>460</x:v>
      </x:c>
      <x:c r="B32" s="75" t="s">
        <x:v>287</x:v>
      </x:c>
      <x:c r="C32" s="76" t="n">
        <x:f aca="0">C33+C34+C38+C39+C40</x:f>
        <x:v>5908950.6</x:v>
      </x:c>
    </x:row>
    <x:row r="33" ht="27.75" hidden="0" customHeight="1">
      <x:c r="A33" s="74" t="n">
        <x:v>222.1</x:v>
      </x:c>
      <x:c r="B33" s="75" t="s">
        <x:v>461</x:v>
      </x:c>
      <x:c r="C33" s="76" t="n">
        <x:v>0</x:v>
      </x:c>
    </x:row>
    <x:row r="34" ht="27.75" hidden="0" customHeight="1">
      <x:c r="A34" s="74" t="n">
        <x:v>222.2</x:v>
      </x:c>
      <x:c r="B34" s="75" t="s">
        <x:v>462</x:v>
      </x:c>
      <x:c r="C34" s="76" t="n">
        <x:v>4890230.6</x:v>
      </x:c>
    </x:row>
    <x:row r="35" ht="27.75" hidden="0" customHeight="1">
      <x:c r="A35" s="74" t="n">
        <x:v>222.21</x:v>
      </x:c>
      <x:c r="B35" s="75" t="s">
        <x:v>463</x:v>
      </x:c>
      <x:c r="C35" s="76" t="n">
        <x:v>1520786</x:v>
      </x:c>
    </x:row>
    <x:row r="36" ht="57" hidden="0" customHeight="1">
      <x:c r="A36" s="74" t="n">
        <x:v>222.22</x:v>
      </x:c>
      <x:c r="B36" s="75" t="s">
        <x:v>464</x:v>
      </x:c>
      <x:c r="C36" s="76" t="n">
        <x:v>3341486</x:v>
      </x:c>
    </x:row>
    <x:row r="37" ht="57" hidden="0" customHeight="1">
      <x:c r="A37" s="74" t="n">
        <x:v>222.23</x:v>
      </x:c>
      <x:c r="B37" s="75" t="s">
        <x:v>465</x:v>
      </x:c>
      <x:c r="C37" s="76" t="n">
        <x:v>27958.6</x:v>
      </x:c>
    </x:row>
    <x:row r="38" ht="27.75" hidden="0" customHeight="1">
      <x:c r="A38" s="74" t="n">
        <x:v>222.3</x:v>
      </x:c>
      <x:c r="B38" s="75" t="s">
        <x:v>312</x:v>
      </x:c>
      <x:c r="C38" s="76" t="n">
        <x:v>0</x:v>
      </x:c>
    </x:row>
    <x:row r="39" ht="27.75" hidden="0" customHeight="1">
      <x:c r="A39" s="74" t="n">
        <x:v>222.4</x:v>
      </x:c>
      <x:c r="B39" s="75" t="s">
        <x:v>466</x:v>
      </x:c>
      <x:c r="C39" s="76" t="n">
        <x:v>0</x:v>
      </x:c>
    </x:row>
    <x:row r="40" ht="27.75" hidden="0" customHeight="1">
      <x:c r="A40" s="74" t="n">
        <x:v>222.5</x:v>
      </x:c>
      <x:c r="B40" s="75" t="s">
        <x:v>467</x:v>
      </x:c>
      <x:c r="C40" s="76" t="n">
        <x:v>1018720</x:v>
      </x:c>
    </x:row>
    <x:row r="41" ht="27.75" hidden="0" customHeight="1">
      <x:c r="A41" s="74" t="s">
        <x:v>468</x:v>
      </x:c>
      <x:c r="B41" s="75" t="s">
        <x:v>469</x:v>
      </x:c>
      <x:c r="C41" s="76"/>
    </x:row>
    <x:row r="42" ht="27.75" hidden="0" customHeight="1">
      <x:c r="A42" s="74" t="s">
        <x:v>470</x:v>
      </x:c>
      <x:c r="B42" s="75" t="s">
        <x:v>341</x:v>
      </x:c>
      <x:c r="C42" s="76" t="n">
        <x:v>456297</x:v>
      </x:c>
    </x:row>
    <x:row r="43" ht="27.75" hidden="0" customHeight="1">
      <x:c r="A43" s="74" t="s">
        <x:v>471</x:v>
      </x:c>
      <x:c r="B43" s="75" t="s">
        <x:v>349</x:v>
      </x:c>
      <x:c r="C43" s="76" t="n">
        <x:v>2253208.37</x:v>
      </x:c>
    </x:row>
    <x:row r="44" ht="27.75" hidden="0" customHeight="1">
      <x:c r="A44" s="74" t="s">
        <x:v>472</x:v>
      </x:c>
      <x:c r="B44" s="75" t="s">
        <x:v>355</x:v>
      </x:c>
      <x:c r="C44" s="76" t="n">
        <x:v>30960</x:v>
      </x:c>
    </x:row>
    <x:row r="45" ht="27.75" hidden="0" customHeight="1">
      <x:c r="A45" s="74" t="n">
        <x:v>23</x:v>
      </x:c>
      <x:c r="B45" s="75" t="s">
        <x:v>473</x:v>
      </x:c>
      <x:c r="C45" s="76" t="n">
        <x:f aca="0">C46</x:f>
        <x:v>0</x:v>
      </x:c>
    </x:row>
    <x:row r="46" ht="27.75" hidden="0" customHeight="1">
      <x:c r="A46" s="74" t="n">
        <x:v>232</x:v>
      </x:c>
      <x:c r="B46" s="75" t="s">
        <x:v>357</x:v>
      </x:c>
      <x:c r="C46" s="76" t="n">
        <x:f aca="0">C47</x:f>
        <x:v>0</x:v>
      </x:c>
    </x:row>
    <x:row r="47" ht="27.75" hidden="0" customHeight="1">
      <x:c r="A47" s="74" t="n">
        <x:v>232.1</x:v>
      </x:c>
      <x:c r="B47" s="75" t="s">
        <x:v>358</x:v>
      </x:c>
      <x:c r="C47" s="76" t="n">
        <x:v>0</x:v>
      </x:c>
    </x:row>
    <x:row r="48" ht="27.75" hidden="0" customHeight="1">
      <x:c r="A48" s="74" t="n">
        <x:v>24</x:v>
      </x:c>
      <x:c r="B48" s="75" t="s">
        <x:v>364</x:v>
      </x:c>
      <x:c r="C48" s="76" t="n">
        <x:f aca="0">C49+C50+C51</x:f>
        <x:v>73415.62000000001</x:v>
      </x:c>
    </x:row>
    <x:row r="49" ht="27.75" hidden="0" customHeight="1">
      <x:c r="A49" s="74" t="s">
        <x:v>474</x:v>
      </x:c>
      <x:c r="B49" s="75" t="s">
        <x:v>475</x:v>
      </x:c>
      <x:c r="C49" s="76" t="n">
        <x:v>1627.02</x:v>
      </x:c>
    </x:row>
    <x:row r="50" ht="27.75" hidden="0" customHeight="1">
      <x:c r="A50" s="74" t="s">
        <x:v>476</x:v>
      </x:c>
      <x:c r="B50" s="75" t="s">
        <x:v>477</x:v>
      </x:c>
      <x:c r="C50" s="76" t="n">
        <x:v>0</x:v>
      </x:c>
    </x:row>
    <x:row r="51" ht="27.75" hidden="0" customHeight="1">
      <x:c r="A51" s="74" t="s">
        <x:v>478</x:v>
      </x:c>
      <x:c r="B51" s="75" t="s">
        <x:v>479</x:v>
      </x:c>
      <x:c r="C51" s="76" t="n">
        <x:v>71788.6</x:v>
      </x:c>
    </x:row>
    <x:row r="52" ht="27.75" hidden="0" customHeight="1">
      <x:c r="A52" s="74" t="n">
        <x:v>25</x:v>
      </x:c>
      <x:c r="B52" s="75" t="s">
        <x:v>371</x:v>
      </x:c>
      <x:c r="C52" s="76" t="n">
        <x:f aca="0">C53</x:f>
        <x:v>9836580.5</x:v>
      </x:c>
    </x:row>
    <x:row r="53" ht="27.75" hidden="0" customHeight="1">
      <x:c r="A53" s="74" t="s">
        <x:v>480</x:v>
      </x:c>
      <x:c r="B53" s="75" t="s">
        <x:v>378</x:v>
      </x:c>
      <x:c r="C53" s="76" t="n">
        <x:v>9836580.5</x:v>
      </x:c>
    </x:row>
    <x:row r="54" ht="27.75" hidden="0" customHeight="1">
      <x:c r="A54" s="74" t="n">
        <x:v>26</x:v>
      </x:c>
      <x:c r="B54" s="75" t="s">
        <x:v>481</x:v>
      </x:c>
      <x:c r="C54" s="76"/>
    </x:row>
    <x:row r="55" ht="27.75" hidden="0" customHeight="1">
      <x:c r="A55" s="71" t="n">
        <x:v>30</x:v>
      </x:c>
      <x:c r="B55" s="72" t="s">
        <x:v>388</x:v>
      </x:c>
      <x:c r="C55" s="73" t="n">
        <x:f aca="0">C56+C58+C62+C65+C68</x:f>
        <x:v>6442742.523737832</x:v>
      </x:c>
    </x:row>
    <x:row r="56" ht="27.75" hidden="0" customHeight="1">
      <x:c r="A56" s="74" t="n">
        <x:v>31</x:v>
      </x:c>
      <x:c r="B56" s="75" t="s">
        <x:v>482</x:v>
      </x:c>
      <x:c r="C56" s="76" t="n">
        <x:f aca="0">C57</x:f>
        <x:v>1333020.8</x:v>
      </x:c>
    </x:row>
    <x:row r="57" ht="27.75" hidden="0" customHeight="1">
      <x:c r="A57" s="74" t="n">
        <x:v>317</x:v>
      </x:c>
      <x:c r="B57" s="75" t="s">
        <x:v>483</x:v>
      </x:c>
      <x:c r="C57" s="76" t="n">
        <x:v>1333020.8</x:v>
      </x:c>
    </x:row>
    <x:row r="58" ht="27.75" hidden="0" customHeight="1">
      <x:c r="A58" s="74" t="n">
        <x:v>33</x:v>
      </x:c>
      <x:c r="B58" s="75" t="s">
        <x:v>391</x:v>
      </x:c>
      <x:c r="C58" s="76" t="n">
        <x:f aca="0">C59</x:f>
        <x:v>2407166.4</x:v>
      </x:c>
    </x:row>
    <x:row r="59" ht="27.75" hidden="0" customHeight="1">
      <x:c r="A59" s="74" t="n">
        <x:v>331</x:v>
      </x:c>
      <x:c r="B59" s="75" t="s">
        <x:v>484</x:v>
      </x:c>
      <x:c r="C59" s="76" t="n">
        <x:f aca="0">C60+C61</x:f>
        <x:v>2407166.4</x:v>
      </x:c>
    </x:row>
    <x:row r="60" ht="27.75" hidden="0" customHeight="1">
      <x:c r="A60" s="74" t="n">
        <x:v>331.3</x:v>
      </x:c>
      <x:c r="B60" s="75" t="s">
        <x:v>485</x:v>
      </x:c>
      <x:c r="C60" s="76" t="n">
        <x:v>215000</x:v>
      </x:c>
    </x:row>
    <x:row r="61" ht="27.75" hidden="0" customHeight="1">
      <x:c r="A61" s="74" t="n">
        <x:v>331.5</x:v>
      </x:c>
      <x:c r="B61" s="75" t="s">
        <x:v>486</x:v>
      </x:c>
      <x:c r="C61" s="76" t="n">
        <x:v>2192166.4</x:v>
      </x:c>
    </x:row>
    <x:row r="62" ht="27.75" hidden="0" customHeight="1">
      <x:c r="A62" s="74" t="n">
        <x:v>34</x:v>
      </x:c>
      <x:c r="B62" s="75" t="s">
        <x:v>392</x:v>
      </x:c>
      <x:c r="C62" s="76" t="n">
        <x:f aca="0">C63+C64</x:f>
        <x:v>1665282.8</x:v>
      </x:c>
    </x:row>
    <x:row r="63" ht="27.75" hidden="0" customHeight="1">
      <x:c r="A63" s="74" t="n">
        <x:v>341</x:v>
      </x:c>
      <x:c r="B63" s="75" t="s">
        <x:v>487</x:v>
      </x:c>
      <x:c r="C63" s="76" t="n">
        <x:v>1635355.8</x:v>
      </x:c>
    </x:row>
    <x:row r="64" ht="27.75" hidden="0" customHeight="1">
      <x:c r="A64" s="74" t="n">
        <x:v>345</x:v>
      </x:c>
      <x:c r="B64" s="75" t="s">
        <x:v>488</x:v>
      </x:c>
      <x:c r="C64" s="76" t="n">
        <x:v>29927</x:v>
      </x:c>
    </x:row>
    <x:row r="65" ht="27.75" hidden="0" customHeight="1">
      <x:c r="A65" s="74" t="n">
        <x:v>35</x:v>
      </x:c>
      <x:c r="B65" s="75" t="s">
        <x:v>393</x:v>
      </x:c>
      <x:c r="C65" s="76" t="n">
        <x:f aca="0">C66+C67</x:f>
        <x:v>620313.587737832</x:v>
      </x:c>
    </x:row>
    <x:row r="66" ht="27.75" hidden="0" customHeight="1">
      <x:c r="A66" s="74" t="n">
        <x:v>351</x:v>
      </x:c>
      <x:c r="B66" s="75" t="s">
        <x:v>489</x:v>
      </x:c>
      <x:c r="C66" s="76" t="n">
        <x:v>257261.4</x:v>
      </x:c>
    </x:row>
    <x:row r="67" ht="27.75" hidden="0" customHeight="1">
      <x:c r="A67" s="74" t="n">
        <x:v>352</x:v>
      </x:c>
      <x:c r="B67" s="75" t="s">
        <x:v>490</x:v>
      </x:c>
      <x:c r="C67" s="76" t="n">
        <x:v>363052.187737832</x:v>
      </x:c>
    </x:row>
    <x:row r="68" ht="27.75" hidden="0" customHeight="1">
      <x:c r="A68" s="74" t="n">
        <x:v>36</x:v>
      </x:c>
      <x:c r="B68" s="75" t="s">
        <x:v>394</x:v>
      </x:c>
      <x:c r="C68" s="76" t="n">
        <x:f aca="0">C69+C70</x:f>
        <x:v>416958.936</x:v>
      </x:c>
    </x:row>
    <x:row r="69" ht="27.75" hidden="0" customHeight="1">
      <x:c r="A69" s="74" t="n">
        <x:v>361</x:v>
      </x:c>
      <x:c r="B69" s="75" t="s">
        <x:v>489</x:v>
      </x:c>
      <x:c r="C69" s="76"/>
    </x:row>
    <x:row r="70" ht="27.75" hidden="0" customHeight="1">
      <x:c r="A70" s="74" t="n">
        <x:v>362</x:v>
      </x:c>
      <x:c r="B70" s="75" t="s">
        <x:v>490</x:v>
      </x:c>
      <x:c r="C70" s="76" t="n">
        <x:v>416958.936</x:v>
      </x:c>
    </x:row>
    <x:row r="71" ht="27.75" hidden="0" customHeight="1">
      <x:c r="A71" s="71" t="n">
        <x:v>40</x:v>
      </x:c>
      <x:c r="B71" s="72" t="s">
        <x:v>491</x:v>
      </x:c>
      <x:c r="C71" s="73" t="n">
        <x:f aca="0">C72</x:f>
        <x:v>4169765</x:v>
      </x:c>
    </x:row>
    <x:row r="72" ht="27.75" hidden="0" customHeight="1">
      <x:c r="A72" s="74" t="n">
        <x:v>41</x:v>
      </x:c>
      <x:c r="B72" s="75" t="s">
        <x:v>492</x:v>
      </x:c>
      <x:c r="C72" s="76" t="n">
        <x:v>4169765</x:v>
      </x:c>
    </x:row>
    <x:row r="73" ht="27.75" hidden="0" customHeight="1">
      <x:c r="A73" s="71" t="n">
        <x:v>50</x:v>
      </x:c>
      <x:c r="B73" s="72" t="s">
        <x:v>493</x:v>
      </x:c>
      <x:c r="C73" s="73" t="n">
        <x:f aca="0">C74</x:f>
        <x:v>16408781.6</x:v>
      </x:c>
    </x:row>
    <x:row r="74" ht="27.75" hidden="0" customHeight="1">
      <x:c r="A74" s="74" t="n">
        <x:v>54</x:v>
      </x:c>
      <x:c r="B74" s="75" t="s">
        <x:v>494</x:v>
      </x:c>
      <x:c r="C74" s="76" t="n">
        <x:v>16408781.6</x:v>
      </x:c>
    </x:row>
    <x:row r="75" ht="27.75" hidden="0" customHeight="1">
      <x:c r="A75" s="71" t="n">
        <x:v>60</x:v>
      </x:c>
      <x:c r="B75" s="72" t="s">
        <x:v>399</x:v>
      </x:c>
      <x:c r="C75" s="73" t="n">
        <x:f aca="0">C76</x:f>
        <x:v>6160606</x:v>
      </x:c>
    </x:row>
    <x:row r="76" ht="27.75" hidden="0" customHeight="1">
      <x:c r="A76" s="74" t="n">
        <x:v>61</x:v>
      </x:c>
      <x:c r="B76" s="75" t="s">
        <x:v>495</x:v>
      </x:c>
      <x:c r="C76" s="76" t="n">
        <x:v>6160606</x:v>
      </x:c>
    </x:row>
    <x:row r="77" ht="27.75" hidden="0" customHeight="1">
      <x:c r="A77" s="74" t="n">
        <x:v>70</x:v>
      </x:c>
      <x:c r="B77" s="75" t="s">
        <x:v>401</x:v>
      </x:c>
      <x:c r="C77" s="76" t="n">
        <x:f aca="0">C78</x:f>
        <x:v>2456659.2</x:v>
      </x:c>
    </x:row>
    <x:row r="78" ht="27.75" hidden="0" customHeight="1">
      <x:c r="A78" s="74" t="n">
        <x:v>71</x:v>
      </x:c>
      <x:c r="B78" s="75" t="s">
        <x:v>402</x:v>
      </x:c>
      <x:c r="C78" s="76" t="n">
        <x:v>2456659.2</x:v>
      </x:c>
    </x:row>
    <x:row r="79" ht="84.75" hidden="0" customHeight="1">
      <x:c r="A79" s="78" t="s">
        <x:v>496</x:v>
      </x:c>
      <x:c r="B79" s="75" t="s">
        <x:v>496</x:v>
      </x:c>
      <x:c r="C79" s="76" t="n">
        <x:v>33779050.1382622</x:v>
      </x:c>
    </x:row>
  </x:sheetData>
  <x:mergeCells>
    <x:mergeCell ref="A1:A2"/>
    <x:mergeCell ref="B1:B2"/>
    <x:mergeCell ref="C1:C2"/>
  </x:mergeCells>
  <x:pageMargins left="0.7" right="0.7" top="0.75" bottom="0.75" header="0.3" footer="0.3"/>
</x:worksheet>
</file>

<file path=xl/worksheets/sheet3.xml><?xml version="1.0" encoding="utf-8"?>
<x:worksheet xmlns:x="http://schemas.openxmlformats.org/spreadsheetml/2006/main">
  <x:sheetPr>
    <x:tabColor rgb="FFFFFF00"/>
  </x:sheetPr>
  <x:sheetViews>
    <x:sheetView showGridLines="1" workbookViewId="0"/>
  </x:sheetViews>
  <x:sheetFormatPr defaultColWidth="10.66015625" defaultRowHeight="12.75"/>
  <x:cols>
    <x:col min="1" max="1" width="19" style="83" hidden="0" customWidth="1"/>
    <x:col min="2" max="2" width="16.5" style="83" hidden="0" customWidth="1"/>
    <x:col min="3" max="3" width="22.5" style="83" hidden="0" customWidth="1"/>
    <x:col min="4" max="4" width="32.5" style="83" hidden="0" customWidth="1"/>
    <x:col min="5" max="16384" width="10.65999984741211" style="83" hidden="0" customWidth="0"/>
  </x:cols>
  <x:sheetData>
    <x:row r="1" ht="30" hidden="0" customHeight="1">
      <x:c r="A1" s="84" t="s">
        <x:v>497</x:v>
      </x:c>
      <x:c r="B1" s="85" t="s">
        <x:v>498</x:v>
      </x:c>
      <x:c r="C1" s="85" t="s">
        <x:v>14</x:v>
      </x:c>
      <x:c r="D1" s="85" t="s">
        <x:v>499</x:v>
      </x:c>
    </x:row>
    <x:row r="2" ht="24.75" hidden="0" customHeight="1">
      <x:c r="A2" s="86" t="s">
        <x:v>500</x:v>
      </x:c>
      <x:c r="B2" s="86"/>
      <x:c r="C2" s="86"/>
      <x:c r="D2" s="86"/>
    </x:row>
    <x:row r="3" ht="24.75" hidden="0" customHeight="1">
      <x:c r="A3" s="87" t="s">
        <x:v>501</x:v>
      </x:c>
      <x:c r="B3" s="88" t="n">
        <x:v>83</x:v>
      </x:c>
      <x:c r="C3" s="89" t="s">
        <x:v>502</x:v>
      </x:c>
      <x:c r="D3" s="89" t="s">
        <x:v>503</x:v>
      </x:c>
    </x:row>
    <x:row r="4" ht="24.75" hidden="0" customHeight="1">
      <x:c r="A4" s="87" t="s">
        <x:v>504</x:v>
      </x:c>
      <x:c r="B4" s="88" t="n">
        <x:v>20</x:v>
      </x:c>
      <x:c r="C4" s="89" t="s">
        <x:v>505</x:v>
      </x:c>
      <x:c r="D4" s="89"/>
    </x:row>
    <x:row r="5" ht="24.75" hidden="0" customHeight="1">
      <x:c r="A5" s="87" t="s">
        <x:v>506</x:v>
      </x:c>
      <x:c r="B5" s="88" t="n">
        <x:v>5.5</x:v>
      </x:c>
      <x:c r="C5" s="89" t="s">
        <x:v>507</x:v>
      </x:c>
      <x:c r="D5" s="89" t="s">
        <x:v>503</x:v>
      </x:c>
    </x:row>
    <x:row r="6" ht="24.75" hidden="0" customHeight="1">
      <x:c r="A6" s="87" t="s">
        <x:v>508</x:v>
      </x:c>
      <x:c r="B6" s="88" t="n">
        <x:v>16.5</x:v>
      </x:c>
      <x:c r="C6" s="89" t="s">
        <x:v>507</x:v>
      </x:c>
      <x:c r="D6" s="89" t="s">
        <x:v>503</x:v>
      </x:c>
    </x:row>
    <x:row r="7" ht="24.75" hidden="0" customHeight="1">
      <x:c r="A7" s="86" t="s">
        <x:v>381</x:v>
      </x:c>
      <x:c r="B7" s="86"/>
      <x:c r="C7" s="86"/>
      <x:c r="D7" s="86"/>
    </x:row>
    <x:row r="8" ht="24.75" hidden="0" customHeight="1">
      <x:c r="A8" s="87" t="s">
        <x:v>509</x:v>
      </x:c>
      <x:c r="B8" s="88" t="n">
        <x:v>145.3</x:v>
      </x:c>
      <x:c r="C8" s="89" t="s">
        <x:v>510</x:v>
      </x:c>
      <x:c r="D8" s="89" t="s">
        <x:v>511</x:v>
      </x:c>
    </x:row>
    <x:row r="9" ht="24.75" hidden="0" customHeight="1">
      <x:c r="A9" s="87" t="s">
        <x:v>512</x:v>
      </x:c>
      <x:c r="B9" s="88" t="n">
        <x:v>30</x:v>
      </x:c>
      <x:c r="C9" s="89" t="s">
        <x:v>513</x:v>
      </x:c>
      <x:c r="D9" s="89" t="s">
        <x:v>514</x:v>
      </x:c>
    </x:row>
    <x:row r="10" ht="24.75" hidden="0" customHeight="1">
      <x:c r="A10" s="87" t="s">
        <x:v>515</x:v>
      </x:c>
      <x:c r="B10" s="88" t="n">
        <x:v>19.75</x:v>
      </x:c>
      <x:c r="C10" s="89" t="s">
        <x:v>513</x:v>
      </x:c>
      <x:c r="D10" s="89" t="s">
        <x:v>516</x:v>
      </x:c>
    </x:row>
    <x:row r="11" ht="24.75" hidden="0" customHeight="1">
      <x:c r="A11" s="87" t="s">
        <x:v>517</x:v>
      </x:c>
      <x:c r="B11" s="88" t="n">
        <x:v>36</x:v>
      </x:c>
      <x:c r="C11" s="89" t="s">
        <x:v>518</x:v>
      </x:c>
      <x:c r="D11" s="89" t="s">
        <x:v>503</x:v>
      </x:c>
    </x:row>
    <x:row r="12" ht="24.75" hidden="0" customHeight="1">
      <x:c r="A12" s="86" t="s">
        <x:v>258</x:v>
      </x:c>
      <x:c r="B12" s="86"/>
      <x:c r="C12" s="86"/>
      <x:c r="D12" s="86"/>
    </x:row>
    <x:row r="13" ht="24.75" hidden="0" customHeight="1">
      <x:c r="A13" s="87" t="s">
        <x:v>519</x:v>
      </x:c>
      <x:c r="B13" s="88" t="s">
        <x:v>234</x:v>
      </x:c>
      <x:c r="C13" s="89" t="s">
        <x:v>503</x:v>
      </x:c>
      <x:c r="D13" s="89" t="s">
        <x:v>520</x:v>
      </x:c>
    </x:row>
    <x:row r="14" ht="24.75" hidden="0" customHeight="1">
      <x:c r="A14" s="87" t="s">
        <x:v>521</x:v>
      </x:c>
      <x:c r="B14" s="88" t="n">
        <x:v>124</x:v>
      </x:c>
      <x:c r="C14" s="89" t="s">
        <x:v>518</x:v>
      </x:c>
      <x:c r="D14" s="89" t="s">
        <x:v>522</x:v>
      </x:c>
    </x:row>
    <x:row r="15" ht="24.75" hidden="0" customHeight="1">
      <x:c r="A15" s="87" t="s">
        <x:v>523</x:v>
      </x:c>
      <x:c r="B15" s="88" t="n">
        <x:v>1</x:v>
      </x:c>
      <x:c r="C15" s="89" t="s">
        <x:v>507</x:v>
      </x:c>
      <x:c r="D15" s="89" t="s">
        <x:v>503</x:v>
      </x:c>
    </x:row>
    <x:row r="16" ht="27.75" hidden="0" customHeight="1">
      <x:c r="A16" s="87" t="s">
        <x:v>524</x:v>
      </x:c>
      <x:c r="B16" s="88" t="n">
        <x:v>818.4</x:v>
      </x:c>
      <x:c r="C16" s="89" t="s">
        <x:v>525</x:v>
      </x:c>
      <x:c r="D16" s="89" t="s">
        <x:v>503</x:v>
      </x:c>
    </x:row>
    <x:row r="17" ht="24.75" hidden="0" customHeight="1">
      <x:c r="A17" s="87" t="s">
        <x:v>526</x:v>
      </x:c>
      <x:c r="B17" s="88" t="n">
        <x:v>318</x:v>
      </x:c>
      <x:c r="C17" s="89" t="s">
        <x:v>198</x:v>
      </x:c>
      <x:c r="D17" s="89"/>
    </x:row>
    <x:row r="18" ht="27.75" hidden="0" customHeight="1">
      <x:c r="A18" s="87" t="s">
        <x:v>527</x:v>
      </x:c>
      <x:c r="B18" s="88" t="n">
        <x:v>570</x:v>
      </x:c>
      <x:c r="C18" s="89" t="s">
        <x:v>525</x:v>
      </x:c>
      <x:c r="D18" s="89" t="s">
        <x:v>503</x:v>
      </x:c>
    </x:row>
    <x:row r="19" ht="24.75" hidden="0" customHeight="1">
      <x:c r="A19" s="87" t="s">
        <x:v>528</x:v>
      </x:c>
      <x:c r="B19" s="88" t="n">
        <x:v>0.019</x:v>
      </x:c>
      <x:c r="C19" s="89" t="s">
        <x:v>529</x:v>
      </x:c>
      <x:c r="D19" s="89" t="s">
        <x:v>503</x:v>
      </x:c>
    </x:row>
    <x:row r="20" ht="24.75" hidden="0" customHeight="1">
      <x:c r="A20" s="86" t="s">
        <x:v>530</x:v>
      </x:c>
      <x:c r="B20" s="86"/>
      <x:c r="C20" s="86"/>
      <x:c r="D20" s="86"/>
    </x:row>
    <x:row r="21" ht="24.75" hidden="0" customHeight="1">
      <x:c r="A21" s="87" t="s">
        <x:v>531</x:v>
      </x:c>
      <x:c r="B21" s="88" t="n">
        <x:v>4</x:v>
      </x:c>
      <x:c r="C21" s="89" t="s">
        <x:v>518</x:v>
      </x:c>
      <x:c r="D21" s="89" t="s">
        <x:v>503</x:v>
      </x:c>
    </x:row>
    <x:row r="22" ht="24.75" hidden="0" customHeight="1">
      <x:c r="A22" s="87" t="s">
        <x:v>532</x:v>
      </x:c>
      <x:c r="B22" s="88" t="n">
        <x:v>1</x:v>
      </x:c>
      <x:c r="C22" s="89" t="s">
        <x:v>518</x:v>
      </x:c>
      <x:c r="D22" s="89" t="s">
        <x:v>503</x:v>
      </x:c>
    </x:row>
    <x:row r="23" ht="24.75" hidden="0" customHeight="1">
      <x:c r="A23" s="87" t="s">
        <x:v>533</x:v>
      </x:c>
      <x:c r="B23" s="88" t="n">
        <x:v>124</x:v>
      </x:c>
      <x:c r="C23" s="89" t="s">
        <x:v>518</x:v>
      </x:c>
      <x:c r="D23" s="89" t="s">
        <x:v>534</x:v>
      </x:c>
    </x:row>
    <x:row r="24" ht="24.75" hidden="0" customHeight="1">
      <x:c r="A24" s="87" t="s">
        <x:v>535</x:v>
      </x:c>
      <x:c r="B24" s="88" t="n">
        <x:v>1</x:v>
      </x:c>
      <x:c r="C24" s="89" t="s">
        <x:v>507</x:v>
      </x:c>
      <x:c r="D24" s="89" t="s">
        <x:v>503</x:v>
      </x:c>
    </x:row>
    <x:row r="25" ht="27.75" hidden="0" customHeight="1">
      <x:c r="A25" s="87" t="s">
        <x:v>536</x:v>
      </x:c>
      <x:c r="B25" s="88" t="n">
        <x:v>880.8</x:v>
      </x:c>
      <x:c r="C25" s="89" t="s">
        <x:v>525</x:v>
      </x:c>
      <x:c r="D25" s="89" t="s">
        <x:v>537</x:v>
      </x:c>
    </x:row>
    <x:row r="26" ht="24.75" hidden="0" customHeight="1">
      <x:c r="A26" s="87" t="s">
        <x:v>538</x:v>
      </x:c>
      <x:c r="B26" s="88" t="n">
        <x:v>309</x:v>
      </x:c>
      <x:c r="C26" s="89" t="s">
        <x:v>198</x:v>
      </x:c>
      <x:c r="D26" s="89" t="s">
        <x:v>503</x:v>
      </x:c>
    </x:row>
    <x:row r="27" ht="31.5" hidden="0" customHeight="1">
      <x:c r="A27" s="87" t="s">
        <x:v>539</x:v>
      </x:c>
      <x:c r="B27" s="88" t="n">
        <x:v>49.2</x:v>
      </x:c>
      <x:c r="C27" s="89" t="s">
        <x:v>525</x:v>
      </x:c>
      <x:c r="D27" s="89" t="s">
        <x:v>540</x:v>
      </x:c>
    </x:row>
    <x:row r="28" ht="24.75" hidden="0" customHeight="1">
      <x:c r="A28" s="87" t="s">
        <x:v>541</x:v>
      </x:c>
      <x:c r="B28" s="88" t="n">
        <x:v>14</x:v>
      </x:c>
      <x:c r="C28" s="89" t="s">
        <x:v>198</x:v>
      </x:c>
      <x:c r="D28" s="89" t="s">
        <x:v>503</x:v>
      </x:c>
    </x:row>
    <x:row r="29" ht="31.5" hidden="0" customHeight="1">
      <x:c r="A29" s="87" t="s">
        <x:v>542</x:v>
      </x:c>
      <x:c r="B29" s="88" t="n">
        <x:v>14</x:v>
      </x:c>
      <x:c r="C29" s="89" t="s">
        <x:v>198</x:v>
      </x:c>
      <x:c r="D29" s="89" t="s">
        <x:v>540</x:v>
      </x:c>
    </x:row>
    <x:row r="30" ht="24.75" hidden="0" customHeight="1">
      <x:c r="A30" s="86" t="s">
        <x:v>543</x:v>
      </x:c>
      <x:c r="B30" s="86"/>
      <x:c r="C30" s="86"/>
      <x:c r="D30" s="86"/>
    </x:row>
    <x:row r="31" ht="24.75" hidden="0" customHeight="1">
      <x:c r="A31" s="87" t="s">
        <x:v>544</x:v>
      </x:c>
      <x:c r="B31" s="88" t="n">
        <x:v>5</x:v>
      </x:c>
      <x:c r="C31" s="90"/>
      <x:c r="D31" s="89" t="s">
        <x:v>503</x:v>
      </x:c>
    </x:row>
    <x:row r="32" ht="24.75" hidden="0" customHeight="1">
      <x:c r="A32" s="87" t="s">
        <x:v>545</x:v>
      </x:c>
      <x:c r="B32" s="88" t="n">
        <x:v>2</x:v>
      </x:c>
      <x:c r="C32" s="90"/>
      <x:c r="D32" s="89" t="s">
        <x:v>503</x:v>
      </x:c>
    </x:row>
    <x:row r="33" ht="24.75" hidden="0" customHeight="1">
      <x:c r="A33" s="87" t="s">
        <x:v>546</x:v>
      </x:c>
      <x:c r="B33" s="88" t="n">
        <x:v>9</x:v>
      </x:c>
      <x:c r="C33" s="90"/>
      <x:c r="D33" s="89" t="s">
        <x:v>503</x:v>
      </x:c>
    </x:row>
    <x:row r="34" ht="24.75" hidden="0" customHeight="1">
      <x:c r="A34" s="87" t="s">
        <x:v>547</x:v>
      </x:c>
      <x:c r="B34" s="88" t="n">
        <x:v>213</x:v>
      </x:c>
      <x:c r="C34" s="90"/>
      <x:c r="D34" s="89" t="s">
        <x:v>503</x:v>
      </x:c>
    </x:row>
    <x:row r="35" s="95" customFormat="1" ht="51.75" hidden="0" customHeight="1">
      <x:c r="A35" s="91" t="s">
        <x:v>548</x:v>
      </x:c>
      <x:c r="B35" s="92" t="n">
        <x:v>48</x:v>
      </x:c>
      <x:c r="C35" s="93" t="s">
        <x:v>503</x:v>
      </x:c>
      <x:c r="D35" s="94" t="s">
        <x:v>549</x:v>
      </x:c>
    </x:row>
    <x:row r="36" s="95" customFormat="1" ht="24.75" hidden="0" customHeight="1">
      <x:c r="A36" s="91" t="s">
        <x:v>550</x:v>
      </x:c>
      <x:c r="B36" s="92" t="n">
        <x:v>277</x:v>
      </x:c>
      <x:c r="C36" s="93"/>
      <x:c r="D36" s="94"/>
    </x:row>
    <x:row r="37" ht="24.75" hidden="0" customHeight="1">
      <x:c r="A37" s="86" t="s">
        <x:v>551</x:v>
      </x:c>
      <x:c r="B37" s="86"/>
      <x:c r="C37" s="86"/>
      <x:c r="D37" s="86"/>
    </x:row>
    <x:row r="38" ht="24.75" hidden="0" customHeight="1">
      <x:c r="A38" s="87" t="s">
        <x:v>552</x:v>
      </x:c>
      <x:c r="B38" s="88" t="n">
        <x:v>54.2</x:v>
      </x:c>
      <x:c r="C38" s="89" t="s">
        <x:v>198</x:v>
      </x:c>
      <x:c r="D38" s="89" t="s">
        <x:v>553</x:v>
      </x:c>
    </x:row>
    <x:row r="39" ht="24.75" hidden="0" customHeight="1">
      <x:c r="A39" s="87" t="s">
        <x:v>554</x:v>
      </x:c>
      <x:c r="B39" s="88" t="n">
        <x:v>56.3</x:v>
      </x:c>
      <x:c r="C39" s="89" t="s">
        <x:v>198</x:v>
      </x:c>
      <x:c r="D39" s="89" t="s">
        <x:v>555</x:v>
      </x:c>
    </x:row>
    <x:row r="40" ht="24.75" hidden="0" customHeight="1">
      <x:c r="A40" s="87" t="s">
        <x:v>556</x:v>
      </x:c>
      <x:c r="B40" s="88" t="n">
        <x:v>39.7</x:v>
      </x:c>
      <x:c r="C40" s="89" t="s">
        <x:v>198</x:v>
      </x:c>
      <x:c r="D40" s="89" t="s">
        <x:v>557</x:v>
      </x:c>
    </x:row>
    <x:row r="41" ht="24.75" hidden="0" customHeight="1">
      <x:c r="A41" s="87" t="s">
        <x:v>558</x:v>
      </x:c>
      <x:c r="B41" s="88" t="n">
        <x:v>95.3</x:v>
      </x:c>
      <x:c r="C41" s="89" t="s">
        <x:v>198</x:v>
      </x:c>
      <x:c r="D41" s="89" t="s">
        <x:v>559</x:v>
      </x:c>
    </x:row>
    <x:row r="42" ht="24.75" hidden="0" customHeight="1">
      <x:c r="A42" s="87" t="s">
        <x:v>560</x:v>
      </x:c>
      <x:c r="B42" s="88" t="n">
        <x:v>2571.9</x:v>
      </x:c>
      <x:c r="C42" s="89" t="s">
        <x:v>198</x:v>
      </x:c>
      <x:c r="D42" s="89" t="s">
        <x:v>561</x:v>
      </x:c>
    </x:row>
    <x:row r="43" ht="24.75" hidden="0" customHeight="1">
      <x:c r="A43" s="87" t="s">
        <x:v>562</x:v>
      </x:c>
      <x:c r="B43" s="88" t="n">
        <x:v>925.3</x:v>
      </x:c>
      <x:c r="C43" s="89" t="s">
        <x:v>198</x:v>
      </x:c>
      <x:c r="D43" s="89" t="s">
        <x:v>563</x:v>
      </x:c>
    </x:row>
    <x:row r="44" ht="24.75" hidden="0" customHeight="1">
      <x:c r="A44" s="86" t="s">
        <x:v>564</x:v>
      </x:c>
      <x:c r="B44" s="86"/>
      <x:c r="C44" s="86"/>
      <x:c r="D44" s="86"/>
    </x:row>
    <x:row r="45" ht="24.75" hidden="0" customHeight="1">
      <x:c r="A45" s="87" t="s">
        <x:v>565</x:v>
      </x:c>
      <x:c r="B45" s="88" t="n">
        <x:v>8.3</x:v>
      </x:c>
      <x:c r="C45" s="89" t="s">
        <x:v>529</x:v>
      </x:c>
      <x:c r="D45" s="89" t="s">
        <x:v>566</x:v>
      </x:c>
    </x:row>
    <x:row r="46" ht="24.75" hidden="0" customHeight="1">
      <x:c r="A46" s="86" t="s">
        <x:v>567</x:v>
      </x:c>
      <x:c r="B46" s="86"/>
      <x:c r="C46" s="86"/>
      <x:c r="D46" s="86"/>
    </x:row>
    <x:row r="47" ht="24.75" hidden="0" customHeight="1">
      <x:c r="A47" s="87" t="s">
        <x:v>568</x:v>
      </x:c>
      <x:c r="B47" s="88" t="n">
        <x:v>156</x:v>
      </x:c>
      <x:c r="C47" s="89" t="s">
        <x:v>198</x:v>
      </x:c>
      <x:c r="D47" s="89" t="s">
        <x:v>569</x:v>
      </x:c>
    </x:row>
    <x:row r="48" ht="24.75" hidden="0" customHeight="1">
      <x:c r="A48" s="87" t="s">
        <x:v>570</x:v>
      </x:c>
      <x:c r="B48" s="88" t="n">
        <x:v>4</x:v>
      </x:c>
      <x:c r="C48" s="89" t="s">
        <x:v>518</x:v>
      </x:c>
      <x:c r="D48" s="89" t="s">
        <x:v>571</x:v>
      </x:c>
    </x:row>
    <x:row r="49" ht="24.75" hidden="0" customHeight="1">
      <x:c r="A49" s="87" t="s">
        <x:v>572</x:v>
      </x:c>
      <x:c r="B49" s="88" t="n">
        <x:v>0.86</x:v>
      </x:c>
      <x:c r="C49" s="89" t="s">
        <x:v>529</x:v>
      </x:c>
      <x:c r="D49" s="89" t="s">
        <x:v>573</x:v>
      </x:c>
    </x:row>
    <x:row r="50" ht="24.75" hidden="0" customHeight="1">
      <x:c r="A50" s="86" t="s">
        <x:v>574</x:v>
      </x:c>
      <x:c r="B50" s="86"/>
      <x:c r="C50" s="86"/>
      <x:c r="D50" s="86"/>
    </x:row>
    <x:row r="51" ht="24.75" hidden="0" customHeight="1">
      <x:c r="A51" s="87" t="s">
        <x:v>575</x:v>
      </x:c>
      <x:c r="B51" s="88" t="n">
        <x:v>1.11</x:v>
      </x:c>
      <x:c r="C51" s="89" t="s">
        <x:v>529</x:v>
      </x:c>
      <x:c r="D51" s="89" t="s">
        <x:v>569</x:v>
      </x:c>
    </x:row>
    <x:row r="52" ht="24.75" hidden="0" customHeight="1">
      <x:c r="A52" s="87" t="s">
        <x:v>576</x:v>
      </x:c>
      <x:c r="B52" s="88" t="n">
        <x:v>1.587</x:v>
      </x:c>
      <x:c r="C52" s="89" t="s">
        <x:v>529</x:v>
      </x:c>
      <x:c r="D52" s="89" t="s">
        <x:v>569</x:v>
      </x:c>
    </x:row>
  </x:sheetData>
  <x:mergeCells>
    <x:mergeCell ref="A2:D2"/>
    <x:mergeCell ref="A7:D7"/>
    <x:mergeCell ref="A12:D12"/>
    <x:mergeCell ref="A20:D20"/>
    <x:mergeCell ref="A30:D30"/>
    <x:mergeCell ref="A37:D37"/>
    <x:mergeCell ref="A44:D44"/>
    <x:mergeCell ref="A46:D46"/>
    <x:mergeCell ref="A50:D50"/>
  </x:mergeCells>
  <x:pageMargins left="0.7" right="0.7" top="0.75" bottom="0.75" header="0.3" footer="0.3"/>
</x:worksheet>
</file>

<file path=xl/worksheets/sheet4.xml><?xml version="1.0" encoding="utf-8"?>
<x:worksheet xmlns:x="http://schemas.openxmlformats.org/spreadsheetml/2006/main">
  <x:sheetViews>
    <x:sheetView showGridLines="1" workbookViewId="0"/>
  </x:sheetViews>
  <x:sheetFormatPr defaultColWidth="11.5078125" defaultRowHeight="15"/>
  <x:cols>
    <x:col min="2" max="2" width="15" style="67" hidden="0" customWidth="1"/>
    <x:col min="5" max="5" width="10" style="67" hidden="0" customWidth="1"/>
    <x:col min="6" max="6" width="17.15999984741211" style="67" hidden="0" customWidth="1"/>
    <x:col min="7" max="7" width="12.5" style="67" hidden="0" customWidth="1"/>
  </x:cols>
  <x:sheetData>
    <x:row r="1" ht="15" hidden="0" customHeight="1">
      <x:c r="A1" s="96" t="s">
        <x:v>577</x:v>
      </x:c>
      <x:c r="B1" s="96" t="s">
        <x:v>39</x:v>
      </x:c>
      <x:c r="C1" s="96" t="s">
        <x:v>53</x:v>
      </x:c>
      <x:c r="D1" s="96" t="s">
        <x:v>229</x:v>
      </x:c>
      <x:c r="E1" s="96" t="s">
        <x:v>163</x:v>
      </x:c>
      <x:c r="F1" s="96" t="s">
        <x:v>96</x:v>
      </x:c>
      <x:c r="G1" s="96" t="s">
        <x:v>73</x:v>
      </x:c>
    </x:row>
    <x:row r="2" ht="15" hidden="0" customHeight="1">
      <x:c r="A2" s="67" t="n">
        <x:v>1978</x:v>
      </x:c>
      <x:c r="B2" s="97" t="n">
        <x:v>3.1209</x:v>
      </x:c>
      <x:c r="C2" s="97" t="n">
        <x:v>4.2536</x:v>
      </x:c>
      <x:c r="D2" s="97" t="n">
        <x:v>3.811</x:v>
      </x:c>
      <x:c r="E2" s="97" t="n">
        <x:v>5.3954</x:v>
      </x:c>
      <x:c r="F2" s="98" t="n">
        <x:f aca="0">(C2+D2+E2)/3</x:f>
        <x:v>4.486666666666666</x:v>
      </x:c>
      <x:c r="G2" s="98" t="n">
        <x:f aca="0">AVERAGE(C2,E2)</x:f>
        <x:v>4.8245000000000005</x:v>
      </x:c>
      <x:c r="J2" s="97"/>
      <x:c r="K2" s="97"/>
      <x:c r="L2" s="97"/>
      <x:c r="M2" s="97"/>
    </x:row>
    <x:row r="3" ht="15" hidden="0" customHeight="1">
      <x:c r="A3" s="67" t="n">
        <x:v>1985</x:v>
      </x:c>
      <x:c r="B3" s="97" t="n">
        <x:v>2.53800998598027</x:v>
      </x:c>
      <x:c r="C3" s="97" t="n">
        <x:v>3.31228628230616</x:v>
      </x:c>
      <x:c r="D3" s="97" t="n">
        <x:v>3.14612610211513</x:v>
      </x:c>
      <x:c r="E3" s="97" t="n">
        <x:v>4.06039685435672</x:v>
      </x:c>
      <x:c r="F3" s="98" t="n">
        <x:f aca="0">(C3+D3+E3)/3</x:f>
        <x:v>3.506269746259337</x:v>
      </x:c>
      <x:c r="G3" s="98" t="n">
        <x:f aca="0">AVERAGE(C3,E3)</x:f>
        <x:v>3.68634156833144</x:v>
      </x:c>
      <x:c r="J3" s="97"/>
      <x:c r="K3" s="97"/>
      <x:c r="L3" s="97"/>
      <x:c r="M3" s="97"/>
    </x:row>
    <x:row r="4" ht="15" hidden="0" customHeight="1">
      <x:c r="A4" s="67" t="n">
        <x:v>1986</x:v>
      </x:c>
      <x:c r="B4" s="97" t="n">
        <x:v>2.48779755820009</x:v>
      </x:c>
      <x:c r="C4" s="97" t="n">
        <x:v>3.20862782859894</x:v>
      </x:c>
      <x:c r="D4" s="97" t="n">
        <x:v>3.15247648474497</x:v>
      </x:c>
      <x:c r="E4" s="97" t="n">
        <x:v>3.95708203556101</x:v>
      </x:c>
      <x:c r="F4" s="98" t="n">
        <x:f aca="0">(C4+D4+E4)/3</x:f>
        <x:v>3.4393954496349735</x:v>
      </x:c>
      <x:c r="G4" s="98" t="n">
        <x:f aca="0">AVERAGE(C4,E4)</x:f>
        <x:v>3.582854932079975</x:v>
      </x:c>
      <x:c r="J4" s="97"/>
      <x:c r="K4" s="97"/>
      <x:c r="L4" s="97"/>
      <x:c r="M4" s="97"/>
    </x:row>
    <x:row r="5" ht="15" hidden="0" customHeight="1">
      <x:c r="A5" s="67" t="n">
        <x:v>1987</x:v>
      </x:c>
      <x:c r="B5" s="97" t="n">
        <x:v>2.42782425380333</x:v>
      </x:c>
      <x:c r="C5" s="97" t="n">
        <x:v>3.11126050420168</x:v>
      </x:c>
      <x:c r="D5" s="97" t="n">
        <x:v>3.0891631494865</x:v>
      </x:c>
      <x:c r="E5" s="97" t="n">
        <x:v>3.92102114216282</x:v>
      </x:c>
      <x:c r="F5" s="98" t="n">
        <x:f aca="0">(C5+D5+E5)/3</x:f>
        <x:v>3.373814931950333</x:v>
      </x:c>
      <x:c r="G5" s="98" t="n">
        <x:f aca="0">AVERAGE(C5,E5)</x:f>
        <x:v>3.51614082318225</x:v>
      </x:c>
      <x:c r="J5" s="97"/>
      <x:c r="K5" s="97"/>
      <x:c r="L5" s="97"/>
      <x:c r="M5" s="97"/>
    </x:row>
    <x:row r="6" ht="15" hidden="0" customHeight="1">
      <x:c r="A6" s="67" t="n">
        <x:v>1988</x:v>
      </x:c>
      <x:c r="B6" s="97" t="n">
        <x:v>2.34514692981459</x:v>
      </x:c>
      <x:c r="C6" s="97" t="n">
        <x:v>2.98982503364738</x:v>
      </x:c>
      <x:c r="D6" s="97" t="n">
        <x:v>2.92579073420275</x:v>
      </x:c>
      <x:c r="E6" s="97" t="n">
        <x:v>3.73603519536903</x:v>
      </x:c>
      <x:c r="F6" s="98" t="n">
        <x:f aca="0">(C6+D6+E6)/3</x:f>
        <x:v>3.21721698773972</x:v>
      </x:c>
      <x:c r="G6" s="98" t="n">
        <x:f aca="0">AVERAGE(C6,E6)</x:f>
        <x:v>3.362930114508205</x:v>
      </x:c>
      <x:c r="J6" s="97"/>
      <x:c r="K6" s="97"/>
      <x:c r="L6" s="97"/>
      <x:c r="M6" s="97"/>
    </x:row>
    <x:row r="7" ht="15" hidden="0" customHeight="1">
      <x:c r="A7" s="67" t="n">
        <x:v>1989</x:v>
      </x:c>
      <x:c r="B7" s="97" t="n">
        <x:v>2.25651825545389</x:v>
      </x:c>
      <x:c r="C7" s="97" t="n">
        <x:v>2.8925</x:v>
      </x:c>
      <x:c r="D7" s="97" t="n">
        <x:v>2.83232542372881</x:v>
      </x:c>
      <x:c r="E7" s="97" t="n">
        <x:v>3.51142589771491</x:v>
      </x:c>
      <x:c r="F7" s="98" t="n">
        <x:f aca="0">(C7+D7+E7)/3</x:f>
        <x:v>3.07875044048124</x:v>
      </x:c>
      <x:c r="G7" s="98" t="n">
        <x:f aca="0">AVERAGE(C7,E7)</x:f>
        <x:v>3.201962948857455</x:v>
      </x:c>
      <x:c r="J7" s="97"/>
      <x:c r="K7" s="97"/>
      <x:c r="L7" s="97"/>
      <x:c r="M7" s="97"/>
    </x:row>
    <x:row r="8" ht="15" hidden="0" customHeight="1">
      <x:c r="A8" s="67" t="n">
        <x:v>1990</x:v>
      </x:c>
      <x:c r="B8" s="97" t="n">
        <x:v>2.17493122447001</x:v>
      </x:c>
      <x:c r="C8" s="97" t="n">
        <x:v>2.76527800829876</x:v>
      </x:c>
      <x:c r="D8" s="97" t="n">
        <x:v>2.82897099066462</x:v>
      </x:c>
      <x:c r="E8" s="97" t="n">
        <x:v>3.41752756155679</x:v>
      </x:c>
      <x:c r="F8" s="98" t="n">
        <x:f aca="0">(C8+D8+E8)/3</x:f>
        <x:v>3.00392552017339</x:v>
      </x:c>
      <x:c r="G8" s="98" t="n">
        <x:f aca="0">AVERAGE(C8,E8)</x:f>
        <x:v>3.0914027849277748</x:v>
      </x:c>
      <x:c r="J8" s="97"/>
      <x:c r="K8" s="97"/>
      <x:c r="L8" s="97"/>
      <x:c r="M8" s="97"/>
    </x:row>
    <x:row r="9" ht="15" hidden="0" customHeight="1">
      <x:c r="A9" s="67" t="n">
        <x:v>1991</x:v>
      </x:c>
      <x:c r="B9" s="97" t="n">
        <x:v>2.10391700784576</x:v>
      </x:c>
      <x:c r="C9" s="97" t="n">
        <x:v>2.65616580310881</x:v>
      </x:c>
      <x:c r="D9" s="97" t="n">
        <x:v>2.81095456181642</x:v>
      </x:c>
      <x:c r="E9" s="97" t="n">
        <x:v>3.30529456500864</x:v>
      </x:c>
      <x:c r="F9" s="98" t="n">
        <x:f aca="0">(C9+D9+E9)/3</x:f>
        <x:v>2.9241383099779568</x:v>
      </x:c>
      <x:c r="G9" s="98" t="n">
        <x:f aca="0">AVERAGE(C9,E9)</x:f>
        <x:v>2.980730184058725</x:v>
      </x:c>
      <x:c r="J9" s="97"/>
      <x:c r="K9" s="97"/>
      <x:c r="L9" s="97"/>
      <x:c r="M9" s="97"/>
    </x:row>
    <x:row r="10" ht="15" hidden="0" customHeight="1">
      <x:c r="A10" s="67" t="n">
        <x:v>1992</x:v>
      </x:c>
      <x:c r="B10" s="97" t="n">
        <x:v>2.05709246042821</x:v>
      </x:c>
      <x:c r="C10" s="97" t="n">
        <x:v>2.57409038238702</x:v>
      </x:c>
      <x:c r="D10" s="97" t="n">
        <x:v>2.76219642201211</x:v>
      </x:c>
      <x:c r="E10" s="97" t="n">
        <x:v>3.16935770670923</x:v>
      </x:c>
      <x:c r="F10" s="98" t="n">
        <x:f aca="0">(C10+D10+E10)/3</x:f>
        <x:v>2.8352148370361197</x:v>
      </x:c>
      <x:c r="G10" s="98" t="n">
        <x:f aca="0">AVERAGE(C10,E10)</x:f>
        <x:v>2.8717240445481247</x:v>
      </x:c>
      <x:c r="J10" s="97"/>
      <x:c r="K10" s="97"/>
      <x:c r="L10" s="97"/>
      <x:c r="M10" s="97"/>
    </x:row>
    <x:row r="11" ht="15" hidden="0" customHeight="1">
      <x:c r="A11" s="67" t="n">
        <x:v>1993</x:v>
      </x:c>
      <x:c r="B11" s="97" t="n">
        <x:v>2.00942265150335</x:v>
      </x:c>
      <x:c r="C11" s="97" t="n">
        <x:v>2.49226626776365</x:v>
      </x:c>
      <x:c r="D11" s="97" t="n">
        <x:v>2.63135365474339</x:v>
      </x:c>
      <x:c r="E11" s="97" t="n">
        <x:v>2.99350686456401</x:v>
      </x:c>
      <x:c r="F11" s="98" t="n">
        <x:f aca="0">(C11+D11+E11)/3</x:f>
        <x:v>2.705708929023683</x:v>
      </x:c>
      <x:c r="G11" s="98" t="n">
        <x:f aca="0">AVERAGE(C11,E11)</x:f>
        <x:v>2.74288656616383</x:v>
      </x:c>
      <x:c r="J11" s="97"/>
      <x:c r="K11" s="97"/>
      <x:c r="L11" s="97"/>
      <x:c r="M11" s="97"/>
    </x:row>
    <x:row r="12" ht="15" hidden="0" customHeight="1">
      <x:c r="A12" s="67" t="n">
        <x:v>1994</x:v>
      </x:c>
      <x:c r="B12" s="97" t="n">
        <x:v>1.96743197071385</x:v>
      </x:c>
      <x:c r="C12" s="97" t="n">
        <x:v>2.40328885683375</x:v>
      </x:c>
      <x:c r="D12" s="97" t="n">
        <x:v>2.52814404183788</x:v>
      </x:c>
      <x:c r="E12" s="97" t="n">
        <x:v>2.90622573454914</x:v>
      </x:c>
      <x:c r="F12" s="98" t="n">
        <x:f aca="0">(C12+D12+E12)/3</x:f>
        <x:v>2.612552877740257</x:v>
      </x:c>
      <x:c r="G12" s="98" t="n">
        <x:f aca="0">AVERAGE(C12,E12)</x:f>
        <x:v>2.6547572956914447</x:v>
      </x:c>
      <x:c r="J12" s="97"/>
      <x:c r="K12" s="97"/>
      <x:c r="L12" s="97"/>
      <x:c r="M12" s="97"/>
    </x:row>
    <x:row r="13" ht="15" hidden="0" customHeight="1">
      <x:c r="A13" s="67" t="n">
        <x:v>1995</x:v>
      </x:c>
      <x:c r="B13" s="97" t="n">
        <x:v>1.92697317606986</x:v>
      </x:c>
      <x:c r="C13" s="97" t="n">
        <x:v>2.36155917788802</x:v>
      </x:c>
      <x:c r="D13" s="97" t="n">
        <x:v>2.43725164155813</x:v>
      </x:c>
      <x:c r="E13" s="97" t="n">
        <x:v>2.85654253941909</x:v>
      </x:c>
      <x:c r="F13" s="98" t="n">
        <x:f aca="0">(C13+D13+E13)/3</x:f>
        <x:v>2.5517844529550797</x:v>
      </x:c>
      <x:c r="G13" s="98" t="n">
        <x:f aca="0">AVERAGE(C13,E13)</x:f>
        <x:v>2.6090508586535552</x:v>
      </x:c>
      <x:c r="J13" s="97"/>
      <x:c r="K13" s="97"/>
      <x:c r="L13" s="97"/>
      <x:c r="M13" s="97"/>
    </x:row>
    <x:row r="14" ht="15" hidden="0" customHeight="1">
      <x:c r="A14" s="67" t="n">
        <x:v>1996</x:v>
      </x:c>
      <x:c r="B14" s="97" t="n">
        <x:v>1.89237627502833</x:v>
      </x:c>
      <x:c r="C14" s="97" t="n">
        <x:v>2.3036017974421</x:v>
      </x:c>
      <x:c r="D14" s="97" t="n">
        <x:v>2.42343337312008</x:v>
      </x:c>
      <x:c r="E14" s="97" t="n">
        <x:v>2.79575516569201</x:v>
      </x:c>
      <x:c r="F14" s="98" t="n">
        <x:f aca="0">(C14+D14+E14)/3</x:f>
        <x:v>2.5075967787513966</x:v>
      </x:c>
      <x:c r="G14" s="98" t="n">
        <x:f aca="0">AVERAGE(C14,E14)</x:f>
        <x:v>2.549678481567055</x:v>
      </x:c>
      <x:c r="J14" s="97"/>
      <x:c r="K14" s="97"/>
      <x:c r="L14" s="97"/>
      <x:c r="M14" s="97"/>
    </x:row>
    <x:row r="15" ht="15" hidden="0" customHeight="1">
      <x:c r="A15" s="67" t="n">
        <x:v>1997</x:v>
      </x:c>
      <x:c r="B15" s="97" t="n">
        <x:v>1.86027330482502</x:v>
      </x:c>
      <x:c r="C15" s="97" t="n">
        <x:v>2.24463455708993</x:v>
      </x:c>
      <x:c r="D15" s="97" t="n">
        <x:v>2.38178483195495</x:v>
      </x:c>
      <x:c r="E15" s="97" t="n">
        <x:v>2.7305519276535</x:v>
      </x:c>
      <x:c r="F15" s="98" t="n">
        <x:f aca="0">(C15+D15+E15)/3</x:f>
        <x:v>2.4523237722327935</x:v>
      </x:c>
      <x:c r="G15" s="98" t="n">
        <x:f aca="0">AVERAGE(C15,E15)</x:f>
        <x:v>2.487593242371715</x:v>
      </x:c>
      <x:c r="J15" s="97"/>
      <x:c r="K15" s="97"/>
      <x:c r="L15" s="97"/>
      <x:c r="M15" s="97"/>
    </x:row>
    <x:row r="16" ht="15" hidden="0" customHeight="1">
      <x:c r="A16" s="67" t="n">
        <x:v>1998</x:v>
      </x:c>
      <x:c r="B16" s="97" t="n">
        <x:v>1.8396117820303</x:v>
      </x:c>
      <x:c r="C16" s="97" t="n">
        <x:v>2.17717085919634</x:v>
      </x:c>
      <x:c r="D16" s="97" t="n">
        <x:v>2.39343685017093</x:v>
      </x:c>
      <x:c r="E16" s="97" t="n">
        <x:v>2.67191090871455</x:v>
      </x:c>
      <x:c r="F16" s="98" t="n">
        <x:f aca="0">(C16+D16+E16)/3</x:f>
        <x:v>2.4141728726939395</x:v>
      </x:c>
      <x:c r="G16" s="98" t="n">
        <x:f aca="0">AVERAGE(C16,E16)</x:f>
        <x:v>2.424540883955445</x:v>
      </x:c>
      <x:c r="J16" s="97"/>
      <x:c r="K16" s="97"/>
      <x:c r="L16" s="97"/>
      <x:c r="M16" s="97"/>
    </x:row>
    <x:row r="17" ht="15" hidden="0" customHeight="1">
      <x:c r="A17" s="67" t="n">
        <x:v>1999</x:v>
      </x:c>
      <x:c r="B17" s="97" t="n">
        <x:v>1.81396693691857</x:v>
      </x:c>
      <x:c r="C17" s="97" t="n">
        <x:v>2.10496525584334</x:v>
      </x:c>
      <x:c r="D17" s="97" t="n">
        <x:v>2.37038407565233</x:v>
      </x:c>
      <x:c r="E17" s="97" t="n">
        <x:v>2.65501138478943</x:v>
      </x:c>
      <x:c r="F17" s="98" t="n">
        <x:f aca="0">(C17+D17+E17)/3</x:f>
        <x:v>2.3767869054283666</x:v>
      </x:c>
      <x:c r="G17" s="98" t="n">
        <x:f aca="0">AVERAGE(C17,E17)</x:f>
        <x:v>2.379988320316385</x:v>
      </x:c>
      <x:c r="J17" s="97"/>
      <x:c r="K17" s="97"/>
      <x:c r="L17" s="97"/>
      <x:c r="M17" s="97"/>
    </x:row>
    <x:row r="18" ht="15" hidden="0" customHeight="1">
      <x:c r="A18" s="67" t="n">
        <x:v>2000</x:v>
      </x:c>
      <x:c r="B18" s="97" t="n">
        <x:v>1.77376770538244</x:v>
      </x:c>
      <x:c r="C18" s="97" t="n">
        <x:v>2.00732530120482</x:v>
      </x:c>
      <x:c r="D18" s="97" t="n">
        <x:v>2.34763540498352</x:v>
      </x:c>
      <x:c r="E18" s="97" t="n">
        <x:v>2.62691459679471</x:v>
      </x:c>
      <x:c r="F18" s="98" t="n">
        <x:f aca="0">(C18+D18+E18)/3</x:f>
        <x:v>2.3272917676610168</x:v>
      </x:c>
      <x:c r="G18" s="98" t="n">
        <x:f aca="0">AVERAGE(C18,E18)</x:f>
        <x:v>2.317119948999765</x:v>
      </x:c>
      <x:c r="J18" s="97"/>
      <x:c r="K18" s="97"/>
      <x:c r="L18" s="97"/>
      <x:c r="M18" s="97"/>
    </x:row>
    <x:row r="19" ht="15" hidden="0" customHeight="1">
      <x:c r="A19" s="67" t="n">
        <x:v>2001</x:v>
      </x:c>
      <x:c r="B19" s="97" t="n">
        <x:v>1.73461144843631</x:v>
      </x:c>
      <x:c r="C19" s="97" t="n">
        <x:v>1.91723820483314</x:v>
      </x:c>
      <x:c r="D19" s="97" t="n">
        <x:v>2.36969243697479</x:v>
      </x:c>
      <x:c r="E19" s="97" t="n">
        <x:v>2.54332330427073</x:v>
      </x:c>
      <x:c r="F19" s="98" t="n">
        <x:f aca="0">(C19+D19+E19)/3</x:f>
        <x:v>2.276751315359553</x:v>
      </x:c>
      <x:c r="G19" s="98" t="n">
        <x:f aca="0">AVERAGE(C19,E19)</x:f>
        <x:v>2.230280754551935</x:v>
      </x:c>
      <x:c r="J19" s="97"/>
      <x:c r="K19" s="97"/>
      <x:c r="L19" s="97"/>
      <x:c r="M19" s="97"/>
    </x:row>
    <x:row r="20" ht="15" hidden="0" customHeight="1">
      <x:c r="A20" s="67" t="n">
        <x:v>2002</x:v>
      </x:c>
      <x:c r="B20" s="97" t="n">
        <x:v>1.70809739948023</x:v>
      </x:c>
      <x:c r="C20" s="97" t="n">
        <x:v>1.85429048414023</x:v>
      </x:c>
      <x:c r="D20" s="97" t="n">
        <x:v>2.34980901568196</x:v>
      </x:c>
      <x:c r="E20" s="97" t="n">
        <x:v>2.5197406861549</x:v>
      </x:c>
      <x:c r="F20" s="98" t="n">
        <x:f aca="0">(C20+D20+E20)/3</x:f>
        <x:v>2.2412800619923634</x:v>
      </x:c>
      <x:c r="G20" s="98" t="n">
        <x:f aca="0">AVERAGE(C20,E20)</x:f>
        <x:v>2.1870155851475648</x:v>
      </x:c>
      <x:c r="J20" s="97"/>
      <x:c r="K20" s="97"/>
      <x:c r="L20" s="97"/>
      <x:c r="M20" s="97"/>
    </x:row>
    <x:row r="21" ht="15" hidden="0" customHeight="1">
      <x:c r="A21" s="67" t="n">
        <x:v>2003</x:v>
      </x:c>
      <x:c r="B21" s="97" t="n">
        <x:v>1.67513323095205</x:v>
      </x:c>
      <x:c r="C21" s="97" t="n">
        <x:v>1.79052122514777</x:v>
      </x:c>
      <x:c r="D21" s="97" t="n">
        <x:v>2.30029171245681</x:v>
      </x:c>
      <x:c r="E21" s="97" t="n">
        <x:v>2.4774246149417</x:v>
      </x:c>
      <x:c r="F21" s="98" t="n">
        <x:f aca="0">(C21+D21+E21)/3</x:f>
        <x:v>2.189412517515427</x:v>
      </x:c>
      <x:c r="G21" s="98" t="n">
        <x:f aca="0">AVERAGE(C21,E21)</x:f>
        <x:v>2.133972920044735</x:v>
      </x:c>
      <x:c r="J21" s="97"/>
      <x:c r="K21" s="97"/>
      <x:c r="L21" s="97"/>
      <x:c r="M21" s="97"/>
    </x:row>
    <x:row r="22" ht="15" hidden="0" customHeight="1">
      <x:c r="A22" s="67" t="n">
        <x:v>2004</x:v>
      </x:c>
      <x:c r="B22" s="97" t="n">
        <x:v>1.63127406095864</x:v>
      </x:c>
      <x:c r="C22" s="97" t="n">
        <x:v>1.73912317327766</x:v>
      </x:c>
      <x:c r="D22" s="97" t="n">
        <x:v>2.09563139804923</x:v>
      </x:c>
      <x:c r="E22" s="97" t="n">
        <x:v>2.38584198512084</x:v>
      </x:c>
      <x:c r="F22" s="98" t="n">
        <x:f aca="0">(C22+D22+E22)/3</x:f>
        <x:v>2.0735321854825766</x:v>
      </x:c>
      <x:c r="G22" s="98" t="n">
        <x:f aca="0">AVERAGE(C22,E22)</x:f>
        <x:v>2.06248257919925</x:v>
      </x:c>
      <x:c r="J22" s="97"/>
      <x:c r="K22" s="97"/>
      <x:c r="L22" s="97"/>
      <x:c r="M22" s="97"/>
    </x:row>
    <x:row r="23" ht="15" hidden="0" customHeight="1">
      <x:c r="A23" s="67" t="n">
        <x:v>2005</x:v>
      </x:c>
      <x:c r="B23" s="97" t="n">
        <x:v>1.58164148311645</x:v>
      </x:c>
      <x:c r="C23" s="97" t="n">
        <x:v>1.68333417529679</x:v>
      </x:c>
      <x:c r="D23" s="97" t="n">
        <x:v>1.9957266230894</x:v>
      </x:c>
      <x:c r="E23" s="97" t="n">
        <x:v>2.29281968115813</x:v>
      </x:c>
      <x:c r="F23" s="98" t="n">
        <x:f aca="0">(C23+D23+E23)/3</x:f>
        <x:v>1.990626826514773</x:v>
      </x:c>
      <x:c r="G23" s="98" t="n">
        <x:f aca="0">AVERAGE(C23,E23)</x:f>
        <x:v>1.9880769282274602</x:v>
      </x:c>
      <x:c r="J23" s="97"/>
      <x:c r="K23" s="97"/>
      <x:c r="L23" s="97"/>
      <x:c r="M23" s="97"/>
    </x:row>
    <x:row r="24" ht="15" hidden="0" customHeight="1">
      <x:c r="A24" s="67" t="n">
        <x:v>2006</x:v>
      </x:c>
      <x:c r="B24" s="97" t="n">
        <x:v>1.5342735134235</x:v>
      </x:c>
      <x:c r="C24" s="97" t="n">
        <x:v>1.62862170087977</x:v>
      </x:c>
      <x:c r="D24" s="97" t="n">
        <x:v>1.87743536918027</x:v>
      </x:c>
      <x:c r="E24" s="97" t="n">
        <x:v>2.1163260400869</x:v>
      </x:c>
      <x:c r="F24" s="98" t="n">
        <x:f aca="0">(C24+D24+E24)/3</x:f>
        <x:v>1.8741277033823132</x:v>
      </x:c>
      <x:c r="G24" s="98" t="n">
        <x:f aca="0">AVERAGE(C24,E24)</x:f>
        <x:v>1.872473870483335</x:v>
      </x:c>
      <x:c r="J24" s="97"/>
      <x:c r="K24" s="97"/>
      <x:c r="L24" s="97"/>
      <x:c r="M24" s="97"/>
    </x:row>
    <x:row r="25" ht="15" hidden="0" customHeight="1">
      <x:c r="A25" s="67" t="n">
        <x:v>2007</x:v>
      </x:c>
      <x:c r="B25" s="97" t="n">
        <x:v>1.49382237638325</x:v>
      </x:c>
      <x:c r="C25" s="97" t="n">
        <x:v>1.56733772342427</x:v>
      </x:c>
      <x:c r="D25" s="97" t="n">
        <x:v>1.84737043810564</x:v>
      </x:c>
      <x:c r="E25" s="97" t="n">
        <x:v>1.94265958311385</x:v>
      </x:c>
      <x:c r="F25" s="98" t="n">
        <x:f aca="0">(C25+D25+E25)/3</x:f>
        <x:v>1.7857892482145867</x:v>
      </x:c>
      <x:c r="G25" s="98" t="n">
        <x:f aca="0">AVERAGE(C25,E25)</x:f>
        <x:v>1.75499865326906</x:v>
      </x:c>
      <x:c r="J25" s="97"/>
      <x:c r="K25" s="97"/>
      <x:c r="L25" s="97"/>
      <x:c r="M25" s="97"/>
    </x:row>
    <x:row r="26" ht="15" hidden="0" customHeight="1">
      <x:c r="A26" s="67" t="n">
        <x:v>2008</x:v>
      </x:c>
      <x:c r="B26" s="97" t="n">
        <x:v>1.46546620652436</x:v>
      </x:c>
      <x:c r="C26" s="97" t="n">
        <x:v>1.51324250681199</x:v>
      </x:c>
      <x:c r="D26" s="97" t="n">
        <x:v>1.72260847579858</x:v>
      </x:c>
      <x:c r="E26" s="97" t="n">
        <x:v>1.89461347424042</x:v>
      </x:c>
      <x:c r="F26" s="98" t="n">
        <x:f aca="0">(C26+D26+E26)/3</x:f>
        <x:v>1.71015481895033</x:v>
      </x:c>
      <x:c r="G26" s="98" t="n">
        <x:f aca="0">AVERAGE(C26,E26)</x:f>
        <x:v>1.7039279905262048</x:v>
      </x:c>
      <x:c r="J26" s="97"/>
      <x:c r="K26" s="97"/>
      <x:c r="L26" s="97"/>
      <x:c r="M26" s="97"/>
    </x:row>
    <x:row r="27" ht="15" hidden="0" customHeight="1">
      <x:c r="A27" s="67" t="n">
        <x:v>2009</x:v>
      </x:c>
      <x:c r="B27" s="97" t="n">
        <x:v>1.45654650627715</x:v>
      </x:c>
      <x:c r="C27" s="97" t="n">
        <x:v>1.49692722371968</x:v>
      </x:c>
      <x:c r="D27" s="97" t="n">
        <x:v>1.7887780097793</x:v>
      </x:c>
      <x:c r="E27" s="97" t="n">
        <x:v>1.8701827875978</x:v>
      </x:c>
      <x:c r="F27" s="98" t="n">
        <x:f aca="0">(C27+D27+E27)/3</x:f>
        <x:v>1.7186293403655934</x:v>
      </x:c>
      <x:c r="G27" s="98" t="n">
        <x:f aca="0">AVERAGE(C27,E27)</x:f>
        <x:v>1.68355500565874</x:v>
      </x:c>
      <x:c r="J27" s="97"/>
      <x:c r="K27" s="97"/>
      <x:c r="L27" s="97"/>
      <x:c r="M27" s="97"/>
    </x:row>
    <x:row r="28" ht="15" hidden="0" customHeight="1">
      <x:c r="A28" s="67" t="n">
        <x:v>2010</x:v>
      </x:c>
      <x:c r="B28" s="97" t="n">
        <x:v>1.43910519533407</x:v>
      </x:c>
      <x:c r="C28" s="97" t="n">
        <x:v>1.48096</x:v>
      </x:c>
      <x:c r="D28" s="97" t="n">
        <x:v>1.73980503856041</x:v>
      </x:c>
      <x:c r="E28" s="97" t="n">
        <x:v>1.88177004154822</x:v>
      </x:c>
      <x:c r="F28" s="98" t="n">
        <x:f aca="0">(C28+D28+E28)/3</x:f>
        <x:v>1.7008450267028767</x:v>
      </x:c>
      <x:c r="G28" s="98" t="n">
        <x:f aca="0">AVERAGE(C28,E28)</x:f>
        <x:v>1.68136502077411</x:v>
      </x:c>
      <x:c r="J28" s="97"/>
      <x:c r="K28" s="97"/>
      <x:c r="L28" s="97"/>
      <x:c r="M28" s="97"/>
    </x:row>
    <x:row r="29" ht="15" hidden="0" customHeight="1">
      <x:c r="A29" s="67" t="n">
        <x:v>2011</x:v>
      </x:c>
      <x:c r="B29" s="97" t="n">
        <x:v>1.41000554776682</x:v>
      </x:c>
      <x:c r="C29" s="97" t="n">
        <x:v>1.46532981530343</x:v>
      </x:c>
      <x:c r="D29" s="97" t="n">
        <x:v>1.68249635798633</x:v>
      </x:c>
      <x:c r="E29" s="97" t="n">
        <x:v>1.80417941155916</x:v>
      </x:c>
      <x:c r="F29" s="98" t="n">
        <x:f aca="0">(C29+D29+E29)/3</x:f>
        <x:v>1.6506685282829732</x:v>
      </x:c>
      <x:c r="G29" s="98" t="n">
        <x:f aca="0">AVERAGE(C29,E29)</x:f>
        <x:v>1.6347546134312951</x:v>
      </x:c>
      <x:c r="J29" s="97"/>
      <x:c r="K29" s="97"/>
      <x:c r="L29" s="97"/>
      <x:c r="M29" s="97"/>
    </x:row>
    <x:row r="30" ht="15" hidden="0" customHeight="1">
      <x:c r="A30" s="67" t="n">
        <x:v>2012</x:v>
      </x:c>
      <x:c r="B30" s="97" t="n">
        <x:v>1.38420256805121</x:v>
      </x:c>
      <x:c r="C30" s="97" t="n">
        <x:v>1.44249350649351</x:v>
      </x:c>
      <x:c r="D30" s="97" t="n">
        <x:v>1.64407666707154</x:v>
      </x:c>
      <x:c r="E30" s="97" t="n">
        <x:v>1.68671413544151</x:v>
      </x:c>
      <x:c r="F30" s="98" t="n">
        <x:f aca="0">(C30+D30+E30)/3</x:f>
        <x:v>1.5910947696688533</x:v>
      </x:c>
      <x:c r="G30" s="98" t="n">
        <x:f aca="0">AVERAGE(C30,E30)</x:f>
        <x:v>1.56460382096751</x:v>
      </x:c>
      <x:c r="J30" s="97"/>
      <x:c r="K30" s="97"/>
      <x:c r="L30" s="97"/>
      <x:c r="M30" s="97"/>
    </x:row>
    <x:row r="31" ht="15" hidden="0" customHeight="1">
      <x:c r="A31" s="67" t="n">
        <x:v>2013</x:v>
      </x:c>
      <x:c r="B31" s="97" t="n">
        <x:v>1.36106977885292</x:v>
      </x:c>
      <x:c r="C31" s="97" t="n">
        <x:v>1.41312977099237</x:v>
      </x:c>
      <x:c r="D31" s="97" t="n">
        <x:v>1.61697326484291</x:v>
      </x:c>
      <x:c r="E31" s="97" t="n">
        <x:v>1.62702484401588</x:v>
      </x:c>
      <x:c r="F31" s="98" t="n">
        <x:f aca="0">(C31+D31+E31)/3</x:f>
        <x:v>1.5523759599503866</x:v>
      </x:c>
      <x:c r="G31" s="98" t="n">
        <x:f aca="0">AVERAGE(C31,E31)</x:f>
        <x:v>1.520077307504125</x:v>
      </x:c>
      <x:c r="J31" s="97"/>
      <x:c r="K31" s="97"/>
      <x:c r="L31" s="97"/>
      <x:c r="M31" s="97"/>
    </x:row>
    <x:row r="32" ht="15" hidden="0" customHeight="1">
      <x:c r="A32" s="67" t="n">
        <x:v>2014</x:v>
      </x:c>
      <x:c r="B32" s="97" t="n">
        <x:v>1.33778803420576</x:v>
      </x:c>
      <x:c r="C32" s="97" t="n">
        <x:v>1.39304347826087</x:v>
      </x:c>
      <x:c r="D32" s="97" t="n">
        <x:v>1.57795327582187</x:v>
      </x:c>
      <x:c r="E32" s="97" t="n">
        <x:v>1.56640999939324</x:v>
      </x:c>
      <x:c r="F32" s="98" t="n">
        <x:f aca="0">(C32+D32+E32)/3</x:f>
        <x:v>1.5124689178253268</x:v>
      </x:c>
      <x:c r="G32" s="98" t="n">
        <x:f aca="0">AVERAGE(C32,E32)</x:f>
        <x:v>1.479726738827055</x:v>
      </x:c>
      <x:c r="J32" s="97"/>
      <x:c r="K32" s="97"/>
      <x:c r="L32" s="97"/>
      <x:c r="M32" s="97"/>
    </x:row>
    <x:row r="33" ht="15" hidden="0" customHeight="1">
      <x:c r="A33" s="67" t="n">
        <x:v>2015</x:v>
      </x:c>
      <x:c r="B33" s="97" t="n">
        <x:v>1.32544317650504</x:v>
      </x:c>
      <x:c r="C33" s="97" t="n">
        <x:v>1.36452088452088</x:v>
      </x:c>
      <x:c r="D33" s="97" t="n">
        <x:v>1.5846653502439</x:v>
      </x:c>
      <x:c r="E33" s="97" t="n">
        <x:v>1.52284342722312</x:v>
      </x:c>
      <x:c r="F33" s="98" t="n">
        <x:f aca="0">(C33+D33+E33)/3</x:f>
        <x:v>1.4906765539959668</x:v>
      </x:c>
      <x:c r="G33" s="98" t="n">
        <x:f aca="0">AVERAGE(C33,E33)</x:f>
        <x:v>1.443682155872</x:v>
      </x:c>
      <x:c r="J33" s="97"/>
      <x:c r="K33" s="97"/>
      <x:c r="L33" s="97"/>
      <x:c r="M33" s="97"/>
    </x:row>
    <x:row r="34" ht="15" hidden="0" customHeight="1">
      <x:c r="A34" s="67" t="n">
        <x:v>2016</x:v>
      </x:c>
      <x:c r="B34" s="97" t="n">
        <x:v>1.3129865046787</x:v>
      </x:c>
      <x:c r="C34" s="97" t="n">
        <x:v>1.33607056936648</x:v>
      </x:c>
      <x:c r="D34" s="97" t="n">
        <x:v>1.582072295165</x:v>
      </x:c>
      <x:c r="E34" s="97" t="n">
        <x:v>1.50023263598326</x:v>
      </x:c>
      <x:c r="F34" s="98" t="n">
        <x:f aca="0">(C34+D34+E34)/3</x:f>
        <x:v>1.4727918335049133</x:v>
      </x:c>
      <x:c r="G34" s="98" t="n">
        <x:f aca="0">AVERAGE(C34,E34)</x:f>
        <x:v>1.41815160267487</x:v>
      </x:c>
      <x:c r="J34" s="97"/>
      <x:c r="K34" s="97"/>
      <x:c r="L34" s="97"/>
      <x:c r="M34" s="97"/>
    </x:row>
    <x:row r="35" ht="15" hidden="0" customHeight="1">
      <x:c r="A35" s="67" t="n">
        <x:v>2017</x:v>
      </x:c>
      <x:c r="B35" s="97" t="n">
        <x:v>1.28991289564478</x:v>
      </x:c>
      <x:c r="C35" s="97" t="n">
        <x:v>1.30366197183099</x:v>
      </x:c>
      <x:c r="D35" s="97" t="n">
        <x:v>1.5267530022183</x:v>
      </x:c>
      <x:c r="E35" s="97" t="n">
        <x:v>1.46536132822478</x:v>
      </x:c>
      <x:c r="F35" s="98" t="n">
        <x:f aca="0">(C35+D35+E35)/3</x:f>
        <x:v>1.431925434091357</x:v>
      </x:c>
      <x:c r="G35" s="98" t="n">
        <x:f aca="0">AVERAGE(C35,E35)</x:f>
        <x:v>1.3845116500278851</x:v>
      </x:c>
      <x:c r="J35" s="97"/>
      <x:c r="K35" s="97"/>
      <x:c r="L35" s="97"/>
      <x:c r="M35" s="97"/>
    </x:row>
    <x:row r="36" ht="15" hidden="0" customHeight="1">
      <x:c r="A36" s="67" t="n">
        <x:v>2018</x:v>
      </x:c>
      <x:c r="B36" s="97" t="n">
        <x:v>1.26099987535164</x:v>
      </x:c>
      <x:c r="C36" s="97" t="n">
        <x:v>1.26891089108911</x:v>
      </x:c>
      <x:c r="D36" s="97" t="n">
        <x:v>1.43538528101803</x:v>
      </x:c>
      <x:c r="E36" s="97" t="n">
        <x:v>1.41356859223567</x:v>
      </x:c>
      <x:c r="F36" s="98" t="n">
        <x:f aca="0">(C36+D36+E36)/3</x:f>
        <x:v>1.37262158811427</x:v>
      </x:c>
      <x:c r="G36" s="98" t="n">
        <x:f aca="0">AVERAGE(C36,E36)</x:f>
        <x:v>1.34123974166239</x:v>
      </x:c>
      <x:c r="J36" s="97"/>
      <x:c r="K36" s="97"/>
      <x:c r="L36" s="97"/>
      <x:c r="M36" s="97"/>
    </x:row>
    <x:row r="37" ht="15" hidden="0" customHeight="1">
      <x:c r="A37" s="67" t="n">
        <x:v>2019</x:v>
      </x:c>
      <x:c r="B37" s="97" t="n">
        <x:v>1.24019412761559</x:v>
      </x:c>
      <x:c r="C37" s="97" t="n">
        <x:v>1.23048744460857</x:v>
      </x:c>
      <x:c r="D37" s="97" t="n">
        <x:v>1.43553751193128</x:v>
      </x:c>
      <x:c r="E37" s="97" t="n">
        <x:v>1.37799264458619</x:v>
      </x:c>
      <x:c r="F37" s="98" t="n">
        <x:f aca="0">(C37+D37+E37)/3</x:f>
        <x:v>1.3480058670420132</x:v>
      </x:c>
      <x:c r="G37" s="98" t="n">
        <x:f aca="0">AVERAGE(C37,E37)</x:f>
        <x:v>1.30424004459738</x:v>
      </x:c>
      <x:c r="J37" s="97"/>
      <x:c r="K37" s="97"/>
      <x:c r="L37" s="97"/>
      <x:c r="M37" s="97"/>
    </x:row>
    <x:row r="38" ht="15" hidden="0" customHeight="1">
      <x:c r="A38" s="67" t="n">
        <x:v>2020</x:v>
      </x:c>
      <x:c r="B38" s="97" t="n">
        <x:v>1.22415997570374</x:v>
      </x:c>
      <x:c r="C38" s="97" t="n">
        <x:v>1.19689655172414</x:v>
      </x:c>
      <x:c r="D38" s="97" t="n">
        <x:v>1.41478118598007</x:v>
      </x:c>
      <x:c r="E38" s="97" t="n">
        <x:v>1.35909466701764</x:v>
      </x:c>
      <x:c r="F38" s="98" t="n">
        <x:f aca="0">(C38+D38+E38)/3</x:f>
        <x:v>1.32359080157395</x:v>
      </x:c>
      <x:c r="G38" s="98" t="n">
        <x:f aca="0">AVERAGE(C38,E38)</x:f>
        <x:v>1.27799560937089</x:v>
      </x:c>
      <x:c r="J38" s="97"/>
      <x:c r="K38" s="97"/>
      <x:c r="L38" s="97"/>
      <x:c r="M38" s="97"/>
    </x:row>
    <x:row r="39" ht="15" hidden="0" customHeight="1">
      <x:c r="A39" s="67" t="n">
        <x:v>2021</x:v>
      </x:c>
      <x:c r="B39" s="97" t="n">
        <x:v>1.17061802736755</x:v>
      </x:c>
      <x:c r="C39" s="97" t="n">
        <x:v>1.1618410041841</x:v>
      </x:c>
      <x:c r="D39" s="97" t="n">
        <x:v>1.11528628905674</x:v>
      </x:c>
      <x:c r="E39" s="97" t="n">
        <x:v>1.2994960627781</x:v>
      </x:c>
      <x:c r="F39" s="98" t="n">
        <x:f aca="0">(C39+D39+E39)/3</x:f>
        <x:v>1.1922077853396467</x:v>
      </x:c>
      <x:c r="G39" s="98" t="n">
        <x:f aca="0">AVERAGE(C39,E39)</x:f>
        <x:v>1.2306685334811</x:v>
      </x:c>
      <x:c r="J39" s="97"/>
      <x:c r="K39" s="97"/>
      <x:c r="L39" s="97"/>
      <x:c r="M39" s="97"/>
    </x:row>
    <x:row r="40" ht="15" hidden="0" customHeight="1">
      <x:c r="A40" s="67" t="n">
        <x:v>2022</x:v>
      </x:c>
      <x:c r="B40" s="97" t="n">
        <x:v>1.09341386552396</x:v>
      </x:c>
      <x:c r="C40" s="97" t="n">
        <x:v>1.11667560321716</x:v>
      </x:c>
      <x:c r="D40" s="97" t="n">
        <x:v>0.990802740289562</x:v>
      </x:c>
      <x:c r="E40" s="97" t="n">
        <x:v>1.14982961225101</x:v>
      </x:c>
      <x:c r="F40" s="98" t="n">
        <x:f aca="0">(C40+D40+E40)/3</x:f>
        <x:v>1.0857693185859107</x:v>
      </x:c>
      <x:c r="G40" s="98" t="n">
        <x:f aca="0">AVERAGE(C40,E40)</x:f>
        <x:v>1.133252607734085</x:v>
      </x:c>
      <x:c r="J40" s="97"/>
      <x:c r="K40" s="97"/>
      <x:c r="L40" s="97"/>
      <x:c r="M40" s="97"/>
    </x:row>
    <x:row r="41" ht="15" hidden="0" customHeight="1">
      <x:c r="A41" s="67" t="n">
        <x:v>2023</x:v>
      </x:c>
      <x:c r="B41" s="97" t="n">
        <x:v>1.05496127264548</x:v>
      </x:c>
      <x:c r="C41" s="97" t="n">
        <x:v>1.07074550128535</x:v>
      </x:c>
      <x:c r="D41" s="97" t="n">
        <x:v>1.01991681334844</x:v>
      </x:c>
      <x:c r="E41" s="97" t="n">
        <x:v>1.06521174670608</x:v>
      </x:c>
      <x:c r="F41" s="98" t="n">
        <x:f aca="0">(C41+D41+E41)/3</x:f>
        <x:v>1.0519580204466232</x:v>
      </x:c>
      <x:c r="G41" s="98" t="n">
        <x:f aca="0">AVERAGE(C41,E41)</x:f>
        <x:v>1.067978623995715</x:v>
      </x:c>
      <x:c r="J41" s="97"/>
      <x:c r="K41" s="97"/>
      <x:c r="L41" s="97"/>
      <x:c r="M41" s="97"/>
    </x:row>
    <x:row r="42" ht="15" hidden="0" customHeight="1">
      <x:c r="A42" s="67" t="n">
        <x:v>2024</x:v>
      </x:c>
      <x:c r="B42" s="97" t="n">
        <x:v>1.03</x:v>
      </x:c>
      <x:c r="C42" s="97" t="n">
        <x:v>1.04</x:v>
      </x:c>
      <x:c r="D42" s="97" t="n">
        <x:v>1.03</x:v>
      </x:c>
      <x:c r="E42" s="97" t="n">
        <x:v>1.06</x:v>
      </x:c>
      <x:c r="F42" s="98" t="n">
        <x:f aca="0">(C42+D42+E42)/3</x:f>
        <x:v>1.0433333333333334</x:v>
      </x:c>
      <x:c r="G42" s="98" t="n">
        <x:f aca="0">AVERAGE(C42,E42)</x:f>
        <x:v>1.05</x:v>
      </x:c>
      <x:c r="J42" s="97"/>
      <x:c r="K42" s="97"/>
      <x:c r="L42" s="97"/>
      <x:c r="M42" s="97"/>
    </x:row>
    <x:row r="43" ht="15" hidden="0" customHeight="1">
      <x:c r="A43" s="67" t="n">
        <x:v>2025</x:v>
      </x:c>
      <x:c r="B43" s="97" t="n">
        <x:v>1</x:v>
      </x:c>
      <x:c r="C43" s="97" t="n">
        <x:v>1</x:v>
      </x:c>
      <x:c r="D43" s="97" t="n">
        <x:v>1</x:v>
      </x:c>
      <x:c r="E43" s="97" t="n">
        <x:v>1</x:v>
      </x:c>
      <x:c r="F43" s="98" t="n">
        <x:f aca="0">(C43+D43+E43)/3</x:f>
        <x:v>1</x:v>
      </x:c>
      <x:c r="G43" s="98" t="n">
        <x:f aca="0">AVERAGE(C43,E43)</x:f>
        <x:v>1</x:v>
      </x:c>
      <x:c r="J43" s="97"/>
      <x:c r="K43" s="97"/>
      <x:c r="L43" s="97"/>
      <x:c r="M43" s="97"/>
    </x:row>
  </x:sheetData>
  <x:pageMargins left="0.7" right="0.7" top="0.75" bottom="0.75" header="0.3" footer="0.3"/>
  <x:legacyDrawing xmlns:r="http://schemas.openxmlformats.org/officeDocument/2006/relationships" r:id="Rccbb6372b3124017"/>
</x:worksheet>
</file>

<file path=xl/worksheets/sheet5.xml><?xml version="1.0" encoding="utf-8"?>
<x:worksheet xmlns:x="http://schemas.openxmlformats.org/spreadsheetml/2006/main">
  <x:sheetViews>
    <x:sheetView showGridLines="1" workbookViewId="0"/>
  </x:sheetViews>
  <x:sheetFormatPr defaultColWidth="11.5078125" defaultRowHeight="15"/>
  <x:cols>
    <x:col min="1" max="1" width="47.83000183105469" style="67" hidden="0" customWidth="1"/>
    <x:col min="2" max="2" width="11.15999984741211" style="67" hidden="0" customWidth="1"/>
    <x:col min="3" max="3" width="48.15999984741211" style="67" hidden="0" customWidth="1"/>
    <x:col min="4" max="4" width="33.33000183105469" style="67" hidden="0" customWidth="1"/>
    <x:col min="5" max="5" width="47.83000183105469" style="67" hidden="0" customWidth="1"/>
  </x:cols>
  <x:sheetData>
    <x:row r="1" s="99" customFormat="1" ht="15" hidden="0" customHeight="1">
      <x:c r="A1" s="99" t="s">
        <x:v>578</x:v>
      </x:c>
      <x:c r="B1" s="99" t="s">
        <x:v>498</x:v>
      </x:c>
      <x:c r="C1" s="99" t="s">
        <x:v>579</x:v>
      </x:c>
      <x:c r="D1" s="99" t="s">
        <x:v>580</x:v>
      </x:c>
      <x:c r="E1" s="99" t="s">
        <x:v>21</x:v>
      </x:c>
    </x:row>
    <x:row r="2" ht="15" hidden="0" customHeight="1">
      <x:c r="A2" s="67" t="s">
        <x:v>581</x:v>
      </x:c>
      <x:c r="B2" s="98" t="n">
        <x:v>0.0653899320525433</x:v>
      </x:c>
    </x:row>
    <x:row r="3" ht="15" hidden="0" customHeight="1">
      <x:c r="A3" s="67" t="s">
        <x:v>582</x:v>
      </x:c>
      <x:c r="B3" s="67" t="n">
        <x:v>5</x:v>
      </x:c>
    </x:row>
    <x:row r="4" ht="15" hidden="0" customHeight="1">
      <x:c r="A4" s="67" t="s">
        <x:v>583</x:v>
      </x:c>
      <x:c r="B4" s="67" t="n">
        <x:v>5</x:v>
      </x:c>
    </x:row>
    <x:row r="5" ht="15" hidden="0" customHeight="1">
      <x:c r="A5" s="67" t="s">
        <x:v>584</x:v>
      </x:c>
      <x:c r="B5" s="67" t="n">
        <x:v>5</x:v>
      </x:c>
    </x:row>
    <x:row r="6" ht="15" hidden="0" customHeight="1">
      <x:c r="A6" s="67" t="s">
        <x:v>585</x:v>
      </x:c>
      <x:c r="B6" s="67" t="n">
        <x:v>1800</x:v>
      </x:c>
    </x:row>
    <x:row r="7" ht="15" hidden="0" customHeight="1">
      <x:c r="A7" s="67" t="s">
        <x:v>586</x:v>
      </x:c>
      <x:c r="B7" s="67" t="n">
        <x:v>10</x:v>
      </x:c>
    </x:row>
    <x:row r="8" ht="15" hidden="0" customHeight="1">
      <x:c r="A8" s="67" t="s">
        <x:v>587</x:v>
      </x:c>
      <x:c r="B8" s="67" t="n">
        <x:v>0.03</x:v>
      </x:c>
    </x:row>
    <x:row r="9" ht="19.5" hidden="0" customHeight="1">
      <x:c r="A9" s="67" t="s">
        <x:v>77</x:v>
      </x:c>
      <x:c r="B9" s="67" t="n">
        <x:v>0.08</x:v>
      </x:c>
      <x:c r="C9" s="100" t="s">
        <x:v>588</x:v>
      </x:c>
      <x:c r="D9" s="101" t="s">
        <x:v>589</x:v>
      </x:c>
      <x:c r="E9" s="102" t="s">
        <x:v>590</x:v>
      </x:c>
    </x:row>
    <x:row r="10" ht="26.25" hidden="0" customHeight="1">
      <x:c r="A10" s="1" t="s">
        <x:v>43</x:v>
      </x:c>
      <x:c r="B10" s="67" t="n">
        <x:v>0</x:v>
      </x:c>
      <x:c r="D10" s="101"/>
      <x:c r="E10" s="101"/>
    </x:row>
    <x:row r="11" ht="113.25" hidden="0" customHeight="1">
      <x:c r="A11" s="1" t="s">
        <x:v>59</x:v>
      </x:c>
      <x:c r="B11" s="67" t="n">
        <x:v>0.2</x:v>
      </x:c>
      <x:c r="C11" s="25" t="s">
        <x:v>591</x:v>
      </x:c>
      <x:c r="D11" s="101"/>
      <x:c r="E11" s="101"/>
    </x:row>
    <x:row r="12" ht="15" hidden="0" customHeight="1">
      <x:c r="A12" s="1" t="s">
        <x:v>201</x:v>
      </x:c>
      <x:c r="B12" s="67" t="n">
        <x:v>0.184431698201097</x:v>
      </x:c>
      <x:c r="C12" s="103" t="s">
        <x:v>588</x:v>
      </x:c>
      <x:c r="D12" s="101"/>
      <x:c r="E12" s="101"/>
    </x:row>
    <x:row r="13" ht="15" hidden="0" customHeight="1">
      <x:c r="A13" s="1" t="s">
        <x:v>223</x:v>
      </x:c>
      <x:c r="B13" s="67" t="n">
        <x:v>0.24138</x:v>
      </x:c>
      <x:c r="C13" s="103" t="s">
        <x:v>588</x:v>
      </x:c>
      <x:c r="D13" s="101"/>
      <x:c r="E13" s="101"/>
    </x:row>
    <x:row r="14" ht="15" hidden="0" customHeight="1">
      <x:c r="A14" s="1" t="s">
        <x:v>167</x:v>
      </x:c>
      <x:c r="B14" s="97" t="n">
        <x:v>0.229628480221155</x:v>
      </x:c>
      <x:c r="C14" s="103" t="s">
        <x:v>588</x:v>
      </x:c>
      <x:c r="D14" s="101"/>
      <x:c r="E14" s="101"/>
    </x:row>
    <x:row r="15" ht="15" hidden="0" customHeight="1">
      <x:c r="A15" s="1" t="s">
        <x:v>238</x:v>
      </x:c>
      <x:c r="B15" s="67" t="n">
        <x:v>0.415053776785993</x:v>
      </x:c>
      <x:c r="C15" s="104" t="s">
        <x:v>588</x:v>
      </x:c>
      <x:c r="D15" s="101"/>
      <x:c r="E15" s="101"/>
    </x:row>
    <x:row r="16" ht="15" hidden="0" customHeight="1">
      <x:c r="A16" s="1" t="s">
        <x:v>236</x:v>
      </x:c>
      <x:c r="B16" s="67" t="n">
        <x:v>0.399149058114017</x:v>
      </x:c>
      <x:c r="C16" s="104" t="s">
        <x:v>588</x:v>
      </x:c>
      <x:c r="D16" s="101"/>
      <x:c r="E16" s="101"/>
    </x:row>
    <x:row r="17" ht="15" hidden="0" customHeight="1">
      <x:c r="A17" s="1" t="s">
        <x:v>354</x:v>
      </x:c>
      <x:c r="B17" s="67" t="n">
        <x:v>0.05</x:v>
      </x:c>
      <x:c r="D17" s="67" t="s">
        <x:v>592</x:v>
      </x:c>
      <x:c r="E17" s="67" t="s">
        <x:v>593</x:v>
      </x:c>
    </x:row>
    <x:row r="18" ht="26.25" hidden="0" customHeight="1">
      <x:c r="A18" s="67" t="s">
        <x:v>594</x:v>
      </x:c>
      <x:c r="B18" s="97" t="n">
        <x:v>0.5</x:v>
      </x:c>
      <x:c r="C18" s="105"/>
      <x:c r="D18" s="105"/>
      <x:c r="E18" s="105" t="s">
        <x:v>595</x:v>
      </x:c>
    </x:row>
    <x:row r="19" ht="26.25" hidden="0" customHeight="1">
      <x:c r="A19" s="67" t="s">
        <x:v>596</x:v>
      </x:c>
      <x:c r="B19" s="97" t="n">
        <x:v>0.02</x:v>
      </x:c>
      <x:c r="C19" s="105"/>
      <x:c r="D19" s="105"/>
      <x:c r="E19" s="105" t="s">
        <x:v>597</x:v>
      </x:c>
    </x:row>
    <x:row r="20" ht="26.25" hidden="0" customHeight="1">
      <x:c r="A20" s="67" t="s">
        <x:v>598</x:v>
      </x:c>
      <x:c r="B20" s="97" t="n">
        <x:v>0.075</x:v>
      </x:c>
      <x:c r="C20" s="105"/>
      <x:c r="D20" s="105"/>
      <x:c r="E20" s="105" t="s">
        <x:v>599</x:v>
      </x:c>
    </x:row>
    <x:row r="21" ht="26.25" hidden="0" customHeight="1">
      <x:c r="A21" s="67" t="s">
        <x:v>600</x:v>
      </x:c>
      <x:c r="B21" s="97" t="n">
        <x:v>0.005</x:v>
      </x:c>
      <x:c r="C21" s="105"/>
      <x:c r="D21" s="105"/>
      <x:c r="E21" s="105" t="s">
        <x:v>601</x:v>
      </x:c>
    </x:row>
    <x:row r="22" ht="26.25" hidden="0" customHeight="1">
      <x:c r="A22" s="67" t="s">
        <x:v>602</x:v>
      </x:c>
      <x:c r="B22" s="97" t="n">
        <x:v>0.05</x:v>
      </x:c>
      <x:c r="C22" s="105"/>
      <x:c r="D22" s="105"/>
      <x:c r="E22" s="105" t="s">
        <x:v>603</x:v>
      </x:c>
    </x:row>
    <x:row r="23" ht="46.5" hidden="0" customHeight="1">
      <x:c r="A23" s="67" t="s">
        <x:v>604</x:v>
      </x:c>
      <x:c r="B23" s="97" t="n">
        <x:v>0.01</x:v>
      </x:c>
      <x:c r="C23" s="105"/>
      <x:c r="D23" s="105"/>
      <x:c r="E23" s="105" t="s">
        <x:v>605</x:v>
      </x:c>
    </x:row>
    <x:row r="24" ht="26.25" hidden="0" customHeight="1">
      <x:c r="A24" s="67" t="s">
        <x:v>606</x:v>
      </x:c>
      <x:c r="B24" s="97" t="n">
        <x:v>0.05</x:v>
      </x:c>
      <x:c r="C24" s="105"/>
      <x:c r="D24" s="105"/>
      <x:c r="E24" s="105" t="s">
        <x:v>607</x:v>
      </x:c>
    </x:row>
    <x:row r="25" ht="26.25" hidden="0" customHeight="1">
      <x:c r="A25" s="67" t="s">
        <x:v>608</x:v>
      </x:c>
      <x:c r="B25" s="97" t="n">
        <x:v>0.005</x:v>
      </x:c>
      <x:c r="C25" s="105"/>
      <x:c r="D25" s="105"/>
      <x:c r="E25" s="105" t="s">
        <x:v>609</x:v>
      </x:c>
    </x:row>
    <x:row r="26" ht="15" hidden="0" customHeight="1">
      <x:c r="A26" s="67" t="s">
        <x:v>610</x:v>
      </x:c>
      <x:c r="B26" s="67" t="n">
        <x:v>0.1</x:v>
      </x:c>
      <x:c r="E26" s="67" t="s">
        <x:v>611</x:v>
      </x:c>
    </x:row>
    <x:row r="27" ht="15" hidden="0" customHeight="1">
      <x:c r="A27" s="67" t="s">
        <x:v>612</x:v>
      </x:c>
      <x:c r="B27" s="67" t="n">
        <x:v>0.5</x:v>
      </x:c>
      <x:c r="E27" s="67" t="s">
        <x:v>613</x:v>
      </x:c>
    </x:row>
    <x:row r="28" ht="15" hidden="0" customHeight="1">
      <x:c r="A28" s="67" t="s">
        <x:v>614</x:v>
      </x:c>
      <x:c r="B28" s="67" t="n">
        <x:v>0.02</x:v>
      </x:c>
      <x:c r="E28" s="67" t="s">
        <x:v>597</x:v>
      </x:c>
    </x:row>
    <x:row r="29" ht="15" hidden="0" customHeight="1">
      <x:c r="A29" s="67" t="s">
        <x:v>615</x:v>
      </x:c>
      <x:c r="B29" s="67" t="n">
        <x:v>0.075</x:v>
      </x:c>
      <x:c r="E29" s="67" t="s">
        <x:v>599</x:v>
      </x:c>
    </x:row>
    <x:row r="30" ht="15" hidden="0" customHeight="1">
      <x:c r="A30" s="67" t="s">
        <x:v>616</x:v>
      </x:c>
      <x:c r="B30" s="67" t="n">
        <x:v>0.005</x:v>
      </x:c>
      <x:c r="E30" s="67" t="s">
        <x:v>601</x:v>
      </x:c>
    </x:row>
    <x:row r="31" ht="15" hidden="0" customHeight="1">
      <x:c r="A31" s="67" t="s">
        <x:v>617</x:v>
      </x:c>
      <x:c r="B31" s="67" t="n">
        <x:v>0.05</x:v>
      </x:c>
      <x:c r="E31" s="67" t="s">
        <x:v>603</x:v>
      </x:c>
    </x:row>
    <x:row r="32" ht="15" hidden="0" customHeight="1">
      <x:c r="A32" s="67" t="s">
        <x:v>618</x:v>
      </x:c>
      <x:c r="B32" s="67" t="n">
        <x:v>0.01</x:v>
      </x:c>
      <x:c r="E32" s="67" t="s">
        <x:v>605</x:v>
      </x:c>
    </x:row>
    <x:row r="33" ht="15" hidden="0" customHeight="1">
      <x:c r="A33" s="67" t="s">
        <x:v>619</x:v>
      </x:c>
      <x:c r="B33" s="67" t="n">
        <x:v>0.05</x:v>
      </x:c>
      <x:c r="E33" s="67" t="s">
        <x:v>607</x:v>
      </x:c>
    </x:row>
    <x:row r="34" ht="15" hidden="0" customHeight="1">
      <x:c r="A34" s="67" t="s">
        <x:v>620</x:v>
      </x:c>
      <x:c r="B34" s="67" t="n">
        <x:v>0.005</x:v>
      </x:c>
      <x:c r="E34" s="67" t="s">
        <x:v>609</x:v>
      </x:c>
    </x:row>
  </x:sheetData>
  <x:mergeCells>
    <x:mergeCell ref="D9:D16"/>
    <x:mergeCell ref="E9:E16"/>
  </x:mergeCells>
  <x:pageMargins left="0.7" right="0.7" top="0.75" bottom="0.75" header="0.3" footer="0.3"/>
</x:worksheet>
</file>

<file path=xl/worksheets/sheet6.xml><?xml version="1.0" encoding="utf-8"?>
<x:worksheet xmlns:x="http://schemas.openxmlformats.org/spreadsheetml/2006/main">
  <x:sheetViews>
    <x:sheetView showGridLines="1" workbookViewId="0"/>
  </x:sheetViews>
  <x:sheetFormatPr defaultColWidth="10.66015625" defaultRowHeight="13.5"/>
  <x:cols>
    <x:col min="1" max="1" width="8.670000076293945" style="1" hidden="0" customWidth="1"/>
    <x:col min="2" max="2" width="4.670000076293945" style="1" hidden="0" customWidth="1"/>
    <x:col min="3" max="3" width="32.66999816894531" style="1" hidden="0" customWidth="1"/>
    <x:col min="4" max="4" width="44.65999984741211" style="2" hidden="0" customWidth="1"/>
    <x:col min="5" max="5" width="13.34000015258789" style="2" hidden="0" customWidth="1"/>
    <x:col min="6" max="6" width="13.670000076293945" style="2" hidden="0" customWidth="1"/>
    <x:col min="7" max="7" width="13.670000076293945" style="106" hidden="0" customWidth="1"/>
    <x:col min="8" max="9" width="13.670000076293945" style="2" hidden="0" customWidth="1"/>
    <x:col min="10" max="11" width="13.670000076293945" style="3" hidden="0" customWidth="1"/>
    <x:col min="12" max="12" width="10" style="1" hidden="0" customWidth="1"/>
    <x:col min="13" max="13" width="16.329999923706055" style="1" hidden="0" customWidth="1"/>
    <x:col min="14" max="14" width="8.670000076293945" style="1" hidden="0" customWidth="1"/>
    <x:col min="15" max="15" width="7.329999923706055" style="1" hidden="0" customWidth="1"/>
    <x:col min="16" max="16" width="7.670000076293945" style="1" hidden="0" customWidth="1"/>
    <x:col min="17" max="17" width="8.15999984741211" style="1" hidden="0" customWidth="1"/>
    <x:col min="18" max="18" width="10.65999984741211" style="1" hidden="0" customWidth="0"/>
    <x:col min="19" max="19" width="29" style="1" hidden="0" customWidth="1"/>
    <x:col min="20" max="20" width="37.15999984741211" style="1" hidden="0" customWidth="1"/>
    <x:col min="21" max="21" width="81.16000366210938" style="1" hidden="0" customWidth="1"/>
    <x:col min="22" max="22" width="18.670000076293945" style="1" hidden="0" customWidth="1"/>
    <x:col min="23" max="23" width="21.5" style="1" hidden="0" customWidth="1"/>
    <x:col min="24" max="25" width="16.670000076293945" style="3" hidden="0" customWidth="1"/>
    <x:col min="26" max="26" width="12.5" style="1" hidden="0" customWidth="1"/>
    <x:col min="27" max="28" width="16.670000076293945" style="3" hidden="0" customWidth="1"/>
    <x:col min="29" max="29" width="12.5" style="1" hidden="0" customWidth="1"/>
    <x:col min="30" max="32" width="6.670000076293945" style="3" hidden="0" customWidth="1"/>
    <x:col min="33" max="33" width="16.15999984741211" style="1" hidden="0" customWidth="1"/>
    <x:col min="34" max="16384" width="10.65999984741211" style="1" hidden="0" customWidth="0"/>
  </x:cols>
  <x:sheetData>
    <x:row r="1" s="8" customFormat="1" ht="34.5" hidden="0" customHeight="1">
      <x:c r="A1" s="4" t="s">
        <x:v>0</x:v>
      </x:c>
      <x:c r="B1" s="5" t="s">
        <x:v>1</x:v>
      </x:c>
      <x:c r="C1" s="4" t="s">
        <x:v>2</x:v>
      </x:c>
      <x:c r="D1" s="5" t="s">
        <x:v>3</x:v>
      </x:c>
      <x:c r="E1" s="5" t="s">
        <x:v>4</x:v>
      </x:c>
      <x:c r="F1" s="5" t="s">
        <x:v>621</x:v>
      </x:c>
      <x:c r="G1" s="107" t="s">
        <x:v>622</x:v>
      </x:c>
      <x:c r="H1" s="5" t="s">
        <x:v>5</x:v>
      </x:c>
      <x:c r="I1" s="5" t="s">
        <x:v>6</x:v>
      </x:c>
      <x:c r="J1" s="4" t="s">
        <x:v>9</x:v>
      </x:c>
      <x:c r="K1" s="4" t="s">
        <x:v>10</x:v>
      </x:c>
      <x:c r="L1" s="4" t="s">
        <x:v>11</x:v>
      </x:c>
      <x:c r="M1" s="6" t="s">
        <x:v>12</x:v>
      </x:c>
      <x:c r="N1" s="4" t="s">
        <x:v>13</x:v>
      </x:c>
      <x:c r="O1" s="4" t="s">
        <x:v>14</x:v>
      </x:c>
      <x:c r="P1" s="4" t="s">
        <x:v>15</x:v>
      </x:c>
      <x:c r="Q1" s="4" t="s">
        <x:v>16</x:v>
      </x:c>
      <x:c r="R1" s="4" t="s">
        <x:v>17</x:v>
      </x:c>
      <x:c r="S1" s="4" t="s">
        <x:v>18</x:v>
      </x:c>
      <x:c r="T1" s="4" t="s">
        <x:v>19</x:v>
      </x:c>
      <x:c r="U1" s="4" t="s">
        <x:v>20</x:v>
      </x:c>
      <x:c r="V1" s="4" t="s">
        <x:v>21</x:v>
      </x:c>
      <x:c r="W1" s="7" t="s">
        <x:v>22</x:v>
      </x:c>
      <x:c r="X1" s="7" t="s">
        <x:v>23</x:v>
      </x:c>
      <x:c r="Y1" s="7" t="s">
        <x:v>24</x:v>
      </x:c>
      <x:c r="Z1" s="7" t="s">
        <x:v>25</x:v>
      </x:c>
      <x:c r="AA1" s="108" t="s">
        <x:v>26</x:v>
      </x:c>
      <x:c r="AB1" s="108" t="s">
        <x:v>27</x:v>
      </x:c>
      <x:c r="AC1" s="7" t="s">
        <x:v>28</x:v>
      </x:c>
      <x:c r="AD1" s="7" t="s">
        <x:v>29</x:v>
      </x:c>
      <x:c r="AE1" s="7" t="s">
        <x:v>30</x:v>
      </x:c>
      <x:c r="AF1" s="7" t="s">
        <x:v>31</x:v>
      </x:c>
      <x:c r="AG1" s="7" t="s">
        <x:v>32</x:v>
      </x:c>
    </x:row>
    <x:row r="2" s="14" customFormat="1" ht="13.5" hidden="0" customHeight="1">
      <x:c r="A2" s="6" t="n">
        <x:v>10</x:v>
      </x:c>
      <x:c r="B2" s="9" t="n">
        <x:f aca="0">IF(ISNUMBER(A2),
    IF(AND(A2=INT(A2), MOD(A2, 10) = 0), 0,
        IF(AND(A2=INT(A2), LEN(A2)=2), 1,
            IF(AND(A2=INT(A2), LEN(A2)=3), 2,
                LEN(A2) - FIND(".", A2) + 2)
        )
    ),
"")</x:f>
        <x:v>0</x:v>
      </x:c>
      <x:c r="C2" s="10" t="s">
        <x:v>33</x:v>
      </x:c>
      <x:c r="D2" s="10" t="str">
        <x:f aca="0">REPT("   ", B2*2) &amp; C2</x:f>
        <x:v>Capitalized Pre-Construction Costs</x:v>
      </x:c>
      <x:c r="E2" s="10"/>
      <x:c r="F2" s="10"/>
      <x:c r="G2" s="109"/>
      <x:c r="H2" s="10"/>
      <x:c r="I2" s="10"/>
      <x:c r="J2" s="11"/>
      <x:c r="K2" s="11"/>
      <x:c r="L2" s="9"/>
      <x:c r="M2" s="9"/>
      <x:c r="N2" s="9"/>
      <x:c r="O2" s="9"/>
      <x:c r="P2" s="11"/>
      <x:c r="Q2" s="11"/>
      <x:c r="R2" s="9"/>
      <x:c r="S2" s="5"/>
      <x:c r="T2" s="9"/>
      <x:c r="U2" s="9"/>
      <x:c r="V2" s="9"/>
      <x:c r="W2" s="12"/>
      <x:c r="X2" s="13"/>
      <x:c r="Y2" s="13"/>
      <x:c r="Z2" s="12"/>
      <x:c r="AA2" s="13"/>
      <x:c r="AB2" s="13"/>
      <x:c r="AC2" s="12"/>
      <x:c r="AD2" s="13"/>
      <x:c r="AE2" s="13"/>
      <x:c r="AF2" s="13"/>
      <x:c r="AG2" s="12"/>
    </x:row>
    <x:row r="3" ht="34.5" hidden="0" customHeight="1">
      <x:c r="A3" s="6" t="n">
        <x:v>11</x:v>
      </x:c>
      <x:c r="B3" s="9" t="n">
        <x:f aca="0">IF(ISNUMBER(A3),
    IF(AND(A3=INT(A3), MOD(A3, 10) = 0), 0,
        IF(AND(A3=INT(A3), LEN(A3)=2), 1,
            IF(AND(A3=INT(A3), LEN(A3)=3), 2,
                LEN(A3) - FIND(".", A3) + 2)
        )
    ),
"")</x:f>
        <x:v>1</x:v>
      </x:c>
      <x:c r="C3" s="15" t="s">
        <x:v>34</x:v>
      </x:c>
      <x:c r="D3" s="10" t="str">
        <x:f aca="0">REPT("   ", B3*2) &amp; C3</x:f>
        <x:v>      Land Cost</x:v>
      </x:c>
      <x:c r="E3" s="10" t="s">
        <x:v>35</x:v>
      </x:c>
      <x:c r="F3" s="10" t="s">
        <x:v>623</x:v>
      </x:c>
      <x:c r="G3" s="109" t="n">
        <x:v>1</x:v>
      </x:c>
      <x:c r="H3" s="10"/>
      <x:c r="I3" s="10"/>
      <x:c r="J3" s="17"/>
      <x:c r="K3" s="17" t="n">
        <x:v>3800</x:v>
      </x:c>
      <x:c r="L3" s="18" t="s">
        <x:v>36</x:v>
      </x:c>
      <x:c r="M3" s="18" t="s">
        <x:v>624</x:v>
      </x:c>
      <x:c r="N3" s="19"/>
      <x:c r="O3" s="18" t="s">
        <x:v>38</x:v>
      </x:c>
      <x:c r="P3" s="20"/>
      <x:c r="Q3" s="20" t="n">
        <x:v>2022</x:v>
      </x:c>
      <x:c r="R3" s="18" t="s">
        <x:v>39</x:v>
      </x:c>
      <x:c r="S3" s="21" t="s">
        <x:v>40</x:v>
      </x:c>
      <x:c r="T3" s="21" t="s">
        <x:v>41</x:v>
      </x:c>
      <x:c r="U3" s="22" t="s">
        <x:v>42</x:v>
      </x:c>
      <x:c r="V3" s="23"/>
      <x:c r="W3" s="12" t="s">
        <x:v>43</x:v>
      </x:c>
      <x:c r="X3" s="24" t="n">
        <x:f aca="0">0.9*$J3</x:f>
        <x:v>0</x:v>
      </x:c>
      <x:c r="Y3" s="24" t="n">
        <x:f aca="0">1.5*J3</x:f>
        <x:v>0</x:v>
      </x:c>
      <x:c r="Z3" s="12" t="s">
        <x:v>44</x:v>
      </x:c>
      <x:c r="AA3" s="13" t="n">
        <x:f aca="0">0.9*K3</x:f>
        <x:v>3420</x:v>
      </x:c>
      <x:c r="AB3" s="13" t="n">
        <x:f aca="0">1.3*K3</x:f>
        <x:v>4940</x:v>
      </x:c>
      <x:c r="AC3" s="12" t="s">
        <x:v>44</x:v>
      </x:c>
      <x:c r="AD3" s="13" t="s">
        <x:v>45</x:v>
      </x:c>
      <x:c r="AE3" s="13" t="s">
        <x:v>46</x:v>
      </x:c>
      <x:c r="AF3" s="13" t="s">
        <x:v>47</x:v>
      </x:c>
      <x:c r="AG3" s="12" t="s">
        <x:v>48</x:v>
      </x:c>
    </x:row>
    <x:row r="4" ht="13.5" hidden="0" customHeight="1">
      <x:c r="A4" s="6" t="n">
        <x:v>12</x:v>
      </x:c>
      <x:c r="B4" s="9" t="n">
        <x:f aca="0">IF(ISNUMBER(A4),
    IF(AND(A4=INT(A4), MOD(A4, 10) = 0), 0,
        IF(AND(A4=INT(A4), LEN(A4)=2), 1,
            IF(AND(A4=INT(A4), LEN(A4)=3), 2,
                LEN(A4) - FIND(".", A4) + 2)
        )
    ),
"")</x:f>
        <x:v>1</x:v>
      </x:c>
      <x:c r="C4" s="15" t="s">
        <x:v>49</x:v>
      </x:c>
      <x:c r="D4" s="10" t="str">
        <x:f aca="0">REPT("   ", B4*2) &amp; C4</x:f>
        <x:v>      Site Permits</x:v>
      </x:c>
      <x:c r="E4" s="10" t="s">
        <x:v>35</x:v>
      </x:c>
      <x:c r="F4" s="10" t="s">
        <x:v>623</x:v>
      </x:c>
      <x:c r="G4" s="109" t="n">
        <x:v>1</x:v>
      </x:c>
      <x:c r="H4" s="10"/>
      <x:c r="I4" s="10"/>
      <x:c r="J4" s="17"/>
      <x:c r="K4" s="17" t="n">
        <x:f aca="0">10.03*1000</x:f>
        <x:v>10030</x:v>
      </x:c>
      <x:c r="L4" s="18" t="s">
        <x:v>50</x:v>
      </x:c>
      <x:c r="M4" s="18" t="s">
        <x:v>625</x:v>
      </x:c>
      <x:c r="N4" s="19"/>
      <x:c r="O4" s="18" t="s">
        <x:v>52</x:v>
      </x:c>
      <x:c r="P4" s="20"/>
      <x:c r="Q4" s="20" t="n">
        <x:v>2022</x:v>
      </x:c>
      <x:c r="R4" s="18" t="s">
        <x:v>53</x:v>
      </x:c>
      <x:c r="S4" s="21" t="s">
        <x:v>54</x:v>
      </x:c>
      <x:c r="T4" s="21"/>
      <x:c r="U4" s="21"/>
      <x:c r="V4" s="23"/>
      <x:c r="W4" s="12" t="s">
        <x:v>43</x:v>
      </x:c>
      <x:c r="X4" s="24" t="n">
        <x:f aca="0">0.9*$J4</x:f>
        <x:v>0</x:v>
      </x:c>
      <x:c r="Y4" s="24" t="n">
        <x:f aca="0">1.5*J4</x:f>
        <x:v>0</x:v>
      </x:c>
      <x:c r="Z4" s="12" t="s">
        <x:v>44</x:v>
      </x:c>
      <x:c r="AA4" s="13" t="n">
        <x:f aca="0">0.9*K4</x:f>
        <x:v>9027</x:v>
      </x:c>
      <x:c r="AB4" s="13" t="n">
        <x:f aca="0">1.3*K4</x:f>
        <x:v>13039</x:v>
      </x:c>
      <x:c r="AC4" s="12" t="s">
        <x:v>44</x:v>
      </x:c>
      <x:c r="AD4" s="13" t="s">
        <x:v>45</x:v>
      </x:c>
      <x:c r="AE4" s="13" t="s">
        <x:v>46</x:v>
      </x:c>
      <x:c r="AF4" s="13" t="s">
        <x:v>47</x:v>
      </x:c>
      <x:c r="AG4" s="12" t="s">
        <x:v>48</x:v>
      </x:c>
    </x:row>
    <x:row r="5" ht="13.5" hidden="0" customHeight="1">
      <x:c r="A5" s="6" t="n">
        <x:v>13</x:v>
      </x:c>
      <x:c r="B5" s="9" t="n">
        <x:f aca="0">IF(ISNUMBER(A5),
    IF(AND(A5=INT(A5), MOD(A5, 10) = 0), 0,
        IF(AND(A5=INT(A5), LEN(A5)=2), 1,
            IF(AND(A5=INT(A5), LEN(A5)=3), 2,
                LEN(A5) - FIND(".", A5) + 2)
        )
    ),
"")</x:f>
        <x:v>1</x:v>
      </x:c>
      <x:c r="C5" s="15" t="s">
        <x:v>55</x:v>
      </x:c>
      <x:c r="D5" s="10" t="str">
        <x:f aca="0">REPT("   ", B5*2) &amp; C5</x:f>
        <x:v>      Plant Licensing</x:v>
      </x:c>
      <x:c r="E5" s="10" t="s">
        <x:v>35</x:v>
      </x:c>
      <x:c r="F5" s="10" t="s">
        <x:v>623</x:v>
      </x:c>
      <x:c r="G5" s="109" t="n">
        <x:v>1</x:v>
      </x:c>
      <x:c r="H5" s="10"/>
      <x:c r="I5" s="10"/>
      <x:c r="J5" s="17" t="n">
        <x:f aca="0">1000000*45</x:f>
        <x:v>45000000</x:v>
      </x:c>
      <x:c r="K5" s="17"/>
      <x:c r="L5" s="19"/>
      <x:c r="M5" s="19"/>
      <x:c r="N5" s="19"/>
      <x:c r="O5" s="18"/>
      <x:c r="P5" s="20"/>
      <x:c r="Q5" s="20" t="n">
        <x:v>2009</x:v>
      </x:c>
      <x:c r="R5" s="18" t="s">
        <x:v>53</x:v>
      </x:c>
      <x:c r="S5" s="21" t="s">
        <x:v>62</x:v>
      </x:c>
      <x:c r="T5" s="21" t="s">
        <x:v>63</x:v>
      </x:c>
      <x:c r="U5" s="22" t="s">
        <x:v>58</x:v>
      </x:c>
      <x:c r="V5" s="23"/>
      <x:c r="W5" s="12" t="s">
        <x:v>43</x:v>
      </x:c>
      <x:c r="X5" s="24" t="n">
        <x:f aca="0">45*1000000</x:f>
        <x:v>45000000</x:v>
      </x:c>
      <x:c r="Y5" s="24" t="n">
        <x:f aca="0">70*1000000</x:f>
        <x:v>70000000</x:v>
      </x:c>
      <x:c r="Z5" s="12" t="s">
        <x:v>60</x:v>
      </x:c>
      <x:c r="AA5" s="13" t="n">
        <x:f aca="0">0.9*K5</x:f>
        <x:v>0</x:v>
      </x:c>
      <x:c r="AB5" s="13" t="n">
        <x:f aca="0">1.3*K5</x:f>
        <x:v>0</x:v>
      </x:c>
      <x:c r="AC5" s="12" t="s">
        <x:v>44</x:v>
      </x:c>
      <x:c r="AD5" s="13" t="s">
        <x:v>45</x:v>
      </x:c>
      <x:c r="AE5" s="13" t="s">
        <x:v>46</x:v>
      </x:c>
      <x:c r="AF5" s="13" t="s">
        <x:v>47</x:v>
      </x:c>
      <x:c r="AG5" s="12" t="s">
        <x:v>48</x:v>
      </x:c>
    </x:row>
    <x:row r="6" ht="13.5" hidden="0" customHeight="1">
      <x:c r="A6" s="6" t="n">
        <x:v>14</x:v>
      </x:c>
      <x:c r="B6" s="9" t="n">
        <x:f aca="0">IF(ISNUMBER(A6),
    IF(AND(A6=INT(A6), MOD(A6, 10) = 0), 0,
        IF(AND(A6=INT(A6), LEN(A6)=2), 1,
            IF(AND(A6=INT(A6), LEN(A6)=3), 2,
                LEN(A6) - FIND(".", A6) + 2)
        )
    ),
"")</x:f>
        <x:v>1</x:v>
      </x:c>
      <x:c r="C6" s="15" t="s">
        <x:v>61</x:v>
      </x:c>
      <x:c r="D6" s="10" t="str">
        <x:f aca="0">REPT("   ", B6*2) &amp; C6</x:f>
        <x:v>      Plant Permits</x:v>
      </x:c>
      <x:c r="E6" s="10" t="s">
        <x:v>35</x:v>
      </x:c>
      <x:c r="F6" s="10" t="s">
        <x:v>623</x:v>
      </x:c>
      <x:c r="G6" s="109" t="n">
        <x:v>1</x:v>
      </x:c>
      <x:c r="H6" s="10"/>
      <x:c r="I6" s="10"/>
      <x:c r="J6" s="17" t="n">
        <x:v>3000000</x:v>
      </x:c>
      <x:c r="K6" s="17"/>
      <x:c r="L6" s="19"/>
      <x:c r="M6" s="19"/>
      <x:c r="N6" s="19"/>
      <x:c r="O6" s="18"/>
      <x:c r="P6" s="20"/>
      <x:c r="Q6" s="20" t="n">
        <x:v>2009</x:v>
      </x:c>
      <x:c r="R6" s="18" t="s">
        <x:v>53</x:v>
      </x:c>
      <x:c r="S6" s="21" t="s">
        <x:v>62</x:v>
      </x:c>
      <x:c r="T6" s="21"/>
      <x:c r="U6" s="21"/>
      <x:c r="V6" s="23"/>
      <x:c r="W6" s="12" t="s">
        <x:v>43</x:v>
      </x:c>
      <x:c r="X6" s="24" t="n">
        <x:f aca="0">0.9*$J6</x:f>
        <x:v>2700000</x:v>
      </x:c>
      <x:c r="Y6" s="24" t="n">
        <x:f aca="0">1.5*J6</x:f>
        <x:v>4500000</x:v>
      </x:c>
      <x:c r="Z6" s="12" t="s">
        <x:v>44</x:v>
      </x:c>
      <x:c r="AA6" s="13" t="n">
        <x:f aca="0">0.9*K6</x:f>
        <x:v>0</x:v>
      </x:c>
      <x:c r="AB6" s="13" t="n">
        <x:f aca="0">1.3*K6</x:f>
        <x:v>0</x:v>
      </x:c>
      <x:c r="AC6" s="12" t="s">
        <x:v>44</x:v>
      </x:c>
      <x:c r="AD6" s="13" t="s">
        <x:v>45</x:v>
      </x:c>
      <x:c r="AE6" s="13" t="s">
        <x:v>46</x:v>
      </x:c>
      <x:c r="AF6" s="13" t="s">
        <x:v>47</x:v>
      </x:c>
      <x:c r="AG6" s="12" t="s">
        <x:v>48</x:v>
      </x:c>
    </x:row>
    <x:row r="7" ht="90.75" hidden="0" customHeight="1">
      <x:c r="A7" s="6" t="n">
        <x:v>15</x:v>
      </x:c>
      <x:c r="B7" s="9" t="n">
        <x:f aca="0">IF(ISNUMBER(A7),
    IF(AND(A7=INT(A7), MOD(A7, 10) = 0), 0,
        IF(AND(A7=INT(A7), LEN(A7)=2), 1,
            IF(AND(A7=INT(A7), LEN(A7)=3), 2,
                LEN(A7) - FIND(".", A7) + 2)
        )
    ),
"")</x:f>
        <x:v>1</x:v>
      </x:c>
      <x:c r="C7" s="15" t="s">
        <x:v>64</x:v>
      </x:c>
      <x:c r="D7" s="10" t="str">
        <x:f aca="0">REPT("   ", B7*2) &amp; C7</x:f>
        <x:v>      Plant Studies</x:v>
      </x:c>
      <x:c r="E7" s="10" t="s">
        <x:v>35</x:v>
      </x:c>
      <x:c r="F7" s="10" t="s">
        <x:v>623</x:v>
      </x:c>
      <x:c r="G7" s="109" t="n">
        <x:v>1</x:v>
      </x:c>
      <x:c r="H7" s="10"/>
      <x:c r="I7" s="10"/>
      <x:c r="J7" s="17" t="n">
        <x:f aca="0">10*MARVEL_Cost!C4</x:f>
        <x:v>52104510</x:v>
      </x:c>
      <x:c r="K7" s="17"/>
      <x:c r="L7" s="19"/>
      <x:c r="M7" s="19"/>
      <x:c r="N7" s="19"/>
      <x:c r="O7" s="18"/>
      <x:c r="P7" s="20"/>
      <x:c r="Q7" s="20" t="n">
        <x:v>2024</x:v>
      </x:c>
      <x:c r="R7" s="18" t="s">
        <x:v>53</x:v>
      </x:c>
      <x:c r="S7" s="21" t="s">
        <x:v>65</x:v>
      </x:c>
      <x:c r="T7" s="21" t="s">
        <x:v>66</x:v>
      </x:c>
      <x:c r="U7" s="23" t="s">
        <x:v>67</x:v>
      </x:c>
      <x:c r="V7" s="18" t="s">
        <x:v>68</x:v>
      </x:c>
      <x:c r="W7" s="12" t="s">
        <x:v>43</x:v>
      </x:c>
      <x:c r="X7" s="24" t="n">
        <x:f aca="0">0.9*$J7</x:f>
        <x:v>46894059</x:v>
      </x:c>
      <x:c r="Y7" s="24" t="n">
        <x:f aca="0">1.5*J7</x:f>
        <x:v>78156765</x:v>
      </x:c>
      <x:c r="Z7" s="12" t="s">
        <x:v>44</x:v>
      </x:c>
      <x:c r="AA7" s="13" t="n">
        <x:f aca="0">0.9*K7</x:f>
        <x:v>0</x:v>
      </x:c>
      <x:c r="AB7" s="13" t="n">
        <x:f aca="0">1.3*K7</x:f>
        <x:v>0</x:v>
      </x:c>
      <x:c r="AC7" s="12" t="s">
        <x:v>44</x:v>
      </x:c>
      <x:c r="AD7" s="13" t="s">
        <x:v>45</x:v>
      </x:c>
      <x:c r="AE7" s="13" t="s">
        <x:v>46</x:v>
      </x:c>
      <x:c r="AF7" s="13" t="s">
        <x:v>47</x:v>
      </x:c>
      <x:c r="AG7" s="12" t="s">
        <x:v>48</x:v>
      </x:c>
    </x:row>
    <x:row r="8" ht="13.5" hidden="0" customHeight="1">
      <x:c r="A8" s="4" t="n">
        <x:v>20</x:v>
      </x:c>
      <x:c r="B8" s="9" t="n">
        <x:f aca="0">IF(ISNUMBER(A8),
    IF(AND(A8=INT(A8), MOD(A8, 10) = 0), 0,
        IF(AND(A8=INT(A8), LEN(A8)=2), 1,
            IF(AND(A8=INT(A8), LEN(A8)=3), 2,
                LEN(A8) - FIND(".", A8) + 2)
        )
    ),
"")</x:f>
        <x:v>0</x:v>
      </x:c>
      <x:c r="C8" s="15" t="s">
        <x:v>69</x:v>
      </x:c>
      <x:c r="D8" s="10" t="str">
        <x:f aca="0">REPT("   ", B8*2) &amp; C8</x:f>
        <x:v>Capitalized Direct Costs</x:v>
      </x:c>
      <x:c r="E8" s="10"/>
      <x:c r="F8" s="10"/>
      <x:c r="G8" s="109"/>
      <x:c r="H8" s="10"/>
      <x:c r="I8" s="10"/>
      <x:c r="J8" s="17"/>
      <x:c r="K8" s="27"/>
      <x:c r="L8" s="4"/>
      <x:c r="M8" s="6"/>
      <x:c r="N8" s="4"/>
      <x:c r="O8" s="4"/>
      <x:c r="P8" s="28"/>
      <x:c r="Q8" s="28"/>
      <x:c r="R8" s="4"/>
      <x:c r="S8" s="4"/>
      <x:c r="T8" s="4"/>
      <x:c r="U8" s="4"/>
      <x:c r="V8" s="4"/>
      <x:c r="W8" s="12" t="s">
        <x:v>626</x:v>
      </x:c>
      <x:c r="X8" s="24"/>
      <x:c r="Y8" s="24"/>
      <x:c r="Z8" s="12"/>
      <x:c r="AA8" s="13"/>
      <x:c r="AB8" s="13"/>
      <x:c r="AC8" s="12"/>
      <x:c r="AD8" s="13"/>
      <x:c r="AE8" s="13"/>
      <x:c r="AF8" s="13"/>
      <x:c r="AG8" s="12"/>
    </x:row>
    <x:row r="9" ht="13.5" hidden="0" customHeight="1">
      <x:c r="A9" s="6" t="n">
        <x:v>21</x:v>
      </x:c>
      <x:c r="B9" s="9" t="n">
        <x:f aca="0">IF(ISNUMBER(A9),
    IF(AND(A9=INT(A9), MOD(A9, 10) = 0), 0,
        IF(AND(A9=INT(A9), LEN(A9)=2), 1,
            IF(AND(A9=INT(A9), LEN(A9)=3), 2,
                LEN(A9) - FIND(".", A9) + 2)
        )
    ),
"")</x:f>
        <x:v>1</x:v>
      </x:c>
      <x:c r="C9" s="15" t="s">
        <x:v>70</x:v>
      </x:c>
      <x:c r="D9" s="10" t="str">
        <x:f aca="0">REPT("   ", B9*2) &amp; C9</x:f>
        <x:v>      Structures and Improvements</x:v>
      </x:c>
      <x:c r="E9" s="10"/>
      <x:c r="F9" s="10"/>
      <x:c r="G9" s="109"/>
      <x:c r="H9" s="10"/>
      <x:c r="I9" s="10"/>
      <x:c r="J9" s="17"/>
      <x:c r="K9" s="17"/>
      <x:c r="L9" s="19"/>
      <x:c r="M9" s="19"/>
      <x:c r="N9" s="19"/>
      <x:c r="O9" s="19"/>
      <x:c r="P9" s="16"/>
      <x:c r="Q9" s="16"/>
      <x:c r="R9" s="19"/>
      <x:c r="S9" s="29"/>
      <x:c r="T9" s="19"/>
      <x:c r="U9" s="19"/>
      <x:c r="V9" s="23"/>
      <x:c r="W9" s="12"/>
      <x:c r="X9" s="24"/>
      <x:c r="Y9" s="24"/>
      <x:c r="Z9" s="12"/>
      <x:c r="AA9" s="13"/>
      <x:c r="AB9" s="13"/>
      <x:c r="AC9" s="12"/>
      <x:c r="AD9" s="13"/>
      <x:c r="AE9" s="13"/>
      <x:c r="AF9" s="13"/>
      <x:c r="AG9" s="12"/>
    </x:row>
    <x:row r="10" ht="13.5" hidden="0" customHeight="1">
      <x:c r="A10" s="30" t="n">
        <x:v>211</x:v>
      </x:c>
      <x:c r="B10" s="9" t="n">
        <x:f aca="0">IF(ISNUMBER(A10),
    IF(AND(A10=INT(A10), MOD(A10, 10) = 0), 0,
        IF(AND(A10=INT(A10), LEN(A10)=2), 1,
            IF(AND(A10=INT(A10), LEN(A10)=3), 2,
                LEN(A10) - FIND(".", A10) + 2)
        )
    ),
"")</x:f>
        <x:v>2</x:v>
      </x:c>
      <x:c r="C10" s="15" t="s">
        <x:v>71</x:v>
      </x:c>
      <x:c r="D10" s="10" t="str">
        <x:f aca="0">REPT("   ", B10*2) &amp; C10</x:f>
        <x:v>            Site Preparation/ Yard Work</x:v>
      </x:c>
      <x:c r="E10" s="10"/>
      <x:c r="F10" s="10"/>
      <x:c r="G10" s="109"/>
      <x:c r="H10" s="10"/>
      <x:c r="I10" s="10"/>
      <x:c r="J10" s="17"/>
      <x:c r="K10" s="17"/>
      <x:c r="L10" s="19"/>
      <x:c r="M10" s="19"/>
      <x:c r="N10" s="19"/>
      <x:c r="O10" s="19"/>
      <x:c r="P10" s="16"/>
      <x:c r="Q10" s="16"/>
      <x:c r="R10" s="19"/>
      <x:c r="S10" s="29"/>
      <x:c r="T10" s="19"/>
      <x:c r="U10" s="19"/>
      <x:c r="V10" s="23"/>
      <x:c r="W10" s="12"/>
      <x:c r="X10" s="24"/>
      <x:c r="Y10" s="24"/>
      <x:c r="Z10" s="12"/>
      <x:c r="AA10" s="13"/>
      <x:c r="AB10" s="13"/>
      <x:c r="AC10" s="12"/>
      <x:c r="AD10" s="13"/>
      <x:c r="AE10" s="13"/>
      <x:c r="AF10" s="13"/>
      <x:c r="AG10" s="12"/>
    </x:row>
    <x:row r="11" ht="13.5" hidden="0" customHeight="1">
      <x:c r="A11" s="31" t="n">
        <x:v>211.1</x:v>
      </x:c>
      <x:c r="B11" s="9" t="n">
        <x:f aca="0">IF(ISNUMBER(A11),
    IF(AND(A11=INT(A11), MOD(A11, 10) = 0), 0,
        IF(AND(A11=INT(A11), LEN(A11)=2), 1,
            IF(AND(A11=INT(A11), LEN(A11)=3), 2,
                LEN(A11) - FIND(".", A11) + 2)
        )
    ),
"")</x:f>
        <x:v>3</x:v>
      </x:c>
      <x:c r="C11" s="15" t="s">
        <x:v>72</x:v>
      </x:c>
      <x:c r="D11" s="10" t="str">
        <x:f aca="0">REPT("   ", B11*2) &amp; C11</x:f>
        <x:v>                  Cleaning and Grubbing</x:v>
      </x:c>
      <x:c r="E11" s="10" t="s">
        <x:v>35</x:v>
      </x:c>
      <x:c r="F11" s="10" t="s">
        <x:v>623</x:v>
      </x:c>
      <x:c r="G11" s="109" t="n">
        <x:v>1</x:v>
      </x:c>
      <x:c r="H11" s="10"/>
      <x:c r="I11" s="10"/>
      <x:c r="J11" s="17"/>
      <x:c r="K11" s="17" t="n">
        <x:f aca="0">4408.18*1.33</x:f>
        <x:v>5862.879400000001</x:v>
      </x:c>
      <x:c r="L11" s="18" t="s">
        <x:v>36</x:v>
      </x:c>
      <x:c r="M11" s="18" t="s">
        <x:v>624</x:v>
      </x:c>
      <x:c r="N11" s="19"/>
      <x:c r="O11" s="18" t="s">
        <x:v>38</x:v>
      </x:c>
      <x:c r="P11" s="16"/>
      <x:c r="Q11" s="20" t="n">
        <x:v>2024</x:v>
      </x:c>
      <x:c r="R11" s="18" t="s">
        <x:v>73</x:v>
      </x:c>
      <x:c r="S11" s="21" t="s">
        <x:v>74</x:v>
      </x:c>
      <x:c r="T11" s="21" t="s">
        <x:v>75</x:v>
      </x:c>
      <x:c r="U11" s="32" t="s">
        <x:v>76</x:v>
      </x:c>
      <x:c r="V11" s="23"/>
      <x:c r="W11" s="12" t="s">
        <x:v>43</x:v>
      </x:c>
      <x:c r="X11" s="24" t="n">
        <x:f aca="0">0.9*$J11</x:f>
        <x:v>0</x:v>
      </x:c>
      <x:c r="Y11" s="24" t="n">
        <x:f aca="0">1.5*J11</x:f>
        <x:v>0</x:v>
      </x:c>
      <x:c r="Z11" s="12" t="s">
        <x:v>44</x:v>
      </x:c>
      <x:c r="AA11" s="13" t="n">
        <x:f aca="0">0.9*K11</x:f>
        <x:v>5276.591460000001</x:v>
      </x:c>
      <x:c r="AB11" s="13" t="n">
        <x:f aca="0">1.3*K11</x:f>
        <x:v>7621.743220000001</x:v>
      </x:c>
      <x:c r="AC11" s="12" t="s">
        <x:v>44</x:v>
      </x:c>
      <x:c r="AD11" s="13" t="s">
        <x:v>45</x:v>
      </x:c>
      <x:c r="AE11" s="13" t="s">
        <x:v>46</x:v>
      </x:c>
      <x:c r="AF11" s="13" t="s">
        <x:v>47</x:v>
      </x:c>
      <x:c r="AG11" s="12" t="s">
        <x:v>48</x:v>
      </x:c>
    </x:row>
    <x:row r="12" ht="13.5" hidden="0" customHeight="1">
      <x:c r="A12" s="30" t="n">
        <x:v>211.2</x:v>
      </x:c>
      <x:c r="B12" s="9" t="n">
        <x:f aca="0">IF(ISNUMBER(A12),
    IF(AND(A12=INT(A12), MOD(A12, 10) = 0), 0,
        IF(AND(A12=INT(A12), LEN(A12)=2), 1,
            IF(AND(A12=INT(A12), LEN(A12)=3), 2,
                LEN(A12) - FIND(".", A12) + 2)
        )
    ),
"")</x:f>
        <x:v>3</x:v>
      </x:c>
      <x:c r="C12" s="15" t="s">
        <x:v>78</x:v>
      </x:c>
      <x:c r="D12" s="10" t="str">
        <x:f aca="0">REPT("   ", B12*2) &amp; C12</x:f>
        <x:v>                  Stripping Topsoil</x:v>
      </x:c>
      <x:c r="E12" s="10" t="s">
        <x:v>35</x:v>
      </x:c>
      <x:c r="F12" s="10" t="s">
        <x:v>623</x:v>
      </x:c>
      <x:c r="G12" s="109" t="n">
        <x:v>1</x:v>
      </x:c>
      <x:c r="H12" s="10"/>
      <x:c r="I12" s="10"/>
      <x:c r="J12" s="17"/>
      <x:c r="K12" s="17" t="n">
        <x:f aca="0">2565.2*1.33</x:f>
        <x:v>3411.716</x:v>
      </x:c>
      <x:c r="L12" s="18" t="s">
        <x:v>36</x:v>
      </x:c>
      <x:c r="M12" s="18" t="s">
        <x:v>624</x:v>
      </x:c>
      <x:c r="N12" s="19"/>
      <x:c r="O12" s="18" t="s">
        <x:v>38</x:v>
      </x:c>
      <x:c r="P12" s="16"/>
      <x:c r="Q12" s="20" t="n">
        <x:v>2024</x:v>
      </x:c>
      <x:c r="R12" s="18" t="s">
        <x:v>73</x:v>
      </x:c>
      <x:c r="S12" s="21"/>
      <x:c r="T12" s="21"/>
      <x:c r="U12" s="21"/>
      <x:c r="V12" s="23"/>
      <x:c r="W12" s="12" t="s">
        <x:v>43</x:v>
      </x:c>
      <x:c r="X12" s="24" t="n">
        <x:f aca="0">0.9*$J12</x:f>
        <x:v>0</x:v>
      </x:c>
      <x:c r="Y12" s="24" t="n">
        <x:f aca="0">1.5*J12</x:f>
        <x:v>0</x:v>
      </x:c>
      <x:c r="Z12" s="12" t="s">
        <x:v>44</x:v>
      </x:c>
      <x:c r="AA12" s="13" t="n">
        <x:f aca="0">0.9*K12</x:f>
        <x:v>3070.5443999999998</x:v>
      </x:c>
      <x:c r="AB12" s="13" t="n">
        <x:f aca="0">1.3*K12</x:f>
        <x:v>4435.2308</x:v>
      </x:c>
      <x:c r="AC12" s="12" t="s">
        <x:v>44</x:v>
      </x:c>
      <x:c r="AD12" s="13" t="s">
        <x:v>45</x:v>
      </x:c>
      <x:c r="AE12" s="13" t="s">
        <x:v>46</x:v>
      </x:c>
      <x:c r="AF12" s="13" t="s">
        <x:v>47</x:v>
      </x:c>
      <x:c r="AG12" s="12" t="s">
        <x:v>48</x:v>
      </x:c>
    </x:row>
    <x:row r="13" ht="34.5" hidden="0" customHeight="1">
      <x:c r="A13" s="30" t="n">
        <x:v>211.4</x:v>
      </x:c>
      <x:c r="B13" s="9" t="n">
        <x:f aca="0">IF(ISNUMBER(A13),
    IF(AND(A13=INT(A13), MOD(A13, 10) = 0), 0,
        IF(AND(A13=INT(A13), LEN(A13)=2), 1,
            IF(AND(A13=INT(A13), LEN(A13)=3), 2,
                LEN(A13) - FIND(".", A13) + 2)
        )
    ),
"")</x:f>
        <x:v>3</x:v>
      </x:c>
      <x:c r="C13" s="15" t="s">
        <x:v>83</x:v>
      </x:c>
      <x:c r="D13" s="10" t="str">
        <x:f aca="0">REPT("   ", B13*2) &amp; C13</x:f>
        <x:v>                  Roads</x:v>
      </x:c>
      <x:c r="E13" s="10" t="s">
        <x:v>35</x:v>
      </x:c>
      <x:c r="F13" s="10" t="s">
        <x:v>623</x:v>
      </x:c>
      <x:c r="G13" s="109" t="n">
        <x:v>1</x:v>
      </x:c>
      <x:c r="H13" s="10"/>
      <x:c r="I13" s="10"/>
      <x:c r="J13" s="17"/>
      <x:c r="K13" s="17" t="n">
        <x:f aca="0">0.7*7873200*1.609/1000</x:f>
        <x:v>8867.58516</x:v>
      </x:c>
      <x:c r="L13" s="18" t="s">
        <x:v>84</x:v>
      </x:c>
      <x:c r="M13" s="110" t="s">
        <x:v>627</x:v>
      </x:c>
      <x:c r="N13" s="111" t="n">
        <x:v>1</x:v>
      </x:c>
      <x:c r="O13" s="112"/>
      <x:c r="P13" s="113" t="n">
        <x:v>1</x:v>
      </x:c>
      <x:c r="Q13" s="114" t="n">
        <x:v>2025</x:v>
      </x:c>
      <x:c r="R13" s="112" t="s">
        <x:v>39</x:v>
      </x:c>
      <x:c r="S13" s="33" t="s">
        <x:v>87</x:v>
      </x:c>
      <x:c r="T13" s="115"/>
      <x:c r="U13" s="22"/>
      <x:c r="V13" s="23"/>
      <x:c r="W13" s="12" t="s">
        <x:v>43</x:v>
      </x:c>
      <x:c r="X13" s="24" t="n">
        <x:f aca="0">0.9*$J13</x:f>
        <x:v>0</x:v>
      </x:c>
      <x:c r="Y13" s="24" t="n">
        <x:f aca="0">1.5*J13</x:f>
        <x:v>0</x:v>
      </x:c>
      <x:c r="Z13" s="12" t="s">
        <x:v>44</x:v>
      </x:c>
      <x:c r="AA13" s="13" t="n">
        <x:f aca="0">0.9*K13</x:f>
        <x:v>7980.826644000001</x:v>
      </x:c>
      <x:c r="AB13" s="13" t="n">
        <x:f aca="0">1.3*K13</x:f>
        <x:v>11527.860708000002</x:v>
      </x:c>
      <x:c r="AC13" s="12" t="s">
        <x:v>44</x:v>
      </x:c>
      <x:c r="AD13" s="13" t="s">
        <x:v>45</x:v>
      </x:c>
      <x:c r="AE13" s="13" t="s">
        <x:v>46</x:v>
      </x:c>
      <x:c r="AF13" s="13" t="s">
        <x:v>47</x:v>
      </x:c>
      <x:c r="AG13" s="12" t="s">
        <x:v>48</x:v>
      </x:c>
    </x:row>
    <x:row r="14" ht="13.5" hidden="0" customHeight="1">
      <x:c r="A14" s="30" t="n">
        <x:v>211.9</x:v>
      </x:c>
      <x:c r="B14" s="9" t="n">
        <x:f aca="0">IF(ISNUMBER(A14),
    IF(AND(A14=INT(A14), MOD(A14, 10) = 0), 0,
        IF(AND(A14=INT(A14), LEN(A14)=2), 1,
            IF(AND(A14=INT(A14), LEN(A14)=3), 2,
                LEN(A14) - FIND(".", A14) + 2)
        )
    ),
"")</x:f>
        <x:v>3</x:v>
      </x:c>
      <x:c r="C14" s="15" t="s">
        <x:v>88</x:v>
      </x:c>
      <x:c r="D14" s="10" t="str">
        <x:f aca="0">REPT("   ", B14*2) &amp; C14</x:f>
        <x:v>                  Security Fencing</x:v>
      </x:c>
      <x:c r="E14" s="10"/>
      <x:c r="F14" s="10"/>
      <x:c r="G14" s="109"/>
      <x:c r="H14" s="10"/>
      <x:c r="I14" s="10"/>
      <x:c r="J14" s="17"/>
      <x:c r="K14" s="116"/>
      <x:c r="L14" s="117"/>
      <x:c r="M14" s="118"/>
      <x:c r="N14" s="119"/>
      <x:c r="O14" s="18"/>
      <x:c r="P14" s="120"/>
      <x:c r="Q14" s="121"/>
      <x:c r="R14" s="122"/>
      <x:c r="S14" s="123"/>
      <x:c r="T14" s="21"/>
      <x:c r="U14" s="22"/>
      <x:c r="V14" s="23"/>
      <x:c r="W14" s="12"/>
      <x:c r="X14" s="24"/>
      <x:c r="Y14" s="24"/>
      <x:c r="Z14" s="12"/>
      <x:c r="AA14" s="13"/>
      <x:c r="AB14" s="13"/>
      <x:c r="AC14" s="12"/>
      <x:c r="AD14" s="13"/>
      <x:c r="AE14" s="13"/>
      <x:c r="AF14" s="13"/>
      <x:c r="AG14" s="12"/>
    </x:row>
    <x:row r="15" ht="34.5" hidden="0" customHeight="1">
      <x:c r="A15" s="30" t="n">
        <x:v>211.91</x:v>
      </x:c>
      <x:c r="B15" s="9" t="n">
        <x:f aca="0">IF(ISNUMBER(A15),
    IF(AND(A15=INT(A15), MOD(A15, 10) = 0), 0,
        IF(AND(A15=INT(A15), LEN(A15)=2), 1,
            IF(AND(A15=INT(A15), LEN(A15)=3), 2,
                LEN(A15) - FIND(".", A15) + 2)
        )
    ),
"")</x:f>
        <x:v>4</x:v>
      </x:c>
      <x:c r="C15" s="15" t="s">
        <x:v>89</x:v>
      </x:c>
      <x:c r="D15" s="10" t="str">
        <x:f aca="0">REPT("   ", B15*2) &amp; C15</x:f>
        <x:v>                        Security Fencing Limited</x:v>
      </x:c>
      <x:c r="E15" s="10" t="s">
        <x:v>35</x:v>
      </x:c>
      <x:c r="F15" s="10" t="s">
        <x:v>623</x:v>
      </x:c>
      <x:c r="G15" s="109" t="n">
        <x:v>1</x:v>
      </x:c>
      <x:c r="H15" s="10"/>
      <x:c r="I15" s="10"/>
      <x:c r="J15" s="17"/>
      <x:c r="K15" s="17" t="n">
        <x:f aca="0">0.7*273</x:f>
        <x:v>191.1</x:v>
      </x:c>
      <x:c r="L15" s="18" t="s">
        <x:v>628</x:v>
      </x:c>
      <x:c r="M15" s="18" t="s">
        <x:v>629</x:v>
      </x:c>
      <x:c r="N15" s="19"/>
      <x:c r="O15" s="18"/>
      <x:c r="P15" s="16"/>
      <x:c r="Q15" s="20" t="n">
        <x:v>2025</x:v>
      </x:c>
      <x:c r="R15" s="18" t="s">
        <x:v>73</x:v>
      </x:c>
      <x:c r="S15" s="33" t="s">
        <x:v>87</x:v>
      </x:c>
      <x:c r="T15" s="21"/>
      <x:c r="U15" s="35"/>
      <x:c r="V15" s="23"/>
      <x:c r="W15" s="12" t="s">
        <x:v>43</x:v>
      </x:c>
      <x:c r="X15" s="24" t="n">
        <x:f aca="0">0.9*$J15</x:f>
        <x:v>0</x:v>
      </x:c>
      <x:c r="Y15" s="24" t="n">
        <x:f aca="0">1.5*J15</x:f>
        <x:v>0</x:v>
      </x:c>
      <x:c r="Z15" s="12" t="s">
        <x:v>44</x:v>
      </x:c>
      <x:c r="AA15" s="13" t="n">
        <x:f aca="0">0.9*K15</x:f>
        <x:v>171.99</x:v>
      </x:c>
      <x:c r="AB15" s="13" t="n">
        <x:f aca="0">1.3*K15</x:f>
        <x:v>248.43</x:v>
      </x:c>
      <x:c r="AC15" s="12" t="s">
        <x:v>44</x:v>
      </x:c>
      <x:c r="AD15" s="13" t="s">
        <x:v>45</x:v>
      </x:c>
      <x:c r="AE15" s="13" t="s">
        <x:v>46</x:v>
      </x:c>
      <x:c r="AF15" s="13" t="s">
        <x:v>47</x:v>
      </x:c>
      <x:c r="AG15" s="12" t="s">
        <x:v>48</x:v>
      </x:c>
    </x:row>
    <x:row r="16" ht="34.5" hidden="0" customHeight="1">
      <x:c r="A16" s="30" t="n">
        <x:v>211.93</x:v>
      </x:c>
      <x:c r="B16" s="9" t="n">
        <x:f aca="0">IF(ISNUMBER(A16),
    IF(AND(A16=INT(A16), MOD(A16, 10) = 0), 0,
        IF(AND(A16=INT(A16), LEN(A16)=2), 1,
            IF(AND(A16=INT(A16), LEN(A16)=3), 2,
                LEN(A16) - FIND(".", A16) + 2)
        )
    ),
"")</x:f>
        <x:v>4</x:v>
      </x:c>
      <x:c r="C16" s="15" t="s">
        <x:v>91</x:v>
      </x:c>
      <x:c r="D16" s="10" t="str">
        <x:f aca="0">REPT("   ", B16*2) &amp; C16</x:f>
        <x:v>                        Security Fencing Protected</x:v>
      </x:c>
      <x:c r="E16" s="10" t="s">
        <x:v>35</x:v>
      </x:c>
      <x:c r="F16" s="10" t="s">
        <x:v>623</x:v>
      </x:c>
      <x:c r="G16" s="109" t="n">
        <x:v>1</x:v>
      </x:c>
      <x:c r="H16" s="10"/>
      <x:c r="I16" s="10"/>
      <x:c r="J16" s="17"/>
      <x:c r="K16" s="17" t="n">
        <x:f aca="0">0.7*15746</x:f>
        <x:v>11022.199999999999</x:v>
      </x:c>
      <x:c r="L16" s="18" t="s">
        <x:v>628</x:v>
      </x:c>
      <x:c r="M16" s="18" t="s">
        <x:v>630</x:v>
      </x:c>
      <x:c r="N16" s="19"/>
      <x:c r="O16" s="18"/>
      <x:c r="P16" s="16"/>
      <x:c r="Q16" s="20" t="n">
        <x:v>2025</x:v>
      </x:c>
      <x:c r="R16" s="18" t="s">
        <x:v>73</x:v>
      </x:c>
      <x:c r="S16" s="33" t="s">
        <x:v>87</x:v>
      </x:c>
      <x:c r="T16" s="21"/>
      <x:c r="U16" s="35"/>
      <x:c r="V16" s="23"/>
      <x:c r="W16" s="12" t="s">
        <x:v>43</x:v>
      </x:c>
      <x:c r="X16" s="24" t="n">
        <x:f aca="0">0.9*$J16</x:f>
        <x:v>0</x:v>
      </x:c>
      <x:c r="Y16" s="24" t="n">
        <x:f aca="0">1.5*J16</x:f>
        <x:v>0</x:v>
      </x:c>
      <x:c r="Z16" s="12" t="s">
        <x:v>44</x:v>
      </x:c>
      <x:c r="AA16" s="13" t="n">
        <x:f aca="0">0.9*K16</x:f>
        <x:v>9919.98</x:v>
      </x:c>
      <x:c r="AB16" s="13" t="n">
        <x:f aca="0">1.3*K16</x:f>
        <x:v>14328.859999999999</x:v>
      </x:c>
      <x:c r="AC16" s="12" t="s">
        <x:v>44</x:v>
      </x:c>
      <x:c r="AD16" s="13" t="n">
        <x:v>0.1</x:v>
      </x:c>
      <x:c r="AE16" s="13" t="s">
        <x:v>46</x:v>
      </x:c>
      <x:c r="AF16" s="13" t="s">
        <x:v>47</x:v>
      </x:c>
      <x:c r="AG16" s="12" t="s">
        <x:v>48</x:v>
      </x:c>
    </x:row>
    <x:row r="17" ht="13.5" hidden="0" customHeight="1">
      <x:c r="A17" s="30" t="n">
        <x:v>214</x:v>
      </x:c>
      <x:c r="B17" s="9" t="n">
        <x:f aca="0">IF(ISNUMBER(A17),
    IF(AND(A17=INT(A17), MOD(A17, 10) = 0), 0,
        IF(AND(A17=INT(A17), LEN(A17)=2), 1,
            IF(AND(A17=INT(A17), LEN(A17)=3), 2,
                LEN(A17) - FIND(".", A17) + 2)
        )
    ),
"")</x:f>
        <x:v>2</x:v>
      </x:c>
      <x:c r="C17" s="15" t="s">
        <x:v>631</x:v>
      </x:c>
      <x:c r="D17" s="10" t="str">
        <x:f aca="0">REPT("   ", B17*2) &amp; C17</x:f>
        <x:v>            Servicing Facilities Structures</x:v>
      </x:c>
      <x:c r="E17" s="10"/>
      <x:c r="F17" s="10"/>
      <x:c r="G17" s="109"/>
      <x:c r="H17" s="10"/>
      <x:c r="I17" s="10"/>
      <x:c r="J17" s="17"/>
      <x:c r="K17" s="17"/>
      <x:c r="L17" s="19"/>
      <x:c r="M17" s="29"/>
      <x:c r="N17" s="19"/>
      <x:c r="O17" s="19"/>
      <x:c r="P17" s="16"/>
      <x:c r="Q17" s="16"/>
      <x:c r="R17" s="19"/>
      <x:c r="S17" s="29"/>
      <x:c r="T17" s="21"/>
      <x:c r="U17" s="22"/>
      <x:c r="V17" s="23"/>
      <x:c r="W17" s="12"/>
      <x:c r="X17" s="24"/>
      <x:c r="Y17" s="24"/>
      <x:c r="Z17" s="12"/>
      <x:c r="AA17" s="13"/>
      <x:c r="AB17" s="13"/>
      <x:c r="AC17" s="12"/>
      <x:c r="AD17" s="13"/>
      <x:c r="AE17" s="13"/>
      <x:c r="AF17" s="13"/>
      <x:c r="AG17" s="12"/>
    </x:row>
    <x:row r="18" ht="13.5" hidden="0" customHeight="1">
      <x:c r="A18" s="30" t="n">
        <x:v>214.3</x:v>
      </x:c>
      <x:c r="B18" s="9" t="n">
        <x:f aca="0">IF(ISNUMBER(A18),
    IF(AND(A18=INT(A18), MOD(A18, 10) = 0), 0,
        IF(AND(A18=INT(A18), LEN(A18)=2), 1,
            IF(AND(A18=INT(A18), LEN(A18)=3), 2,
                LEN(A18) - FIND(".", A18) + 2)
        )
    ),
"")</x:f>
        <x:v>3</x:v>
      </x:c>
      <x:c r="C18" s="15" t="s">
        <x:v>632</x:v>
      </x:c>
      <x:c r="D18" s="10" t="str">
        <x:f aca="0">REPT("   ", B18*2) &amp; C18</x:f>
        <x:v>                  Control Buidlings</x:v>
      </x:c>
      <x:c r="E18" s="10"/>
      <x:c r="F18" s="10"/>
      <x:c r="G18" s="109"/>
      <x:c r="H18" s="10"/>
      <x:c r="I18" s="10"/>
      <x:c r="J18" s="124"/>
      <x:c r="K18" s="17"/>
      <x:c r="L18" s="18"/>
      <x:c r="M18" s="15"/>
      <x:c r="N18" s="19"/>
      <x:c r="O18" s="18"/>
      <x:c r="P18" s="16"/>
      <x:c r="Q18" s="20"/>
      <x:c r="R18" s="18"/>
      <x:c r="S18" s="21"/>
      <x:c r="T18" s="21"/>
      <x:c r="U18" s="22"/>
      <x:c r="V18" s="23"/>
      <x:c r="W18" s="12"/>
      <x:c r="X18" s="24"/>
      <x:c r="Y18" s="24"/>
      <x:c r="Z18" s="12"/>
      <x:c r="AA18" s="13"/>
      <x:c r="AB18" s="13"/>
      <x:c r="AC18" s="12"/>
      <x:c r="AD18" s="13"/>
      <x:c r="AE18" s="13"/>
      <x:c r="AF18" s="13"/>
      <x:c r="AG18" s="12"/>
    </x:row>
    <x:row r="19" ht="57" hidden="0" customHeight="1">
      <x:c r="A19" s="30" t="n">
        <x:v>214.31</x:v>
      </x:c>
      <x:c r="B19" s="9" t="n">
        <x:v>4</x:v>
      </x:c>
      <x:c r="C19" s="15" t="s">
        <x:v>633</x:v>
      </x:c>
      <x:c r="D19" s="10" t="str">
        <x:f aca="0">REPT("   ", B19*2) &amp; C19</x:f>
        <x:v>                        Local Control Buidling Structure</x:v>
      </x:c>
      <x:c r="E19" s="10" t="s">
        <x:v>35</x:v>
      </x:c>
      <x:c r="F19" s="10" t="s">
        <x:v>623</x:v>
      </x:c>
      <x:c r="G19" s="109" t="n">
        <x:v>1</x:v>
      </x:c>
      <x:c r="H19" s="10"/>
      <x:c r="I19" s="10"/>
      <x:c r="J19" s="124"/>
      <x:c r="K19" s="17" t="n">
        <x:f aca="0">0.7*2653*(3.2808^2)</x:f>
        <x:v>19989.171889344</x:v>
      </x:c>
      <x:c r="L19" s="18" t="s">
        <x:v>102</x:v>
      </x:c>
      <x:c r="M19" s="15" t="s">
        <x:v>634</x:v>
      </x:c>
      <x:c r="N19" s="125" t="n">
        <x:v>1</x:v>
      </x:c>
      <x:c r="O19" s="125" t="s">
        <x:v>104</x:v>
      </x:c>
      <x:c r="P19" s="126" t="n">
        <x:v>1</x:v>
      </x:c>
      <x:c r="Q19" s="20" t="n">
        <x:v>2025</x:v>
      </x:c>
      <x:c r="R19" s="19" t="s">
        <x:v>96</x:v>
      </x:c>
      <x:c r="S19" s="127" t="s">
        <x:v>635</x:v>
      </x:c>
      <x:c r="T19" s="21"/>
      <x:c r="U19" s="22"/>
      <x:c r="V19" s="23"/>
      <x:c r="W19" s="128" t="s">
        <x:v>43</x:v>
      </x:c>
      <x:c r="X19" s="129" t="n">
        <x:f aca="0">0.9*$I19</x:f>
        <x:v>0</x:v>
      </x:c>
      <x:c r="Y19" s="129" t="n">
        <x:f aca="0">1.5*J19</x:f>
        <x:v>0</x:v>
      </x:c>
      <x:c r="Z19" s="128" t="s">
        <x:v>44</x:v>
      </x:c>
      <x:c r="AA19" s="130" t="n">
        <x:f aca="0">0.9*K19</x:f>
        <x:v>17990.2547004096</x:v>
      </x:c>
      <x:c r="AB19" s="130" t="n">
        <x:f aca="0">1.3*K19</x:f>
        <x:v>25985.923456147204</x:v>
      </x:c>
      <x:c r="AC19" s="128" t="s">
        <x:v>44</x:v>
      </x:c>
      <x:c r="AD19" s="130" t="s">
        <x:v>45</x:v>
      </x:c>
      <x:c r="AE19" s="130" t="s">
        <x:v>46</x:v>
      </x:c>
      <x:c r="AF19" s="130" t="s">
        <x:v>47</x:v>
      </x:c>
      <x:c r="AG19" s="128" t="s">
        <x:v>48</x:v>
      </x:c>
    </x:row>
    <x:row r="20" ht="13.5" hidden="0" customHeight="1">
      <x:c r="A20" s="6" t="n">
        <x:v>22</x:v>
      </x:c>
      <x:c r="B20" s="9" t="n">
        <x:f aca="0">IF(ISNUMBER(A20),
    IF(AND(A20=INT(A20), MOD(A20, 10) = 0), 0,
        IF(AND(A20=INT(A20), LEN(A20)=2), 1,
            IF(AND(A20=INT(A20), LEN(A20)=3), 2,
                LEN(A20) - FIND(".", A20) + 2)
        )
    ),
"")</x:f>
        <x:v>1</x:v>
      </x:c>
      <x:c r="C20" s="37" t="s">
        <x:v>636</x:v>
      </x:c>
      <x:c r="D20" s="10" t="str">
        <x:f aca="0">REPT("   ", B20*2) &amp; C20</x:f>
        <x:v>      Main Facilities Estimated As Wholes</x:v>
      </x:c>
      <x:c r="E20" s="10"/>
      <x:c r="F20" s="10"/>
      <x:c r="G20" s="109"/>
      <x:c r="H20" s="10"/>
      <x:c r="I20" s="10"/>
      <x:c r="J20" s="17"/>
      <x:c r="K20" s="17"/>
      <x:c r="L20" s="19"/>
      <x:c r="M20" s="10"/>
      <x:c r="N20" s="23"/>
      <x:c r="O20" s="23"/>
      <x:c r="P20" s="20"/>
      <x:c r="Q20" s="20"/>
      <x:c r="R20" s="23"/>
      <x:c r="S20" s="26"/>
      <x:c r="T20" s="23"/>
      <x:c r="U20" s="23"/>
      <x:c r="V20" s="23"/>
      <x:c r="W20" s="12"/>
      <x:c r="X20" s="24"/>
      <x:c r="Y20" s="24"/>
      <x:c r="Z20" s="12"/>
      <x:c r="AA20" s="13"/>
      <x:c r="AB20" s="13"/>
      <x:c r="AC20" s="12"/>
      <x:c r="AD20" s="13"/>
      <x:c r="AE20" s="13"/>
      <x:c r="AF20" s="13"/>
      <x:c r="AG20" s="12"/>
    </x:row>
    <x:row r="21" ht="13.5" hidden="0" customHeight="1">
      <x:c r="A21" s="131" t="n">
        <x:v>221</x:v>
      </x:c>
      <x:c r="B21" s="132" t="n">
        <x:f aca="0">IF(ISNUMBER(A21),
    IF(AND(A21=INT(A21), MOD(A21, 10) = 0), 0,
        IF(AND(A21=INT(A21), LEN(A21)=2), 1,
            IF(AND(A21=INT(A21), LEN(A21)=3), 2,
                LEN(A21) - FIND(".", A21) + 2)
        )
    ),
"")</x:f>
        <x:v>2</x:v>
      </x:c>
      <x:c r="C21" s="133" t="s">
        <x:v>637</x:v>
      </x:c>
      <x:c r="D21" s="134" t="str">
        <x:f aca="0">REPT("   ", B21*2) &amp; C21</x:f>
        <x:v>            Manufacturing Building</x:v>
      </x:c>
      <x:c r="E21" s="134" t="s">
        <x:v>35</x:v>
      </x:c>
      <x:c r="F21" s="135"/>
      <x:c r="G21" s="136"/>
      <x:c r="H21" s="134"/>
      <x:c r="I21" s="134"/>
      <x:c r="J21" s="17"/>
      <x:c r="K21" s="137" t="n">
        <x:f aca="0">62733028.09/N21</x:f>
        <x:v>62733.02809000001</x:v>
      </x:c>
      <x:c r="L21" s="125"/>
      <x:c r="M21" s="138" t="s">
        <x:v>638</x:v>
      </x:c>
      <x:c r="N21" s="125" t="n">
        <x:v>1000</x:v>
      </x:c>
      <x:c r="O21" s="125" t="s">
        <x:v>639</x:v>
      </x:c>
      <x:c r="P21" s="139" t="n">
        <x:v>0.138270648181342</x:v>
      </x:c>
      <x:c r="Q21" s="20" t="n">
        <x:v>2025</x:v>
      </x:c>
      <x:c r="R21" s="19" t="s">
        <x:v>96</x:v>
      </x:c>
      <x:c r="S21" s="127"/>
      <x:c r="T21" s="21"/>
      <x:c r="U21" s="22"/>
      <x:c r="V21" s="23"/>
      <x:c r="W21" s="128" t="s">
        <x:v>43</x:v>
      </x:c>
      <x:c r="X21" s="129" t="n">
        <x:f aca="0">0.9*$I21</x:f>
        <x:v>0</x:v>
      </x:c>
      <x:c r="Y21" s="129" t="n">
        <x:f aca="0">1.5*J21</x:f>
        <x:v>0</x:v>
      </x:c>
      <x:c r="Z21" s="128" t="s">
        <x:v>44</x:v>
      </x:c>
      <x:c r="AA21" s="130" t="n">
        <x:f aca="0">0.9*K21</x:f>
        <x:v>56459.725281000006</x:v>
      </x:c>
      <x:c r="AB21" s="130" t="n">
        <x:f aca="0">1.3*K21</x:f>
        <x:v>81552.93651700001</x:v>
      </x:c>
      <x:c r="AC21" s="128" t="s">
        <x:v>44</x:v>
      </x:c>
      <x:c r="AD21" s="130" t="n">
        <x:v>0.1</x:v>
      </x:c>
      <x:c r="AE21" s="130" t="s">
        <x:v>46</x:v>
      </x:c>
      <x:c r="AF21" s="130" t="s">
        <x:v>47</x:v>
      </x:c>
      <x:c r="AG21" s="128" t="s">
        <x:v>48</x:v>
      </x:c>
    </x:row>
    <x:row r="22" ht="13.5" hidden="0" customHeight="1">
      <x:c r="A22" s="131" t="n">
        <x:v>222</x:v>
      </x:c>
      <x:c r="B22" s="132" t="n">
        <x:f aca="0">IF(ISNUMBER(A22),
    IF(AND(A22=INT(A22), MOD(A22, 10) = 0), 0,
        IF(AND(A22=INT(A22), LEN(A22)=2), 1,
            IF(AND(A22=INT(A22), LEN(A22)=3), 2,
                LEN(A22) - FIND(".", A22) + 2)
        )
    ),
"")</x:f>
        <x:v>2</x:v>
      </x:c>
      <x:c r="C22" s="133" t="s">
        <x:v>640</x:v>
      </x:c>
      <x:c r="D22" s="134" t="str">
        <x:f aca="0">REPT("   ", B22*2) &amp; C22</x:f>
        <x:v>            Fueling Building</x:v>
      </x:c>
      <x:c r="E22" s="134" t="s">
        <x:v>35</x:v>
      </x:c>
      <x:c r="F22" s="135"/>
      <x:c r="G22" s="136"/>
      <x:c r="H22" s="134"/>
      <x:c r="I22" s="134"/>
      <x:c r="J22" s="17"/>
      <x:c r="K22" s="137" t="n">
        <x:f aca="0">35766971.91/N22</x:f>
        <x:v>35766.97190999999</x:v>
      </x:c>
      <x:c r="L22" s="125"/>
      <x:c r="M22" s="138" t="s">
        <x:v>638</x:v>
      </x:c>
      <x:c r="N22" s="125" t="n">
        <x:v>1000</x:v>
      </x:c>
      <x:c r="O22" s="125" t="s">
        <x:v>639</x:v>
      </x:c>
      <x:c r="P22" s="139" t="n">
        <x:v>0.138270648181342</x:v>
      </x:c>
      <x:c r="Q22" s="20" t="n">
        <x:v>2025</x:v>
      </x:c>
      <x:c r="R22" s="19" t="s">
        <x:v>96</x:v>
      </x:c>
      <x:c r="S22" s="127"/>
      <x:c r="T22" s="21"/>
      <x:c r="U22" s="22"/>
      <x:c r="V22" s="23"/>
      <x:c r="W22" s="128" t="s">
        <x:v>43</x:v>
      </x:c>
      <x:c r="X22" s="129" t="n">
        <x:f aca="0">0.9*$I22</x:f>
        <x:v>0</x:v>
      </x:c>
      <x:c r="Y22" s="129" t="n">
        <x:f aca="0">1.5*J22</x:f>
        <x:v>0</x:v>
      </x:c>
      <x:c r="Z22" s="128" t="s">
        <x:v>44</x:v>
      </x:c>
      <x:c r="AA22" s="130" t="n">
        <x:f aca="0">0.9*K22</x:f>
        <x:v>32190.274718999994</x:v>
      </x:c>
      <x:c r="AB22" s="130" t="n">
        <x:f aca="0">1.3*K22</x:f>
        <x:v>46497.06348299999</x:v>
      </x:c>
      <x:c r="AC22" s="128" t="s">
        <x:v>44</x:v>
      </x:c>
      <x:c r="AD22" s="130" t="n">
        <x:v>0.1</x:v>
      </x:c>
      <x:c r="AE22" s="130" t="s">
        <x:v>46</x:v>
      </x:c>
      <x:c r="AF22" s="130" t="s">
        <x:v>47</x:v>
      </x:c>
      <x:c r="AG22" s="128" t="s">
        <x:v>48</x:v>
      </x:c>
    </x:row>
    <x:row r="23" ht="13.5" hidden="0" customHeight="1">
      <x:c r="A23" s="140" t="n">
        <x:v>223</x:v>
      </x:c>
      <x:c r="B23" s="141" t="n">
        <x:v>2</x:v>
      </x:c>
      <x:c r="C23" s="142" t="s">
        <x:v>641</x:v>
      </x:c>
      <x:c r="D23" s="143" t="str">
        <x:f aca="0">REPT("   ", B23*2) &amp; C23</x:f>
        <x:v>            Testing Building</x:v>
      </x:c>
      <x:c r="E23" s="134"/>
      <x:c r="F23" s="135"/>
      <x:c r="G23" s="136"/>
      <x:c r="H23" s="134"/>
      <x:c r="I23" s="134"/>
      <x:c r="J23" s="17"/>
      <x:c r="K23" s="137"/>
      <x:c r="L23" s="125"/>
      <x:c r="M23" s="144"/>
      <x:c r="N23" s="125"/>
      <x:c r="O23" s="125"/>
      <x:c r="P23" s="139"/>
      <x:c r="Q23" s="20"/>
      <x:c r="R23" s="19"/>
      <x:c r="S23" s="127"/>
      <x:c r="T23" s="21"/>
      <x:c r="U23" s="22"/>
      <x:c r="V23" s="23"/>
      <x:c r="W23" s="128" t="s">
        <x:v>43</x:v>
      </x:c>
      <x:c r="X23" s="129" t="n">
        <x:f aca="0">0.9*$I23</x:f>
        <x:v>0</x:v>
      </x:c>
      <x:c r="Y23" s="129" t="n">
        <x:f aca="0">1.5*J23</x:f>
        <x:v>0</x:v>
      </x:c>
      <x:c r="Z23" s="128" t="s">
        <x:v>44</x:v>
      </x:c>
      <x:c r="AA23" s="130" t="n">
        <x:f aca="0">0.9*K23</x:f>
        <x:v>0</x:v>
      </x:c>
      <x:c r="AB23" s="130" t="n">
        <x:f aca="0">1.3*K23</x:f>
        <x:v>0</x:v>
      </x:c>
      <x:c r="AC23" s="128" t="s">
        <x:v>44</x:v>
      </x:c>
      <x:c r="AD23" s="130" t="n">
        <x:v>0.1</x:v>
      </x:c>
      <x:c r="AE23" s="130" t="s">
        <x:v>46</x:v>
      </x:c>
      <x:c r="AF23" s="130" t="s">
        <x:v>47</x:v>
      </x:c>
      <x:c r="AG23" s="128" t="s">
        <x:v>48</x:v>
      </x:c>
    </x:row>
    <x:row r="24" ht="23.25" hidden="0" customHeight="1">
      <x:c r="A24" s="131" t="n">
        <x:v>224</x:v>
      </x:c>
      <x:c r="B24" s="132" t="n">
        <x:f aca="0">IF(ISNUMBER(A24),
    IF(AND(A24=INT(A24), MOD(A24, 10) = 0), 0,
        IF(AND(A24=INT(A24), LEN(A24)=2), 1,
            IF(AND(A24=INT(A24), LEN(A24)=3), 2,
                LEN(A24) - FIND(".", A24) + 2)
        )
    ),
"")</x:f>
        <x:v>2</x:v>
      </x:c>
      <x:c r="C24" s="133" t="s">
        <x:v>642</x:v>
      </x:c>
      <x:c r="D24" s="134" t="str">
        <x:f aca="0">REPT("   ", B24*2) &amp; C24</x:f>
        <x:v>            Warehouse</x:v>
      </x:c>
      <x:c r="E24" s="134" t="s">
        <x:v>35</x:v>
      </x:c>
      <x:c r="F24" s="134"/>
      <x:c r="G24" s="136"/>
      <x:c r="H24" s="134"/>
      <x:c r="I24" s="134"/>
      <x:c r="J24" s="145"/>
      <x:c r="K24" s="137" t="n">
        <x:v>3842.71</x:v>
      </x:c>
      <x:c r="L24" s="146" t="s">
        <x:v>102</x:v>
      </x:c>
      <x:c r="M24" s="138" t="s">
        <x:v>643</x:v>
      </x:c>
      <x:c r="N24" s="125" t="n">
        <x:v>1</x:v>
      </x:c>
      <x:c r="O24" s="125" t="s">
        <x:v>104</x:v>
      </x:c>
      <x:c r="P24" s="126" t="n">
        <x:v>1</x:v>
      </x:c>
      <x:c r="Q24" s="20" t="n">
        <x:v>2025</x:v>
      </x:c>
      <x:c r="R24" s="19" t="s">
        <x:v>96</x:v>
      </x:c>
      <x:c r="S24" s="127"/>
      <x:c r="T24" s="21"/>
      <x:c r="U24" s="22"/>
      <x:c r="V24" s="23"/>
      <x:c r="W24" s="128" t="s">
        <x:v>43</x:v>
      </x:c>
      <x:c r="X24" s="129" t="n">
        <x:f aca="0">0.9*$I24</x:f>
        <x:v>0</x:v>
      </x:c>
      <x:c r="Y24" s="129" t="n">
        <x:f aca="0">1.5*J24</x:f>
        <x:v>0</x:v>
      </x:c>
      <x:c r="Z24" s="128" t="s">
        <x:v>44</x:v>
      </x:c>
      <x:c r="AA24" s="130" t="n">
        <x:f aca="0">0.9*K24</x:f>
        <x:v>3458.4390000000003</x:v>
      </x:c>
      <x:c r="AB24" s="130" t="n">
        <x:f aca="0">1.3*K24</x:f>
        <x:v>4995.523</x:v>
      </x:c>
      <x:c r="AC24" s="128" t="s">
        <x:v>44</x:v>
      </x:c>
      <x:c r="AD24" s="130" t="s">
        <x:v>45</x:v>
      </x:c>
      <x:c r="AE24" s="130" t="s">
        <x:v>46</x:v>
      </x:c>
      <x:c r="AF24" s="130" t="s">
        <x:v>47</x:v>
      </x:c>
      <x:c r="AG24" s="128" t="s">
        <x:v>48</x:v>
      </x:c>
    </x:row>
    <x:row r="25" ht="57" hidden="0" customHeight="1">
      <x:c r="A25" s="131" t="n">
        <x:v>225</x:v>
      </x:c>
      <x:c r="B25" s="132" t="n">
        <x:f aca="0">IF(ISNUMBER(A25),
    IF(AND(A25=INT(A25), MOD(A25, 10) = 0), 0,
        IF(AND(A25=INT(A25), LEN(A25)=2), 1,
            IF(AND(A25=INT(A25), LEN(A25)=3), 2,
                LEN(A25) - FIND(".", A25) + 2)
        )
    ),
"")</x:f>
        <x:v>2</x:v>
      </x:c>
      <x:c r="C25" s="133" t="s">
        <x:v>644</x:v>
      </x:c>
      <x:c r="D25" s="134" t="str">
        <x:f aca="0">REPT("   ", B25*2) &amp; C25</x:f>
        <x:v>            Administrative Building</x:v>
      </x:c>
      <x:c r="E25" s="134" t="s">
        <x:v>35</x:v>
      </x:c>
      <x:c r="F25" s="134"/>
      <x:c r="G25" s="136"/>
      <x:c r="H25" s="134"/>
      <x:c r="I25" s="134"/>
      <x:c r="J25" s="17"/>
      <x:c r="K25" s="137" t="n">
        <x:f aca="0">0.7*1968*(3.2808^2)</x:f>
        <x:v>14828.002366464001</x:v>
      </x:c>
      <x:c r="L25" s="125" t="s">
        <x:v>102</x:v>
      </x:c>
      <x:c r="M25" s="138" t="s">
        <x:v>645</x:v>
      </x:c>
      <x:c r="N25" s="125" t="n">
        <x:v>1</x:v>
      </x:c>
      <x:c r="O25" s="125" t="s">
        <x:v>104</x:v>
      </x:c>
      <x:c r="P25" s="126" t="n">
        <x:v>1</x:v>
      </x:c>
      <x:c r="Q25" s="20" t="n">
        <x:v>2025</x:v>
      </x:c>
      <x:c r="R25" s="19" t="s">
        <x:v>96</x:v>
      </x:c>
      <x:c r="S25" s="127" t="s">
        <x:v>635</x:v>
      </x:c>
      <x:c r="T25" s="21"/>
      <x:c r="U25" s="22"/>
      <x:c r="V25" s="23"/>
      <x:c r="W25" s="128" t="s">
        <x:v>43</x:v>
      </x:c>
      <x:c r="X25" s="129" t="n">
        <x:f aca="0">0.9*$I25</x:f>
        <x:v>0</x:v>
      </x:c>
      <x:c r="Y25" s="129" t="n">
        <x:f aca="0">1.5*J25</x:f>
        <x:v>0</x:v>
      </x:c>
      <x:c r="Z25" s="128" t="s">
        <x:v>44</x:v>
      </x:c>
      <x:c r="AA25" s="130" t="n">
        <x:f aca="0">0.9*K25</x:f>
        <x:v>13345.2021298176</x:v>
      </x:c>
      <x:c r="AB25" s="130" t="n">
        <x:f aca="0">1.3*K25</x:f>
        <x:v>19276.403076403203</x:v>
      </x:c>
      <x:c r="AC25" s="128" t="s">
        <x:v>44</x:v>
      </x:c>
      <x:c r="AD25" s="130" t="s">
        <x:v>45</x:v>
      </x:c>
      <x:c r="AE25" s="130" t="s">
        <x:v>46</x:v>
      </x:c>
      <x:c r="AF25" s="130" t="s">
        <x:v>47</x:v>
      </x:c>
      <x:c r="AG25" s="128" t="s">
        <x:v>48</x:v>
      </x:c>
    </x:row>
    <x:row r="26" ht="13.5" hidden="0" customHeight="1">
      <x:c r="A26" s="131" t="n">
        <x:v>23</x:v>
      </x:c>
      <x:c r="B26" s="132" t="n">
        <x:f aca="0">IF(ISNUMBER(A26),
    IF(AND(A26=INT(A26), MOD(A26, 10) = 0), 0,
        IF(AND(A26=INT(A26), LEN(A26)=2), 1,
            IF(AND(A26=INT(A26), LEN(A26)=3), 2,
                LEN(A26) - FIND(".", A26) + 2)
        )
    ),
"")</x:f>
        <x:v>1</x:v>
      </x:c>
      <x:c r="C26" s="147" t="s">
        <x:v>163</x:v>
      </x:c>
      <x:c r="D26" s="134" t="str">
        <x:f aca="0">REPT("   ", B26*2) &amp; C26</x:f>
        <x:v>      Equipment</x:v>
      </x:c>
      <x:c r="E26" s="134"/>
      <x:c r="F26" s="134"/>
      <x:c r="G26" s="136"/>
      <x:c r="H26" s="134"/>
      <x:c r="I26" s="146"/>
      <x:c r="J26" s="137"/>
      <x:c r="K26" s="137"/>
      <x:c r="L26" s="128"/>
      <x:c r="M26" s="148"/>
      <x:c r="N26" s="128"/>
      <x:c r="O26" s="128"/>
      <x:c r="P26" s="130"/>
      <x:c r="Q26" s="130"/>
      <x:c r="R26" s="128"/>
      <x:c r="S26" s="148"/>
      <x:c r="T26" s="128"/>
      <x:c r="U26" s="128"/>
      <x:c r="V26" s="128"/>
      <x:c r="W26" s="128"/>
      <x:c r="X26" s="129"/>
      <x:c r="Y26" s="129"/>
      <x:c r="Z26" s="128"/>
      <x:c r="AA26" s="130"/>
      <x:c r="AB26" s="130"/>
      <x:c r="AC26" s="128"/>
      <x:c r="AD26" s="130"/>
      <x:c r="AE26" s="130"/>
      <x:c r="AF26" s="130"/>
      <x:c r="AG26" s="128"/>
    </x:row>
    <x:row r="27" ht="34.5" hidden="0" customHeight="1">
      <x:c r="A27" s="30" t="n">
        <x:v>23.5</x:v>
      </x:c>
      <x:c r="B27" s="9" t="n">
        <x:v>2</x:v>
      </x:c>
      <x:c r="C27" s="15" t="s">
        <x:v>646</x:v>
      </x:c>
      <x:c r="D27" s="10" t="str">
        <x:f aca="0">REPT("   ", B27*2) &amp; C27</x:f>
        <x:v>            Local Integrated Control Rooms</x:v>
      </x:c>
      <x:c r="E27" s="10" t="s">
        <x:v>35</x:v>
      </x:c>
      <x:c r="F27" s="10" t="s">
        <x:v>647</x:v>
      </x:c>
      <x:c r="G27" s="109" t="n">
        <x:v>1</x:v>
      </x:c>
      <x:c r="H27" s="10"/>
      <x:c r="I27" s="10"/>
      <x:c r="J27" s="17" t="n">
        <x:v>8500000</x:v>
      </x:c>
      <x:c r="K27" s="17"/>
      <x:c r="L27" s="23"/>
      <x:c r="M27" s="26"/>
      <x:c r="N27" s="23"/>
      <x:c r="O27" s="23"/>
      <x:c r="P27" s="23"/>
      <x:c r="Q27" s="20" t="n">
        <x:v>2023</x:v>
      </x:c>
      <x:c r="R27" s="23" t="s">
        <x:v>73</x:v>
      </x:c>
      <x:c r="S27" s="26" t="s">
        <x:v>350</x:v>
      </x:c>
      <x:c r="T27" s="26" t="s">
        <x:v>351</x:v>
      </x:c>
      <x:c r="U27" s="57" t="s">
        <x:v>352</x:v>
      </x:c>
      <x:c r="V27" s="23" t="s">
        <x:v>353</x:v>
      </x:c>
      <x:c r="W27" s="12" t="s">
        <x:v>167</x:v>
      </x:c>
      <x:c r="X27" s="24" t="n">
        <x:f aca="0">0.9*$H27</x:f>
        <x:v>0</x:v>
      </x:c>
      <x:c r="Y27" s="24" t="n">
        <x:f aca="0">1.5*J27</x:f>
        <x:v>12750000</x:v>
      </x:c>
      <x:c r="Z27" s="12" t="s">
        <x:v>44</x:v>
      </x:c>
      <x:c r="AA27" s="13" t="n">
        <x:f aca="0">0.9*K27</x:f>
        <x:v>0</x:v>
      </x:c>
      <x:c r="AB27" s="13" t="n">
        <x:f aca="0">1.3*K27</x:f>
        <x:v>0</x:v>
      </x:c>
      <x:c r="AC27" s="12" t="s">
        <x:v>44</x:v>
      </x:c>
      <x:c r="AD27" s="13" t="s">
        <x:v>45</x:v>
      </x:c>
      <x:c r="AE27" s="13" t="s">
        <x:v>46</x:v>
      </x:c>
      <x:c r="AF27" s="13" t="s">
        <x:v>47</x:v>
      </x:c>
      <x:c r="AG27" s="12" t="s">
        <x:v>48</x:v>
      </x:c>
    </x:row>
    <x:row r="28" ht="13.5" hidden="0" customHeight="1">
      <x:c r="A28" s="6" t="n">
        <x:v>28</x:v>
      </x:c>
      <x:c r="B28" s="9" t="n">
        <x:f aca="0">IF(ISNUMBER(A28),
    IF(AND(A28=INT(A28), MOD(A28, 10) = 0), 0,
        IF(AND(A28=INT(A28), LEN(A28)=2), 1,
            IF(AND(A28=INT(A28), LEN(A28)=3), 2,
                LEN(A28) - FIND(".", A28) + 2)
        )
    ),
"")</x:f>
        <x:v>1</x:v>
      </x:c>
      <x:c r="C28" s="26" t="s">
        <x:v>648</x:v>
      </x:c>
      <x:c r="D28" s="10" t="str">
        <x:f aca="0">REPT("   ", B28*2) &amp; C28</x:f>
        <x:v>      Auxiliary Infrastructure Equipment</x:v>
      </x:c>
      <x:c r="E28" s="10"/>
      <x:c r="F28" s="10"/>
      <x:c r="G28" s="109"/>
      <x:c r="H28" s="10"/>
      <x:c r="I28" s="10"/>
      <x:c r="J28" s="27"/>
      <x:c r="K28" s="17"/>
      <x:c r="L28" s="23"/>
      <x:c r="M28" s="18"/>
      <x:c r="N28" s="23"/>
      <x:c r="O28" s="23"/>
      <x:c r="P28" s="20"/>
      <x:c r="Q28" s="20"/>
      <x:c r="R28" s="23"/>
      <x:c r="S28" s="26"/>
      <x:c r="T28" s="26"/>
      <x:c r="U28" s="23"/>
      <x:c r="V28" s="23"/>
      <x:c r="W28" s="12"/>
      <x:c r="X28" s="24"/>
      <x:c r="Y28" s="24"/>
      <x:c r="Z28" s="12"/>
      <x:c r="AA28" s="13"/>
      <x:c r="AB28" s="13"/>
      <x:c r="AC28" s="12"/>
      <x:c r="AD28" s="13"/>
      <x:c r="AE28" s="13"/>
      <x:c r="AF28" s="13"/>
      <x:c r="AG28" s="12"/>
    </x:row>
    <x:row r="29" ht="57" hidden="0" customHeight="1">
      <x:c r="A29" s="131" t="n">
        <x:v>281</x:v>
      </x:c>
      <x:c r="B29" s="132" t="n">
        <x:f aca="0">IF(ISNUMBER(A29),
    IF(AND(A29=INT(A29), MOD(A29, 10) = 0), 0,
        IF(AND(A29=INT(A29), LEN(A29)=2), 1,
            IF(AND(A29=INT(A29), LEN(A29)=3), 2,
                LEN(A29) - FIND(".", A29) + 2)
        )
    ),
"")</x:f>
        <x:v>2</x:v>
      </x:c>
      <x:c r="C29" s="133" t="s">
        <x:v>649</x:v>
      </x:c>
      <x:c r="D29" s="134" t="str">
        <x:f aca="0">REPT("   ", B29*2) &amp; C29</x:f>
        <x:v>            Emergency Power</x:v>
      </x:c>
      <x:c r="E29" s="134" t="s">
        <x:v>35</x:v>
      </x:c>
      <x:c r="F29" s="134"/>
      <x:c r="G29" s="136"/>
      <x:c r="H29" s="134"/>
      <x:c r="I29" s="134"/>
      <x:c r="J29" s="17"/>
      <x:c r="K29" s="137" t="n">
        <x:f aca="0">(1450000*5+1500000)/2.5</x:f>
        <x:v>3500000</x:v>
      </x:c>
      <x:c r="L29" s="125" t="s">
        <x:v>50</x:v>
      </x:c>
      <x:c r="M29" s="138" t="s">
        <x:v>650</x:v>
      </x:c>
      <x:c r="N29" s="125" t="n">
        <x:v>1</x:v>
      </x:c>
      <x:c r="O29" s="125" t="s">
        <x:v>52</x:v>
      </x:c>
      <x:c r="P29" s="126" t="n">
        <x:v>1</x:v>
      </x:c>
      <x:c r="Q29" s="20" t="n">
        <x:v>2025</x:v>
      </x:c>
      <x:c r="R29" s="19" t="s">
        <x:v>163</x:v>
      </x:c>
      <x:c r="S29" s="149" t="s">
        <x:v>651</x:v>
      </x:c>
      <x:c r="T29" s="149"/>
      <x:c r="U29" s="150"/>
      <x:c r="V29" s="128"/>
      <x:c r="W29" s="12"/>
      <x:c r="X29" s="24"/>
      <x:c r="Y29" s="24"/>
      <x:c r="Z29" s="12"/>
      <x:c r="AA29" s="13"/>
      <x:c r="AB29" s="13"/>
      <x:c r="AC29" s="12"/>
      <x:c r="AD29" s="13"/>
      <x:c r="AE29" s="13"/>
      <x:c r="AF29" s="13"/>
      <x:c r="AG29" s="12"/>
    </x:row>
    <x:row r="30" ht="57" hidden="0" customHeight="1">
      <x:c r="A30" s="131" t="n">
        <x:v>283</x:v>
      </x:c>
      <x:c r="B30" s="132" t="n">
        <x:f aca="0">IF(ISNUMBER(A30),
    IF(AND(A30=INT(A30), MOD(A30, 10) = 0), 0,
        IF(AND(A30=INT(A30), LEN(A30)=2), 1,
            IF(AND(A30=INT(A30), LEN(A30)=3), 2,
                LEN(A30) - FIND(".", A30) + 2)
        )
    ),
"")</x:f>
        <x:v>2</x:v>
      </x:c>
      <x:c r="C30" s="133" t="s">
        <x:v>652</x:v>
      </x:c>
      <x:c r="D30" s="134" t="str">
        <x:f aca="0">REPT("   ", B30*2) &amp; C30</x:f>
        <x:v>            Fire Station</x:v>
      </x:c>
      <x:c r="E30" s="134" t="s">
        <x:v>35</x:v>
      </x:c>
      <x:c r="F30" s="134" t="s">
        <x:v>653</x:v>
      </x:c>
      <x:c r="G30" s="136" t="n">
        <x:v>1</x:v>
      </x:c>
      <x:c r="H30" s="134"/>
      <x:c r="I30" s="134"/>
      <x:c r="J30" s="17" t="n">
        <x:f aca="0">0.7*20776500</x:f>
        <x:v>14543550</x:v>
      </x:c>
      <x:c r="K30" s="137"/>
      <x:c r="L30" s="125"/>
      <x:c r="M30" s="138"/>
      <x:c r="N30" s="125"/>
      <x:c r="O30" s="125"/>
      <x:c r="P30" s="126"/>
      <x:c r="Q30" s="20" t="n">
        <x:v>2025</x:v>
      </x:c>
      <x:c r="R30" s="19" t="s">
        <x:v>96</x:v>
      </x:c>
      <x:c r="S30" s="127" t="s">
        <x:v>635</x:v>
      </x:c>
      <x:c r="T30" s="21"/>
      <x:c r="U30" s="22"/>
      <x:c r="V30" s="23"/>
      <x:c r="W30" s="128" t="s">
        <x:v>43</x:v>
      </x:c>
      <x:c r="X30" s="129" t="n">
        <x:f aca="0">0.9*$I30</x:f>
        <x:v>0</x:v>
      </x:c>
      <x:c r="Y30" s="129" t="n">
        <x:f aca="0">1.5*J30</x:f>
        <x:v>21815325</x:v>
      </x:c>
      <x:c r="Z30" s="128" t="s">
        <x:v>44</x:v>
      </x:c>
      <x:c r="AA30" s="130" t="n">
        <x:f aca="0">0.9*K30</x:f>
        <x:v>0</x:v>
      </x:c>
      <x:c r="AB30" s="130" t="n">
        <x:f aca="0">1.3*K30</x:f>
        <x:v>0</x:v>
      </x:c>
      <x:c r="AC30" s="128" t="s">
        <x:v>44</x:v>
      </x:c>
      <x:c r="AD30" s="130" t="s">
        <x:v>45</x:v>
      </x:c>
      <x:c r="AE30" s="130" t="s">
        <x:v>46</x:v>
      </x:c>
      <x:c r="AF30" s="130" t="s">
        <x:v>47</x:v>
      </x:c>
      <x:c r="AG30" s="128" t="s">
        <x:v>48</x:v>
      </x:c>
    </x:row>
    <x:row r="31" ht="57" hidden="0" customHeight="1">
      <x:c r="A31" s="131" t="n">
        <x:v>284</x:v>
      </x:c>
      <x:c r="B31" s="132" t="n">
        <x:f aca="0">IF(ISNUMBER(A31),
    IF(AND(A31=INT(A31), MOD(A31, 10) = 0), 0,
        IF(AND(A31=INT(A31), LEN(A31)=2), 1,
            IF(AND(A31=INT(A31), LEN(A31)=3), 2,
                LEN(A31) - FIND(".", A31) + 2)
        )
    ),
"")</x:f>
        <x:v>2</x:v>
      </x:c>
      <x:c r="C31" s="133" t="s">
        <x:v>654</x:v>
      </x:c>
      <x:c r="D31" s="134" t="str">
        <x:f aca="0">REPT("   ", B31*2) &amp; C31</x:f>
        <x:v>            Security Building</x:v>
      </x:c>
      <x:c r="E31" s="134" t="s">
        <x:v>35</x:v>
      </x:c>
      <x:c r="F31" s="134"/>
      <x:c r="G31" s="136"/>
      <x:c r="H31" s="134"/>
      <x:c r="I31" s="134"/>
      <x:c r="J31" s="17"/>
      <x:c r="K31" s="137" t="n">
        <x:f aca="0">0.7*2548*(3.2808^2)</x:f>
        <x:v>19198.043714304</x:v>
      </x:c>
      <x:c r="L31" s="125" t="s">
        <x:v>102</x:v>
      </x:c>
      <x:c r="M31" s="138" t="s">
        <x:v>655</x:v>
      </x:c>
      <x:c r="N31" s="125" t="n">
        <x:v>1</x:v>
      </x:c>
      <x:c r="O31" s="125" t="s">
        <x:v>104</x:v>
      </x:c>
      <x:c r="P31" s="126" t="n">
        <x:v>1</x:v>
      </x:c>
      <x:c r="Q31" s="20" t="n">
        <x:v>2025</x:v>
      </x:c>
      <x:c r="R31" s="19" t="s">
        <x:v>96</x:v>
      </x:c>
      <x:c r="S31" s="127" t="s">
        <x:v>635</x:v>
      </x:c>
      <x:c r="T31" s="21"/>
      <x:c r="U31" s="22"/>
      <x:c r="V31" s="23"/>
      <x:c r="W31" s="128" t="s">
        <x:v>43</x:v>
      </x:c>
      <x:c r="X31" s="129" t="n">
        <x:f aca="0">0.9*$I31</x:f>
        <x:v>0</x:v>
      </x:c>
      <x:c r="Y31" s="129" t="n">
        <x:f aca="0">1.5*J31</x:f>
        <x:v>0</x:v>
      </x:c>
      <x:c r="Z31" s="128" t="s">
        <x:v>44</x:v>
      </x:c>
      <x:c r="AA31" s="130" t="n">
        <x:f aca="0">0.9*K31</x:f>
        <x:v>17278.2393428736</x:v>
      </x:c>
      <x:c r="AB31" s="130" t="n">
        <x:f aca="0">1.3*K31</x:f>
        <x:v>24957.4568285952</x:v>
      </x:c>
      <x:c r="AC31" s="128" t="s">
        <x:v>44</x:v>
      </x:c>
      <x:c r="AD31" s="130" t="s">
        <x:v>45</x:v>
      </x:c>
      <x:c r="AE31" s="130" t="s">
        <x:v>46</x:v>
      </x:c>
      <x:c r="AF31" s="130" t="s">
        <x:v>47</x:v>
      </x:c>
      <x:c r="AG31" s="128" t="s">
        <x:v>48</x:v>
      </x:c>
    </x:row>
    <x:row r="32" ht="45.75" hidden="0" customHeight="1">
      <x:c r="A32" s="131" t="n">
        <x:v>285</x:v>
      </x:c>
      <x:c r="B32" s="132" t="n">
        <x:f aca="0">IF(ISNUMBER(A32),
    IF(AND(A32=INT(A32), MOD(A32, 10) = 0), 0,
        IF(AND(A32=INT(A32), LEN(A32)=2), 1,
            IF(AND(A32=INT(A32), LEN(A32)=3), 2,
                LEN(A32) - FIND(".", A32) + 2)
        )
    ),
"")</x:f>
        <x:v>2</x:v>
      </x:c>
      <x:c r="C32" s="133" t="s">
        <x:v>656</x:v>
      </x:c>
      <x:c r="D32" s="134" t="str">
        <x:f aca="0">REPT("   ", B32*2) &amp; C32</x:f>
        <x:v>            Switchyard</x:v>
      </x:c>
      <x:c r="E32" s="134" t="s">
        <x:v>35</x:v>
      </x:c>
      <x:c r="F32" s="134"/>
      <x:c r="G32" s="136"/>
      <x:c r="H32" s="134"/>
      <x:c r="I32" s="134"/>
      <x:c r="J32" s="17"/>
      <x:c r="K32" s="137" t="n">
        <x:f aca="0">0.7*221450153/N32</x:f>
        <x:v>516717.02366666665</x:v>
      </x:c>
      <x:c r="L32" s="125" t="s">
        <x:v>50</x:v>
      </x:c>
      <x:c r="M32" s="138" t="s">
        <x:v>657</x:v>
      </x:c>
      <x:c r="N32" s="125" t="n">
        <x:v>300</x:v>
      </x:c>
      <x:c r="O32" s="125" t="s">
        <x:v>52</x:v>
      </x:c>
      <x:c r="P32" s="139" t="n">
        <x:v>0.9968</x:v>
      </x:c>
      <x:c r="Q32" s="20" t="n">
        <x:v>2025</x:v>
      </x:c>
      <x:c r="R32" s="19" t="s">
        <x:v>96</x:v>
      </x:c>
      <x:c r="S32" s="127" t="s">
        <x:v>658</x:v>
      </x:c>
      <x:c r="T32" s="21"/>
      <x:c r="U32" s="22"/>
      <x:c r="V32" s="23"/>
      <x:c r="W32" s="128" t="s">
        <x:v>43</x:v>
      </x:c>
      <x:c r="X32" s="129" t="n">
        <x:f aca="0">0.9*$I32</x:f>
        <x:v>0</x:v>
      </x:c>
      <x:c r="Y32" s="129" t="n">
        <x:f aca="0">1.5*J32</x:f>
        <x:v>0</x:v>
      </x:c>
      <x:c r="Z32" s="128" t="s">
        <x:v>44</x:v>
      </x:c>
      <x:c r="AA32" s="130" t="n">
        <x:f aca="0">0.9*K32</x:f>
        <x:v>465045.3213</x:v>
      </x:c>
      <x:c r="AB32" s="130" t="n">
        <x:f aca="0">1.3*K32</x:f>
        <x:v>671732.1307666666</x:v>
      </x:c>
      <x:c r="AC32" s="128" t="s">
        <x:v>44</x:v>
      </x:c>
      <x:c r="AD32" s="130" t="s">
        <x:v>45</x:v>
      </x:c>
      <x:c r="AE32" s="130" t="s">
        <x:v>46</x:v>
      </x:c>
      <x:c r="AF32" s="130" t="s">
        <x:v>47</x:v>
      </x:c>
      <x:c r="AG32" s="128" t="s">
        <x:v>48</x:v>
      </x:c>
    </x:row>
    <x:row r="33" ht="13.5" hidden="0" customHeight="1">
      <x:c r="A33" s="6" t="n">
        <x:v>286</x:v>
      </x:c>
      <x:c r="B33" s="9" t="n">
        <x:f aca="0">IF(ISNUMBER(A33),
    IF(AND(A33=INT(A33), MOD(A33, 10) = 0), 0,
        IF(AND(A33=INT(A33), LEN(A33)=2), 1,
            IF(AND(A33=INT(A33), LEN(A33)=3), 2,
                LEN(A33) - FIND(".", A33) + 2)
        )
    ),
"")</x:f>
        <x:v>2</x:v>
      </x:c>
      <x:c r="C33" s="26" t="s">
        <x:v>659</x:v>
      </x:c>
      <x:c r="D33" s="10" t="str">
        <x:f aca="0">REPT("   ", B33*2) &amp; C33</x:f>
        <x:v>            Onsite Transport Equipment</x:v>
      </x:c>
      <x:c r="E33" s="10"/>
      <x:c r="F33" s="10"/>
      <x:c r="G33" s="109"/>
      <x:c r="H33" s="10"/>
      <x:c r="I33" s="10"/>
      <x:c r="J33" s="27"/>
      <x:c r="K33" s="17"/>
      <x:c r="L33" s="23"/>
      <x:c r="M33" s="18"/>
      <x:c r="N33" s="23"/>
      <x:c r="O33" s="23"/>
      <x:c r="P33" s="20"/>
      <x:c r="Q33" s="20"/>
      <x:c r="R33" s="23"/>
      <x:c r="S33" s="26"/>
      <x:c r="T33" s="26"/>
      <x:c r="U33" s="23"/>
      <x:c r="V33" s="23"/>
      <x:c r="W33" s="12"/>
      <x:c r="X33" s="24"/>
      <x:c r="Y33" s="24"/>
      <x:c r="Z33" s="12"/>
      <x:c r="AA33" s="13"/>
      <x:c r="AB33" s="13"/>
      <x:c r="AC33" s="12"/>
      <x:c r="AD33" s="13"/>
      <x:c r="AE33" s="13"/>
      <x:c r="AF33" s="13"/>
      <x:c r="AG33" s="12"/>
    </x:row>
    <x:row r="34" ht="34.5" hidden="0" customHeight="1">
      <x:c r="A34" s="6" t="n">
        <x:v>286.1</x:v>
      </x:c>
      <x:c r="B34" s="9" t="n">
        <x:f aca="0">IF(ISNUMBER(A34),
    IF(AND(A34=INT(A34), MOD(A34, 10) = 0), 0,
        IF(AND(A34=INT(A34), LEN(A34)=2), 1,
            IF(AND(A34=INT(A34), LEN(A34)=3), 2,
                LEN(A34) - FIND(".", A34) + 2)
        )
    ),
"")</x:f>
        <x:v>3</x:v>
      </x:c>
      <x:c r="C34" s="26" t="s">
        <x:v>660</x:v>
      </x:c>
      <x:c r="D34" s="10" t="str">
        <x:f aca="0">REPT("   ", B34*2) &amp; C34</x:f>
        <x:v>                  Local Reactor Transport Vehicles</x:v>
      </x:c>
      <x:c r="E34" s="10" t="s">
        <x:v>35</x:v>
      </x:c>
      <x:c r="F34" s="10" t="s">
        <x:v>661</x:v>
      </x:c>
      <x:c r="G34" s="109" t="n">
        <x:v>1</x:v>
      </x:c>
      <x:c r="H34" s="10"/>
      <x:c r="I34" s="10"/>
      <x:c r="J34" s="27" t="n">
        <x:v>938000</x:v>
      </x:c>
      <x:c r="K34" s="17"/>
      <x:c r="L34" s="23"/>
      <x:c r="M34" s="18"/>
      <x:c r="N34" s="23"/>
      <x:c r="O34" s="23"/>
      <x:c r="P34" s="20"/>
      <x:c r="Q34" s="20" t="n">
        <x:v>2023</x:v>
      </x:c>
      <x:c r="R34" s="23" t="s">
        <x:v>163</x:v>
      </x:c>
      <x:c r="S34" s="26" t="s">
        <x:v>662</x:v>
      </x:c>
      <x:c r="T34" s="26" t="s">
        <x:v>663</x:v>
      </x:c>
      <x:c r="U34" s="23"/>
      <x:c r="V34" s="23"/>
      <x:c r="W34" s="12" t="s">
        <x:v>43</x:v>
      </x:c>
      <x:c r="X34" s="24" t="n">
        <x:f aca="0">0.9*$J34</x:f>
        <x:v>844200</x:v>
      </x:c>
      <x:c r="Y34" s="24" t="n">
        <x:f aca="0">1.5*J34</x:f>
        <x:v>1407000</x:v>
      </x:c>
      <x:c r="Z34" s="12" t="s">
        <x:v>44</x:v>
      </x:c>
      <x:c r="AA34" s="13" t="n">
        <x:f aca="0">0.9*K34</x:f>
        <x:v>0</x:v>
      </x:c>
      <x:c r="AB34" s="13" t="n">
        <x:f aca="0">1.3*K34</x:f>
        <x:v>0</x:v>
      </x:c>
      <x:c r="AC34" s="12" t="s">
        <x:v>44</x:v>
      </x:c>
      <x:c r="AD34" s="13" t="s">
        <x:v>45</x:v>
      </x:c>
      <x:c r="AE34" s="13" t="s">
        <x:v>46</x:v>
      </x:c>
      <x:c r="AF34" s="13" t="s">
        <x:v>47</x:v>
      </x:c>
      <x:c r="AG34" s="12" t="s">
        <x:v>48</x:v>
      </x:c>
    </x:row>
    <x:row r="35" ht="23.25" hidden="0" customHeight="1">
      <x:c r="A35" s="6" t="n">
        <x:v>286.2</x:v>
      </x:c>
      <x:c r="B35" s="9" t="n">
        <x:f aca="0">IF(ISNUMBER(A35),
    IF(AND(A35=INT(A35), MOD(A35, 10) = 0), 0,
        IF(AND(A35=INT(A35), LEN(A35)=2), 1,
            IF(AND(A35=INT(A35), LEN(A35)=3), 2,
                LEN(A35) - FIND(".", A35) + 2)
        )
    ),
"")</x:f>
        <x:v>3</x:v>
      </x:c>
      <x:c r="C35" s="26" t="s">
        <x:v>664</x:v>
      </x:c>
      <x:c r="D35" s="10" t="str">
        <x:f aca="0">REPT("   ", B35*2) &amp; C35</x:f>
        <x:v>                  Utility Vehicles</x:v>
      </x:c>
      <x:c r="E35" s="10" t="s">
        <x:v>35</x:v>
      </x:c>
      <x:c r="F35" s="10" t="s">
        <x:v>665</x:v>
      </x:c>
      <x:c r="G35" s="109" t="n">
        <x:v>1</x:v>
      </x:c>
      <x:c r="H35" s="10"/>
      <x:c r="I35" s="10"/>
      <x:c r="J35" s="27" t="n">
        <x:v>50000</x:v>
      </x:c>
      <x:c r="K35" s="17"/>
      <x:c r="L35" s="23"/>
      <x:c r="M35" s="18"/>
      <x:c r="N35" s="23"/>
      <x:c r="O35" s="23"/>
      <x:c r="P35" s="20"/>
      <x:c r="Q35" s="20" t="n">
        <x:v>2024</x:v>
      </x:c>
      <x:c r="R35" s="23" t="s">
        <x:v>163</x:v>
      </x:c>
      <x:c r="S35" s="26" t="s">
        <x:v>666</x:v>
      </x:c>
      <x:c r="T35" s="26"/>
      <x:c r="U35" s="23"/>
      <x:c r="V35" s="23"/>
      <x:c r="W35" s="12" t="s">
        <x:v>43</x:v>
      </x:c>
      <x:c r="X35" s="24" t="n">
        <x:f aca="0">0.9*$J35</x:f>
        <x:v>45000</x:v>
      </x:c>
      <x:c r="Y35" s="24" t="n">
        <x:f aca="0">1.5*J35</x:f>
        <x:v>75000</x:v>
      </x:c>
      <x:c r="Z35" s="12" t="s">
        <x:v>44</x:v>
      </x:c>
      <x:c r="AA35" s="13" t="n">
        <x:f aca="0">0.9*K35</x:f>
        <x:v>0</x:v>
      </x:c>
      <x:c r="AB35" s="13" t="n">
        <x:f aca="0">1.3*K35</x:f>
        <x:v>0</x:v>
      </x:c>
      <x:c r="AC35" s="12" t="s">
        <x:v>44</x:v>
      </x:c>
      <x:c r="AD35" s="13" t="s">
        <x:v>45</x:v>
      </x:c>
      <x:c r="AE35" s="13" t="s">
        <x:v>46</x:v>
      </x:c>
      <x:c r="AF35" s="13" t="s">
        <x:v>47</x:v>
      </x:c>
      <x:c r="AG35" s="12" t="s">
        <x:v>48</x:v>
      </x:c>
    </x:row>
    <x:row r="36" ht="13.5" hidden="0" customHeight="1">
      <x:c r="A36" s="6" t="n">
        <x:v>288</x:v>
      </x:c>
      <x:c r="B36" s="9" t="n">
        <x:f aca="0">IF(ISNUMBER(A36),
    IF(AND(A36=INT(A36), MOD(A36, 10) = 0), 0,
        IF(AND(A36=INT(A36), LEN(A36)=2), 1,
            IF(AND(A36=INT(A36), LEN(A36)=3), 2,
                LEN(A36) - FIND(".", A36) + 2)
        )
    ),
"")</x:f>
        <x:v>2</x:v>
      </x:c>
      <x:c r="C36" s="26" t="s">
        <x:v>667</x:v>
      </x:c>
      <x:c r="D36" s="10" t="str">
        <x:f aca="0">REPT("   ", B36*2) &amp; C36</x:f>
        <x:v>            Dispered Infrastructure</x:v>
      </x:c>
      <x:c r="E36" s="10"/>
      <x:c r="F36" s="10"/>
      <x:c r="G36" s="109"/>
      <x:c r="H36" s="10"/>
      <x:c r="I36" s="10"/>
      <x:c r="J36" s="151"/>
      <x:c r="K36" s="17"/>
      <x:c r="L36" s="152"/>
      <x:c r="M36" s="18"/>
      <x:c r="N36" s="23"/>
      <x:c r="O36" s="23"/>
      <x:c r="P36" s="20"/>
      <x:c r="Q36" s="20"/>
      <x:c r="R36" s="23"/>
      <x:c r="S36" s="153" t="s">
        <x:v>668</x:v>
      </x:c>
      <x:c r="T36" s="26"/>
      <x:c r="U36" s="154"/>
      <x:c r="V36" s="155"/>
      <x:c r="W36" s="12"/>
      <x:c r="X36" s="24"/>
      <x:c r="Y36" s="24"/>
      <x:c r="Z36" s="12"/>
      <x:c r="AA36" s="13"/>
      <x:c r="AB36" s="13"/>
      <x:c r="AC36" s="12"/>
      <x:c r="AD36" s="13"/>
      <x:c r="AE36" s="13"/>
      <x:c r="AF36" s="13"/>
      <x:c r="AG36" s="12"/>
    </x:row>
    <x:row r="37" ht="45.75" hidden="0" customHeight="1">
      <x:c r="A37" s="6" t="n">
        <x:v>288.1</x:v>
      </x:c>
      <x:c r="B37" s="9" t="n">
        <x:v>3</x:v>
      </x:c>
      <x:c r="C37" s="26" t="s">
        <x:v>669</x:v>
      </x:c>
      <x:c r="D37" s="10" t="str">
        <x:f aca="0">REPT("   ", B37*2) &amp; C37</x:f>
        <x:v>                  Communication</x:v>
      </x:c>
      <x:c r="E37" s="10" t="s">
        <x:v>35</x:v>
      </x:c>
      <x:c r="F37" s="10"/>
      <x:c r="G37" s="109"/>
      <x:c r="H37" s="10"/>
      <x:c r="I37" s="10"/>
      <x:c r="J37" s="27"/>
      <x:c r="K37" s="156" t="n">
        <x:f aca="0">12575250/N37</x:f>
        <x:v>11774.578651685393</x:v>
      </x:c>
      <x:c r="L37" s="23" t="s">
        <x:v>36</x:v>
      </x:c>
      <x:c r="M37" s="157" t="s">
        <x:v>670</x:v>
      </x:c>
      <x:c r="N37" s="23" t="n">
        <x:v>1068</x:v>
      </x:c>
      <x:c r="O37" s="23" t="s">
        <x:v>38</x:v>
      </x:c>
      <x:c r="P37" s="20"/>
      <x:c r="Q37" s="20" t="n">
        <x:v>2025</x:v>
      </x:c>
      <x:c r="R37" s="23" t="s">
        <x:v>163</x:v>
      </x:c>
      <x:c r="S37" s="33" t="s">
        <x:v>671</x:v>
      </x:c>
      <x:c r="T37" s="26"/>
      <x:c r="U37" s="154"/>
      <x:c r="V37" s="155"/>
      <x:c r="W37" s="12"/>
      <x:c r="X37" s="24"/>
      <x:c r="Y37" s="24"/>
      <x:c r="Z37" s="12"/>
      <x:c r="AA37" s="13"/>
      <x:c r="AB37" s="13"/>
      <x:c r="AC37" s="12"/>
      <x:c r="AD37" s="13"/>
      <x:c r="AE37" s="13"/>
      <x:c r="AF37" s="13"/>
      <x:c r="AG37" s="12"/>
    </x:row>
    <x:row r="38" ht="34.5" hidden="0" customHeight="1">
      <x:c r="A38" s="6" t="n">
        <x:v>288.2</x:v>
      </x:c>
      <x:c r="B38" s="9" t="n">
        <x:v>3</x:v>
      </x:c>
      <x:c r="C38" s="26" t="s">
        <x:v>672</x:v>
      </x:c>
      <x:c r="D38" s="10" t="str">
        <x:f aca="0">REPT("   ", B38*2) &amp; C38</x:f>
        <x:v>                  Security Cameras</x:v>
      </x:c>
      <x:c r="E38" s="10" t="s">
        <x:v>35</x:v>
      </x:c>
      <x:c r="F38" s="10" t="s">
        <x:v>673</x:v>
      </x:c>
      <x:c r="G38" s="109" t="n">
        <x:v>1</x:v>
      </x:c>
      <x:c r="H38" s="10"/>
      <x:c r="I38" s="10"/>
      <x:c r="J38" s="158" t="n">
        <x:v>28431</x:v>
      </x:c>
      <x:c r="K38" s="17"/>
      <x:c r="L38" s="23"/>
      <x:c r="M38" s="18"/>
      <x:c r="N38" s="23"/>
      <x:c r="O38" s="23"/>
      <x:c r="P38" s="20"/>
      <x:c r="Q38" s="20" t="n">
        <x:v>2025</x:v>
      </x:c>
      <x:c r="R38" s="23" t="s">
        <x:v>163</x:v>
      </x:c>
      <x:c r="S38" s="33" t="s">
        <x:v>674</x:v>
      </x:c>
      <x:c r="T38" s="26"/>
      <x:c r="U38" s="154"/>
      <x:c r="V38" s="155"/>
      <x:c r="W38" s="12"/>
      <x:c r="X38" s="24"/>
      <x:c r="Y38" s="24"/>
      <x:c r="Z38" s="12"/>
      <x:c r="AA38" s="13"/>
      <x:c r="AB38" s="13"/>
      <x:c r="AC38" s="12"/>
      <x:c r="AD38" s="13"/>
      <x:c r="AE38" s="13"/>
      <x:c r="AF38" s="13"/>
      <x:c r="AG38" s="12"/>
    </x:row>
    <x:row r="39" ht="34.5" hidden="0" customHeight="1">
      <x:c r="A39" s="6" t="n">
        <x:v>288.3</x:v>
      </x:c>
      <x:c r="B39" s="9" t="n">
        <x:v>3</x:v>
      </x:c>
      <x:c r="C39" s="26" t="s">
        <x:v>675</x:v>
      </x:c>
      <x:c r="D39" s="10" t="str">
        <x:f aca="0">REPT("   ", B39*2) &amp; C39</x:f>
        <x:v>                  Motion Detectors</x:v>
      </x:c>
      <x:c r="E39" s="10" t="s">
        <x:v>35</x:v>
      </x:c>
      <x:c r="F39" s="10" t="s">
        <x:v>676</x:v>
      </x:c>
      <x:c r="G39" s="109" t="n">
        <x:v>1</x:v>
      </x:c>
      <x:c r="H39" s="10"/>
      <x:c r="I39" s="10"/>
      <x:c r="J39" s="158" t="n">
        <x:v>24057</x:v>
      </x:c>
      <x:c r="K39" s="17"/>
      <x:c r="L39" s="23"/>
      <x:c r="M39" s="18"/>
      <x:c r="N39" s="23"/>
      <x:c r="O39" s="23"/>
      <x:c r="P39" s="20"/>
      <x:c r="Q39" s="20" t="n">
        <x:v>2025</x:v>
      </x:c>
      <x:c r="R39" s="23" t="s">
        <x:v>163</x:v>
      </x:c>
      <x:c r="S39" s="33" t="s">
        <x:v>674</x:v>
      </x:c>
      <x:c r="T39" s="26"/>
      <x:c r="U39" s="154"/>
      <x:c r="V39" s="155"/>
      <x:c r="W39" s="12"/>
      <x:c r="X39" s="24"/>
      <x:c r="Y39" s="24"/>
      <x:c r="Z39" s="12"/>
      <x:c r="AA39" s="13"/>
      <x:c r="AB39" s="13"/>
      <x:c r="AC39" s="12"/>
      <x:c r="AD39" s="13"/>
      <x:c r="AE39" s="13"/>
      <x:c r="AF39" s="13"/>
      <x:c r="AG39" s="12"/>
    </x:row>
    <x:row r="40" ht="34.5" hidden="0" customHeight="1">
      <x:c r="A40" s="6" t="n">
        <x:v>288.4</x:v>
      </x:c>
      <x:c r="B40" s="9" t="n">
        <x:v>3</x:v>
      </x:c>
      <x:c r="C40" s="26" t="s">
        <x:v>677</x:v>
      </x:c>
      <x:c r="D40" s="10" t="str">
        <x:f aca="0">REPT("   ", B40*2) &amp; C40</x:f>
        <x:v>                  Guard Station</x:v>
      </x:c>
      <x:c r="E40" s="10" t="s">
        <x:v>35</x:v>
      </x:c>
      <x:c r="F40" s="10" t="s">
        <x:v>678</x:v>
      </x:c>
      <x:c r="G40" s="109" t="n">
        <x:v>1</x:v>
      </x:c>
      <x:c r="H40" s="10"/>
      <x:c r="I40" s="10"/>
      <x:c r="J40" s="159" t="n">
        <x:v>6774250</x:v>
      </x:c>
      <x:c r="K40" s="17"/>
      <x:c r="L40" s="23"/>
      <x:c r="M40" s="18"/>
      <x:c r="N40" s="23"/>
      <x:c r="O40" s="23"/>
      <x:c r="P40" s="20"/>
      <x:c r="Q40" s="20" t="n">
        <x:v>2025</x:v>
      </x:c>
      <x:c r="R40" s="23" t="s">
        <x:v>163</x:v>
      </x:c>
      <x:c r="S40" s="33" t="s">
        <x:v>674</x:v>
      </x:c>
      <x:c r="T40" s="26"/>
      <x:c r="U40" s="154"/>
      <x:c r="V40" s="155"/>
      <x:c r="W40" s="12"/>
      <x:c r="X40" s="24"/>
      <x:c r="Y40" s="24"/>
      <x:c r="Z40" s="12"/>
      <x:c r="AA40" s="13"/>
      <x:c r="AB40" s="13"/>
      <x:c r="AC40" s="12"/>
      <x:c r="AD40" s="13"/>
      <x:c r="AE40" s="13"/>
      <x:c r="AF40" s="13"/>
      <x:c r="AG40" s="12"/>
    </x:row>
    <x:row r="41" ht="13.5" hidden="0" customHeight="1">
      <x:c r="A41" s="4" t="n">
        <x:v>30</x:v>
      </x:c>
      <x:c r="B41" s="9" t="n">
        <x:f aca="0">IF(ISNUMBER(A41),
    IF(AND(A41=INT(A41), MOD(A41, 10) = 0), 0,
        IF(AND(A41=INT(A41), LEN(A41)=2), 1,
            IF(AND(A41=INT(A41), LEN(A41)=3), 2,
                LEN(A41) - FIND(".", A41) + 2)
        )
    ),
"")</x:f>
        <x:v>0</x:v>
      </x:c>
      <x:c r="C41" s="37" t="s">
        <x:v>388</x:v>
      </x:c>
      <x:c r="D41" s="10" t="str">
        <x:f aca="0">REPT("   ", B41*2) &amp; C41</x:f>
        <x:v>Capitalized Indirect Services Cost</x:v>
      </x:c>
      <x:c r="E41" s="10"/>
      <x:c r="F41" s="10"/>
      <x:c r="G41" s="109"/>
      <x:c r="H41" s="10"/>
      <x:c r="I41" s="10"/>
      <x:c r="J41" s="160"/>
      <x:c r="K41" s="27"/>
      <x:c r="L41" s="4"/>
      <x:c r="M41" s="4"/>
      <x:c r="N41" s="4"/>
      <x:c r="O41" s="4"/>
      <x:c r="P41" s="28"/>
      <x:c r="Q41" s="20"/>
      <x:c r="R41" s="23"/>
      <x:c r="S41" s="4"/>
      <x:c r="T41" s="4"/>
      <x:c r="U41" s="4"/>
      <x:c r="V41" s="4"/>
      <x:c r="W41" s="12"/>
      <x:c r="X41" s="24"/>
      <x:c r="Y41" s="24"/>
      <x:c r="Z41" s="12"/>
      <x:c r="AA41" s="13"/>
      <x:c r="AB41" s="13"/>
      <x:c r="AC41" s="12"/>
      <x:c r="AD41" s="13"/>
      <x:c r="AE41" s="13"/>
      <x:c r="AF41" s="13"/>
      <x:c r="AG41" s="12"/>
    </x:row>
    <x:row r="42" ht="13.5" hidden="0" customHeight="1">
      <x:c r="A42" s="6" t="n">
        <x:v>40</x:v>
      </x:c>
      <x:c r="B42" s="9" t="n">
        <x:f aca="0">IF(ISNUMBER(A42),
    IF(AND(A42=INT(A42), MOD(A42, 10) = 0), 0,
        IF(AND(A42=INT(A42), LEN(A42)=2), 1,
            IF(AND(A42=INT(A42), LEN(A42)=3), 2,
                LEN(A42) - FIND(".", A42) + 2)
        )
    ),
"")</x:f>
        <x:v>0</x:v>
      </x:c>
      <x:c r="C42" s="37" t="s">
        <x:v>395</x:v>
      </x:c>
      <x:c r="D42" s="10" t="str">
        <x:f aca="0">REPT("   ", B42*2) &amp; C42</x:f>
        <x:v>Capitalized training costs</x:v>
      </x:c>
      <x:c r="E42" s="10"/>
      <x:c r="F42" s="10"/>
      <x:c r="G42" s="109"/>
      <x:c r="H42" s="10"/>
      <x:c r="I42" s="10"/>
      <x:c r="J42" s="27"/>
      <x:c r="K42" s="27"/>
      <x:c r="L42" s="4"/>
      <x:c r="M42" s="4"/>
      <x:c r="N42" s="4"/>
      <x:c r="O42" s="4"/>
      <x:c r="P42" s="28"/>
      <x:c r="Q42" s="28"/>
      <x:c r="R42" s="4"/>
      <x:c r="S42" s="4"/>
      <x:c r="T42" s="4"/>
      <x:c r="U42" s="4"/>
      <x:c r="V42" s="4"/>
      <x:c r="W42" s="12"/>
      <x:c r="X42" s="24"/>
      <x:c r="Y42" s="24"/>
      <x:c r="Z42" s="12"/>
      <x:c r="AA42" s="13"/>
      <x:c r="AB42" s="13"/>
      <x:c r="AC42" s="12"/>
      <x:c r="AD42" s="13"/>
      <x:c r="AE42" s="13"/>
      <x:c r="AF42" s="13"/>
      <x:c r="AG42" s="12"/>
    </x:row>
    <x:row r="43" ht="13.5" hidden="0" customHeight="1">
      <x:c r="A43" s="6" t="n">
        <x:v>41</x:v>
      </x:c>
      <x:c r="B43" s="9" t="n">
        <x:f aca="0">IF(ISNUMBER(A43),
    IF(AND(A43=INT(A43), MOD(A43, 10) = 0), 0,
        IF(AND(A43=INT(A43), LEN(A43)=2), 1,
            IF(AND(A43=INT(A43), LEN(A43)=3), 2,
                LEN(A43) - FIND(".", A43) + 2)
        )
    ),
"")</x:f>
        <x:v>1</x:v>
      </x:c>
      <x:c r="C43" s="37" t="s">
        <x:v>396</x:v>
      </x:c>
      <x:c r="D43" s="10" t="str">
        <x:f aca="0">REPT("   ", B43*2) &amp; C43</x:f>
        <x:v>      staff recruitment and training</x:v>
      </x:c>
      <x:c r="E43" s="10" t="s">
        <x:v>35</x:v>
      </x:c>
      <x:c r="F43" s="10" t="s">
        <x:v>623</x:v>
      </x:c>
      <x:c r="G43" s="109" t="n">
        <x:v>1</x:v>
      </x:c>
      <x:c r="H43" s="10"/>
      <x:c r="I43" s="10"/>
      <x:c r="J43" s="17" t="n">
        <x:v>300000</x:v>
      </x:c>
      <x:c r="K43" s="17"/>
      <x:c r="L43" s="23"/>
      <x:c r="M43" s="26"/>
      <x:c r="N43" s="23"/>
      <x:c r="O43" s="23"/>
      <x:c r="P43" s="20"/>
      <x:c r="Q43" s="20" t="n">
        <x:v>2024</x:v>
      </x:c>
      <x:c r="R43" s="23" t="s">
        <x:v>53</x:v>
      </x:c>
      <x:c r="S43" s="26"/>
      <x:c r="T43" s="23"/>
      <x:c r="U43" s="23"/>
      <x:c r="V43" s="23"/>
      <x:c r="W43" s="12" t="s">
        <x:v>43</x:v>
      </x:c>
      <x:c r="X43" s="24" t="n">
        <x:f aca="0">0.9*$J43</x:f>
        <x:v>270000</x:v>
      </x:c>
      <x:c r="Y43" s="24" t="n">
        <x:f aca="0">1.5*J43</x:f>
        <x:v>450000</x:v>
      </x:c>
      <x:c r="Z43" s="12" t="s">
        <x:v>44</x:v>
      </x:c>
      <x:c r="AA43" s="13" t="n">
        <x:f aca="0">0.9*K43</x:f>
        <x:v>0</x:v>
      </x:c>
      <x:c r="AB43" s="13" t="n">
        <x:f aca="0">1.3*K43</x:f>
        <x:v>0</x:v>
      </x:c>
      <x:c r="AC43" s="12" t="s">
        <x:v>44</x:v>
      </x:c>
      <x:c r="AD43" s="13" t="s">
        <x:v>45</x:v>
      </x:c>
      <x:c r="AE43" s="13" t="s">
        <x:v>46</x:v>
      </x:c>
      <x:c r="AF43" s="13" t="s">
        <x:v>47</x:v>
      </x:c>
      <x:c r="AG43" s="12" t="s">
        <x:v>48</x:v>
      </x:c>
    </x:row>
    <x:row r="44" ht="13.5" hidden="0" customHeight="1">
      <x:c r="A44" s="4" t="n">
        <x:v>60</x:v>
      </x:c>
      <x:c r="B44" s="9" t="n">
        <x:f aca="0">IF(ISNUMBER(A44),
    IF(AND(A44=INT(A44), MOD(A44, 10) = 0), 0,
        IF(AND(A44=INT(A44), LEN(A44)=2), 1,
            IF(AND(A44=INT(A44), LEN(A44)=3), 2,
                LEN(A44) - FIND(".", A44) + 2)
        )
    ),
"")</x:f>
        <x:v>0</x:v>
      </x:c>
      <x:c r="C44" s="37" t="s">
        <x:v>399</x:v>
      </x:c>
      <x:c r="D44" s="10" t="str">
        <x:f aca="0">REPT("   ", B44*2) &amp; C44</x:f>
        <x:v>Capitalized Financial Costs </x:v>
      </x:c>
      <x:c r="E44" s="10"/>
      <x:c r="F44" s="10"/>
      <x:c r="G44" s="109"/>
      <x:c r="H44" s="10"/>
      <x:c r="I44" s="10"/>
      <x:c r="J44" s="11"/>
      <x:c r="K44" s="11"/>
      <x:c r="L44" s="9"/>
      <x:c r="M44" s="5"/>
      <x:c r="N44" s="9"/>
      <x:c r="O44" s="9"/>
      <x:c r="P44" s="11"/>
      <x:c r="Q44" s="11"/>
      <x:c r="R44" s="9"/>
      <x:c r="S44" s="5"/>
      <x:c r="T44" s="9"/>
      <x:c r="U44" s="9"/>
      <x:c r="V44" s="9"/>
      <x:c r="W44" s="12"/>
      <x:c r="X44" s="24"/>
      <x:c r="Y44" s="24"/>
      <x:c r="Z44" s="12"/>
      <x:c r="AA44" s="13"/>
      <x:c r="AB44" s="13"/>
      <x:c r="AC44" s="12"/>
      <x:c r="AD44" s="13"/>
      <x:c r="AE44" s="13"/>
      <x:c r="AF44" s="13"/>
      <x:c r="AG44" s="12"/>
    </x:row>
    <x:row r="45" ht="13.5" hidden="0" customHeight="1">
      <x:c r="A45" s="6" t="n">
        <x:v>62</x:v>
      </x:c>
      <x:c r="B45" s="9" t="n">
        <x:f aca="0">IF(ISNUMBER(A45),
    IF(AND(A45=INT(A45), MOD(A45, 10) = 0), 0,
        IF(AND(A45=INT(A45), LEN(A45)=2), 1,
            IF(AND(A45=INT(A45), LEN(A45)=3), 2,
                LEN(A45) - FIND(".", A45) + 2)
        )
    ),
"")</x:f>
        <x:v>1</x:v>
      </x:c>
      <x:c r="C45" s="37" t="s">
        <x:v>400</x:v>
      </x:c>
      <x:c r="D45" s="10" t="str">
        <x:f aca="0">REPT("   ", B45*2) &amp; C45</x:f>
        <x:v>      Interest</x:v>
      </x:c>
      <x:c r="E45" s="10"/>
      <x:c r="F45" s="10"/>
      <x:c r="G45" s="109"/>
      <x:c r="H45" s="10"/>
      <x:c r="I45" s="10"/>
      <x:c r="J45" s="17"/>
      <x:c r="K45" s="17"/>
      <x:c r="L45" s="23"/>
      <x:c r="M45" s="26"/>
      <x:c r="N45" s="23"/>
      <x:c r="O45" s="23"/>
      <x:c r="P45" s="20"/>
      <x:c r="Q45" s="20"/>
      <x:c r="R45" s="23"/>
      <x:c r="S45" s="26"/>
      <x:c r="T45" s="23"/>
      <x:c r="U45" s="23"/>
      <x:c r="V45" s="23"/>
      <x:c r="W45" s="12"/>
      <x:c r="X45" s="24"/>
      <x:c r="Y45" s="24"/>
      <x:c r="Z45" s="12"/>
      <x:c r="AA45" s="13"/>
      <x:c r="AB45" s="13"/>
      <x:c r="AC45" s="12"/>
      <x:c r="AD45" s="13"/>
      <x:c r="AE45" s="13"/>
      <x:c r="AF45" s="13"/>
      <x:c r="AG45" s="12"/>
    </x:row>
    <x:row r="46" ht="13.5" hidden="0" customHeight="1">
      <x:c r="A46" s="6" t="n">
        <x:v>70</x:v>
      </x:c>
      <x:c r="B46" s="9" t="n">
        <x:f aca="0">IF(ISNUMBER(A46),
    IF(AND(A46=INT(A46), MOD(A46, 10) = 0), 0,
        IF(AND(A46=INT(A46), LEN(A46)=2), 1,
            IF(AND(A46=INT(A46), LEN(A46)=3), 2,
                LEN(A46) - FIND(".", A46) + 2)
        )
    ),
"")</x:f>
        <x:v>0</x:v>
      </x:c>
      <x:c r="C46" s="60" t="s">
        <x:v>401</x:v>
      </x:c>
      <x:c r="D46" s="10" t="str">
        <x:f aca="0">REPT("   ", B46*2) &amp; C46</x:f>
        <x:v>Annualized O&amp;M Cost </x:v>
      </x:c>
      <x:c r="E46" s="10"/>
      <x:c r="F46" s="10"/>
      <x:c r="G46" s="109"/>
      <x:c r="H46" s="10"/>
      <x:c r="I46" s="10"/>
      <x:c r="J46" s="17"/>
      <x:c r="K46" s="17"/>
      <x:c r="L46" s="23"/>
      <x:c r="M46" s="26"/>
      <x:c r="N46" s="23"/>
      <x:c r="O46" s="23"/>
      <x:c r="P46" s="20"/>
      <x:c r="Q46" s="20"/>
      <x:c r="R46" s="23"/>
      <x:c r="S46" s="26"/>
      <x:c r="T46" s="26"/>
      <x:c r="U46" s="23"/>
      <x:c r="V46" s="23"/>
      <x:c r="W46" s="12"/>
      <x:c r="X46" s="24"/>
      <x:c r="Y46" s="24"/>
      <x:c r="Z46" s="12"/>
      <x:c r="AA46" s="13"/>
      <x:c r="AB46" s="13"/>
      <x:c r="AC46" s="12"/>
      <x:c r="AD46" s="13"/>
      <x:c r="AE46" s="13"/>
      <x:c r="AF46" s="13"/>
      <x:c r="AG46" s="12"/>
    </x:row>
    <x:row r="47" ht="13.5" hidden="0" customHeight="1">
      <x:c r="A47" s="6" t="n">
        <x:v>71</x:v>
      </x:c>
      <x:c r="B47" s="9" t="n">
        <x:f aca="0">IF(ISNUMBER(A47),
    IF(AND(A47=INT(A47), MOD(A47, 10) = 0), 0,
        IF(AND(A47=INT(A47), LEN(A47)=2), 1,
            IF(AND(A47=INT(A47), LEN(A47)=3), 2,
                LEN(A47) - FIND(".", A47) + 2)
        )
    ),
"")</x:f>
        <x:v>1</x:v>
      </x:c>
      <x:c r="C47" s="37" t="s">
        <x:v>402</x:v>
      </x:c>
      <x:c r="D47" s="10" t="str">
        <x:f aca="0">REPT("   ", B47*2) &amp; C47</x:f>
        <x:v>      O&amp;M Staff</x:v>
      </x:c>
      <x:c r="E47" s="10"/>
      <x:c r="F47" s="10"/>
      <x:c r="G47" s="109"/>
      <x:c r="H47" s="10"/>
      <x:c r="I47" s="10"/>
      <x:c r="J47" s="17"/>
      <x:c r="K47" s="17"/>
      <x:c r="L47" s="23"/>
      <x:c r="M47" s="26"/>
      <x:c r="N47" s="23"/>
      <x:c r="O47" s="23"/>
      <x:c r="P47" s="20"/>
      <x:c r="Q47" s="20"/>
      <x:c r="R47" s="23"/>
      <x:c r="S47" s="26"/>
      <x:c r="T47" s="26"/>
      <x:c r="U47" s="23"/>
      <x:c r="V47" s="23"/>
      <x:c r="W47" s="12"/>
      <x:c r="X47" s="24"/>
      <x:c r="Y47" s="24"/>
      <x:c r="Z47" s="12"/>
      <x:c r="AA47" s="13"/>
      <x:c r="AB47" s="13"/>
      <x:c r="AC47" s="12"/>
      <x:c r="AD47" s="13"/>
      <x:c r="AE47" s="13"/>
      <x:c r="AF47" s="13"/>
      <x:c r="AG47" s="12"/>
    </x:row>
    <x:row r="48" ht="68.25" hidden="0" customHeight="1">
      <x:c r="A48" s="30" t="n">
        <x:v>711</x:v>
      </x:c>
      <x:c r="B48" s="9" t="n">
        <x:f aca="0">IF(ISNUMBER(A48),
    IF(AND(A48=INT(A48), MOD(A48, 10) = 0), 0,
        IF(AND(A48=INT(A48), LEN(A48)=2), 1,
            IF(AND(A48=INT(A48), LEN(A48)=3), 2,
                LEN(A48) - FIND(".", A48) + 2)
        )
    ),
"")</x:f>
        <x:v>2</x:v>
      </x:c>
      <x:c r="C48" s="37" t="s">
        <x:v>679</x:v>
      </x:c>
      <x:c r="D48" s="10" t="str">
        <x:f aca="0">REPT("   ", B48*2) &amp; C48</x:f>
        <x:v>            Operators (Testing Only)</x:v>
      </x:c>
      <x:c r="E48" s="10" t="s">
        <x:v>290</x:v>
      </x:c>
      <x:c r="F48" s="10"/>
      <x:c r="G48" s="109"/>
      <x:c r="H48" s="10"/>
      <x:c r="I48" s="10"/>
      <x:c r="J48" s="17"/>
      <x:c r="K48" s="17" t="n">
        <x:v>178500</x:v>
      </x:c>
      <x:c r="L48" s="23" t="s">
        <x:v>404</x:v>
      </x:c>
      <x:c r="M48" s="26" t="s">
        <x:v>680</x:v>
      </x:c>
      <x:c r="N48" s="23"/>
      <x:c r="O48" s="23"/>
      <x:c r="P48" s="20" t="n">
        <x:v>1</x:v>
      </x:c>
      <x:c r="Q48" s="20" t="n">
        <x:v>2024</x:v>
      </x:c>
      <x:c r="R48" s="23" t="s">
        <x:v>53</x:v>
      </x:c>
      <x:c r="S48" s="26"/>
      <x:c r="T48" s="26" t="s">
        <x:v>406</x:v>
      </x:c>
      <x:c r="U48" s="23"/>
      <x:c r="V48" s="23"/>
      <x:c r="W48" s="12" t="s">
        <x:v>43</x:v>
      </x:c>
      <x:c r="X48" s="24" t="n">
        <x:f aca="0">0.9*$J48</x:f>
        <x:v>0</x:v>
      </x:c>
      <x:c r="Y48" s="24" t="n">
        <x:f aca="0">1.5*J48</x:f>
        <x:v>0</x:v>
      </x:c>
      <x:c r="Z48" s="12" t="s">
        <x:v>44</x:v>
      </x:c>
      <x:c r="AA48" s="13" t="n">
        <x:f aca="0">0.9*K48</x:f>
        <x:v>160650</x:v>
      </x:c>
      <x:c r="AB48" s="13" t="n">
        <x:f aca="0">1.3*K48</x:f>
        <x:v>232050</x:v>
      </x:c>
      <x:c r="AC48" s="12" t="s">
        <x:v>44</x:v>
      </x:c>
      <x:c r="AD48" s="13" t="s">
        <x:v>45</x:v>
      </x:c>
      <x:c r="AE48" s="13" t="s">
        <x:v>46</x:v>
      </x:c>
      <x:c r="AF48" s="13" t="s">
        <x:v>47</x:v>
      </x:c>
      <x:c r="AG48" s="12" t="s">
        <x:v>48</x:v>
      </x:c>
    </x:row>
    <x:row r="49" ht="57" hidden="0" customHeight="1">
      <x:c r="A49" s="30" t="n">
        <x:v>712</x:v>
      </x:c>
      <x:c r="B49" s="9" t="n">
        <x:f aca="0">IF(ISNUMBER(A49),
    IF(AND(A49=INT(A49), MOD(A49, 10) = 0), 0,
        IF(AND(A49=INT(A49), LEN(A49)=2), 1,
            IF(AND(A49=INT(A49), LEN(A49)=3), 2,
                LEN(A49) - FIND(".", A49) + 2)
        )
    ),
"")</x:f>
        <x:v>2</x:v>
      </x:c>
      <x:c r="C49" s="37" t="s">
        <x:v>681</x:v>
      </x:c>
      <x:c r="D49" s="10" t="str">
        <x:f aca="0">REPT("   ", B49*2) &amp; C49</x:f>
        <x:v>            Warehouse Staff</x:v>
      </x:c>
      <x:c r="E49" s="10" t="s">
        <x:v>290</x:v>
      </x:c>
      <x:c r="F49" s="10"/>
      <x:c r="G49" s="109"/>
      <x:c r="H49" s="10"/>
      <x:c r="I49" s="10"/>
      <x:c r="J49" s="17"/>
      <x:c r="K49" s="17" t="n">
        <x:v>113000</x:v>
      </x:c>
      <x:c r="L49" s="23" t="s">
        <x:v>404</x:v>
      </x:c>
      <x:c r="M49" s="26" t="s">
        <x:v>682</x:v>
      </x:c>
      <x:c r="N49" s="23"/>
      <x:c r="O49" s="23"/>
      <x:c r="P49" s="23" t="n">
        <x:v>1</x:v>
      </x:c>
      <x:c r="Q49" s="20" t="n">
        <x:v>2024</x:v>
      </x:c>
      <x:c r="R49" s="23" t="s">
        <x:v>53</x:v>
      </x:c>
      <x:c r="S49" s="26" t="s">
        <x:v>683</x:v>
      </x:c>
      <x:c r="T49" s="26" t="s">
        <x:v>684</x:v>
      </x:c>
      <x:c r="U49" s="23"/>
      <x:c r="V49" s="23"/>
      <x:c r="W49" s="12" t="s">
        <x:v>43</x:v>
      </x:c>
      <x:c r="X49" s="24" t="n">
        <x:f aca="0">0.9*$J49</x:f>
        <x:v>0</x:v>
      </x:c>
      <x:c r="Y49" s="24" t="n">
        <x:f aca="0">1.5*J49</x:f>
        <x:v>0</x:v>
      </x:c>
      <x:c r="Z49" s="12" t="s">
        <x:v>44</x:v>
      </x:c>
      <x:c r="AA49" s="13" t="n">
        <x:f aca="0">0.9*K49</x:f>
        <x:v>101700</x:v>
      </x:c>
      <x:c r="AB49" s="13" t="n">
        <x:f aca="0">1.3*K49</x:f>
        <x:v>146900</x:v>
      </x:c>
      <x:c r="AC49" s="12" t="s">
        <x:v>44</x:v>
      </x:c>
      <x:c r="AD49" s="13" t="s">
        <x:v>45</x:v>
      </x:c>
      <x:c r="AE49" s="13" t="s">
        <x:v>46</x:v>
      </x:c>
      <x:c r="AF49" s="13" t="s">
        <x:v>47</x:v>
      </x:c>
      <x:c r="AG49" s="12" t="s">
        <x:v>48</x:v>
      </x:c>
    </x:row>
    <x:row r="50" ht="68.25" hidden="0" customHeight="1">
      <x:c r="A50" s="30" t="n">
        <x:v>713</x:v>
      </x:c>
      <x:c r="B50" s="9" t="n">
        <x:f aca="0">IF(ISNUMBER(A50),
    IF(AND(A50=INT(A50), MOD(A50, 10) = 0), 0,
        IF(AND(A50=INT(A50), LEN(A50)=2), 1,
            IF(AND(A50=INT(A50), LEN(A50)=3), 2,
                LEN(A50) - FIND(".", A50) + 2)
        )
    ),
"")</x:f>
        <x:v>2</x:v>
      </x:c>
      <x:c r="C50" s="37" t="s">
        <x:v>411</x:v>
      </x:c>
      <x:c r="D50" s="10" t="str">
        <x:f aca="0">REPT("   ", B50*2) &amp; C50</x:f>
        <x:v>            Security Staff </x:v>
      </x:c>
      <x:c r="E50" s="10" t="s">
        <x:v>290</x:v>
      </x:c>
      <x:c r="F50" s="10"/>
      <x:c r="G50" s="109"/>
      <x:c r="H50" s="10"/>
      <x:c r="I50" s="10"/>
      <x:c r="J50" s="17"/>
      <x:c r="K50" s="17" t="n">
        <x:v>178500</x:v>
      </x:c>
      <x:c r="L50" s="23" t="s">
        <x:v>404</x:v>
      </x:c>
      <x:c r="M50" s="26" t="s">
        <x:v>685</x:v>
      </x:c>
      <x:c r="N50" s="23"/>
      <x:c r="O50" s="23"/>
      <x:c r="P50" s="23" t="n">
        <x:v>1</x:v>
      </x:c>
      <x:c r="Q50" s="20" t="n">
        <x:v>2024</x:v>
      </x:c>
      <x:c r="R50" s="23" t="s">
        <x:v>53</x:v>
      </x:c>
      <x:c r="S50" s="26"/>
      <x:c r="T50" s="26" t="s">
        <x:v>406</x:v>
      </x:c>
      <x:c r="U50" s="56"/>
      <x:c r="V50" s="23"/>
      <x:c r="W50" s="12" t="s">
        <x:v>43</x:v>
      </x:c>
      <x:c r="X50" s="24" t="n">
        <x:f aca="0">0.9*$J50</x:f>
        <x:v>0</x:v>
      </x:c>
      <x:c r="Y50" s="24" t="n">
        <x:f aca="0">1.5*J50</x:f>
        <x:v>0</x:v>
      </x:c>
      <x:c r="Z50" s="12" t="s">
        <x:v>44</x:v>
      </x:c>
      <x:c r="AA50" s="13" t="n">
        <x:f aca="0">0.9*K50</x:f>
        <x:v>160650</x:v>
      </x:c>
      <x:c r="AB50" s="13" t="n">
        <x:f aca="0">1.3*K50</x:f>
        <x:v>232050</x:v>
      </x:c>
      <x:c r="AC50" s="12" t="s">
        <x:v>44</x:v>
      </x:c>
      <x:c r="AD50" s="13" t="s">
        <x:v>45</x:v>
      </x:c>
      <x:c r="AE50" s="13" t="s">
        <x:v>46</x:v>
      </x:c>
      <x:c r="AF50" s="13" t="s">
        <x:v>47</x:v>
      </x:c>
      <x:c r="AG50" s="12" t="s">
        <x:v>48</x:v>
      </x:c>
    </x:row>
    <x:row r="51" ht="68.25" hidden="0" customHeight="1">
      <x:c r="A51" s="30" t="n">
        <x:v>714</x:v>
      </x:c>
      <x:c r="B51" s="9" t="n">
        <x:f aca="0">IF(ISNUMBER(A51),
    IF(AND(A51=INT(A51), MOD(A51, 10) = 0), 0,
        IF(AND(A51=INT(A51), LEN(A51)=2), 1,
            IF(AND(A51=INT(A51), LEN(A51)=3), 2,
                LEN(A51) - FIND(".", A51) + 2)
        )
    ),
"")</x:f>
        <x:v>2</x:v>
      </x:c>
      <x:c r="C51" s="37" t="s">
        <x:v>686</x:v>
      </x:c>
      <x:c r="D51" s="10" t="str">
        <x:f aca="0">REPT("   ", B51*2) &amp; C51</x:f>
        <x:v>            Maintenance Staff</x:v>
      </x:c>
      <x:c r="E51" s="10" t="s">
        <x:v>290</x:v>
      </x:c>
      <x:c r="F51" s="10"/>
      <x:c r="G51" s="109"/>
      <x:c r="H51" s="10"/>
      <x:c r="I51" s="10"/>
      <x:c r="J51" s="17"/>
      <x:c r="K51" s="17" t="n">
        <x:v>178500</x:v>
      </x:c>
      <x:c r="L51" s="23" t="s">
        <x:v>404</x:v>
      </x:c>
      <x:c r="M51" s="26" t="s">
        <x:v>687</x:v>
      </x:c>
      <x:c r="N51" s="23"/>
      <x:c r="O51" s="23"/>
      <x:c r="P51" s="23" t="n">
        <x:v>1</x:v>
      </x:c>
      <x:c r="Q51" s="20" t="n">
        <x:v>2024</x:v>
      </x:c>
      <x:c r="R51" s="23" t="s">
        <x:v>53</x:v>
      </x:c>
      <x:c r="S51" s="26"/>
      <x:c r="T51" s="26" t="s">
        <x:v>406</x:v>
      </x:c>
      <x:c r="U51" s="56"/>
      <x:c r="V51" s="23"/>
      <x:c r="W51" s="12" t="s">
        <x:v>43</x:v>
      </x:c>
      <x:c r="X51" s="24" t="n">
        <x:f aca="0">0.9*$J51</x:f>
        <x:v>0</x:v>
      </x:c>
      <x:c r="Y51" s="24" t="n">
        <x:f aca="0">1.5*J51</x:f>
        <x:v>0</x:v>
      </x:c>
      <x:c r="Z51" s="12" t="s">
        <x:v>44</x:v>
      </x:c>
      <x:c r="AA51" s="13" t="n">
        <x:f aca="0">0.9*K51</x:f>
        <x:v>160650</x:v>
      </x:c>
      <x:c r="AB51" s="13" t="n">
        <x:f aca="0">1.3*K51</x:f>
        <x:v>232050</x:v>
      </x:c>
      <x:c r="AC51" s="12" t="s">
        <x:v>44</x:v>
      </x:c>
      <x:c r="AD51" s="13" t="s">
        <x:v>45</x:v>
      </x:c>
      <x:c r="AE51" s="13" t="s">
        <x:v>46</x:v>
      </x:c>
      <x:c r="AF51" s="13" t="s">
        <x:v>47</x:v>
      </x:c>
      <x:c r="AG51" s="12" t="s">
        <x:v>48</x:v>
      </x:c>
    </x:row>
    <x:row r="52" ht="34.5" hidden="0" customHeight="1">
      <x:c r="A52" s="30" t="n">
        <x:v>715</x:v>
      </x:c>
      <x:c r="B52" s="9" t="n">
        <x:f aca="0">IF(ISNUMBER(A52),
    IF(AND(A52=INT(A52), MOD(A52, 10) = 0), 0,
        IF(AND(A52=INT(A52), LEN(A52)=2), 1,
            IF(AND(A52=INT(A52), LEN(A52)=3), 2,
                LEN(A52) - FIND(".", A52) + 2)
        )
    ),
"")</x:f>
        <x:v>2</x:v>
      </x:c>
      <x:c r="C52" s="37" t="s">
        <x:v>688</x:v>
      </x:c>
      <x:c r="D52" s="10" t="str">
        <x:f aca="0">REPT("   ", B52*2) &amp; C52</x:f>
        <x:v>            Engineering Staff (Testing Only)</x:v>
      </x:c>
      <x:c r="E52" s="10" t="s">
        <x:v>290</x:v>
      </x:c>
      <x:c r="F52" s="10"/>
      <x:c r="G52" s="109"/>
      <x:c r="H52" s="10"/>
      <x:c r="I52" s="10"/>
      <x:c r="J52" s="17"/>
      <x:c r="K52" s="17" t="n">
        <x:v>200000</x:v>
      </x:c>
      <x:c r="L52" s="23" t="s">
        <x:v>404</x:v>
      </x:c>
      <x:c r="M52" s="161" t="s">
        <x:v>689</x:v>
      </x:c>
      <x:c r="N52" s="23"/>
      <x:c r="O52" s="23"/>
      <x:c r="P52" s="23"/>
      <x:c r="Q52" s="20" t="n">
        <x:v>2024</x:v>
      </x:c>
      <x:c r="R52" s="23" t="s">
        <x:v>53</x:v>
      </x:c>
      <x:c r="S52" s="26"/>
      <x:c r="T52" s="26"/>
      <x:c r="U52" s="56"/>
      <x:c r="V52" s="23"/>
      <x:c r="W52" s="12" t="s">
        <x:v>43</x:v>
      </x:c>
      <x:c r="X52" s="24" t="n">
        <x:f aca="0">0.9*$J52</x:f>
        <x:v>0</x:v>
      </x:c>
      <x:c r="Y52" s="24" t="n">
        <x:f aca="0">1.5*J52</x:f>
        <x:v>0</x:v>
      </x:c>
      <x:c r="Z52" s="12" t="s">
        <x:v>44</x:v>
      </x:c>
      <x:c r="AA52" s="13" t="n">
        <x:f aca="0">0.9*K52</x:f>
        <x:v>180000</x:v>
      </x:c>
      <x:c r="AB52" s="13" t="n">
        <x:f aca="0">1.3*K52</x:f>
        <x:v>260000</x:v>
      </x:c>
      <x:c r="AC52" s="12" t="s">
        <x:v>44</x:v>
      </x:c>
      <x:c r="AD52" s="13" t="s">
        <x:v>45</x:v>
      </x:c>
      <x:c r="AE52" s="13" t="s">
        <x:v>46</x:v>
      </x:c>
      <x:c r="AF52" s="13" t="s">
        <x:v>47</x:v>
      </x:c>
      <x:c r="AG52" s="12" t="s">
        <x:v>48</x:v>
      </x:c>
    </x:row>
    <x:row r="53" ht="13.5" hidden="0" customHeight="1">
      <x:c r="A53" s="30" t="n">
        <x:v>716</x:v>
      </x:c>
      <x:c r="B53" s="9" t="n">
        <x:f aca="0">IF(ISNUMBER(A53),
    IF(AND(A53=INT(A53), MOD(A53, 10) = 0), 0,
        IF(AND(A53=INT(A53), LEN(A53)=2), 1,
            IF(AND(A53=INT(A53), LEN(A53)=3), 2,
                LEN(A53) - FIND(".", A53) + 2)
        )
    ),
"")</x:f>
        <x:v>2</x:v>
      </x:c>
      <x:c r="C53" s="37" t="s">
        <x:v>690</x:v>
      </x:c>
      <x:c r="D53" s="10" t="str">
        <x:f aca="0">REPT("   ", B53*2) &amp; C53</x:f>
        <x:v>            Continuing Education and Staff Retraining</x:v>
      </x:c>
      <x:c r="E53" s="10"/>
      <x:c r="F53" s="10"/>
      <x:c r="G53" s="109"/>
      <x:c r="H53" s="10"/>
      <x:c r="I53" s="10"/>
      <x:c r="J53" s="160"/>
      <x:c r="K53" s="17"/>
      <x:c r="L53" s="23"/>
      <x:c r="M53" s="26"/>
      <x:c r="N53" s="23"/>
      <x:c r="O53" s="23"/>
      <x:c r="P53" s="23"/>
      <x:c r="Q53" s="20"/>
      <x:c r="R53" s="23" t="s">
        <x:v>53</x:v>
      </x:c>
      <x:c r="S53" s="26"/>
      <x:c r="T53" s="26"/>
      <x:c r="U53" s="56"/>
      <x:c r="V53" s="23"/>
      <x:c r="W53" s="12" t="s">
        <x:v>43</x:v>
      </x:c>
      <x:c r="X53" s="24" t="n">
        <x:f aca="0">0.9*$J53</x:f>
        <x:v>0</x:v>
      </x:c>
      <x:c r="Y53" s="24" t="n">
        <x:f aca="0">1.5*J53</x:f>
        <x:v>0</x:v>
      </x:c>
      <x:c r="Z53" s="12" t="s">
        <x:v>44</x:v>
      </x:c>
      <x:c r="AA53" s="13" t="n">
        <x:f aca="0">0.9*K53</x:f>
        <x:v>0</x:v>
      </x:c>
      <x:c r="AB53" s="13" t="n">
        <x:f aca="0">1.3*K53</x:f>
        <x:v>0</x:v>
      </x:c>
      <x:c r="AC53" s="12" t="s">
        <x:v>44</x:v>
      </x:c>
      <x:c r="AD53" s="13" t="s">
        <x:v>45</x:v>
      </x:c>
      <x:c r="AE53" s="13" t="s">
        <x:v>46</x:v>
      </x:c>
      <x:c r="AF53" s="13" t="s">
        <x:v>47</x:v>
      </x:c>
      <x:c r="AG53" s="12" t="s">
        <x:v>48</x:v>
      </x:c>
    </x:row>
    <x:row r="54" ht="13.5" hidden="0" customHeight="1">
      <x:c r="A54" s="30" t="n">
        <x:v>717</x:v>
      </x:c>
      <x:c r="B54" s="9" t="n">
        <x:f aca="0">IF(ISNUMBER(A54),
    IF(AND(A54=INT(A54), MOD(A54, 10) = 0), 0,
        IF(AND(A54=INT(A54), LEN(A54)=2), 1,
            IF(AND(A54=INT(A54), LEN(A54)=3), 2,
                LEN(A54) - FIND(".", A54) + 2)
        )
    ),
"")</x:f>
        <x:v>2</x:v>
      </x:c>
      <x:c r="C54" s="37" t="s">
        <x:v>691</x:v>
      </x:c>
      <x:c r="D54" s="10" t="str">
        <x:f aca="0">REPT("   ", B54*2) &amp; C54</x:f>
        <x:v>            Management Staff</x:v>
      </x:c>
      <x:c r="E54" s="10"/>
      <x:c r="F54" s="10"/>
      <x:c r="G54" s="109"/>
      <x:c r="H54" s="10"/>
      <x:c r="I54" s="10"/>
      <x:c r="J54" s="160"/>
      <x:c r="K54" s="162"/>
      <x:c r="L54" s="62"/>
      <x:c r="M54" s="58"/>
      <x:c r="N54" s="23"/>
      <x:c r="O54" s="23"/>
      <x:c r="P54" s="62"/>
      <x:c r="Q54" s="163"/>
      <x:c r="R54" s="62" t="s">
        <x:v>53</x:v>
      </x:c>
      <x:c r="S54" s="58"/>
      <x:c r="T54" s="58"/>
      <x:c r="U54" s="56"/>
      <x:c r="V54" s="23"/>
      <x:c r="W54" s="12" t="s">
        <x:v>43</x:v>
      </x:c>
      <x:c r="X54" s="24" t="n">
        <x:f aca="0">0.9*$J54</x:f>
        <x:v>0</x:v>
      </x:c>
      <x:c r="Y54" s="24" t="n">
        <x:f aca="0">1.5*J54</x:f>
        <x:v>0</x:v>
      </x:c>
      <x:c r="Z54" s="12" t="s">
        <x:v>44</x:v>
      </x:c>
      <x:c r="AA54" s="13" t="n">
        <x:f aca="0">0.9*K54</x:f>
        <x:v>0</x:v>
      </x:c>
      <x:c r="AB54" s="13" t="n">
        <x:f aca="0">1.3*K54</x:f>
        <x:v>0</x:v>
      </x:c>
      <x:c r="AC54" s="12" t="s">
        <x:v>44</x:v>
      </x:c>
      <x:c r="AD54" s="13" t="s">
        <x:v>45</x:v>
      </x:c>
      <x:c r="AE54" s="13" t="s">
        <x:v>46</x:v>
      </x:c>
      <x:c r="AF54" s="13" t="s">
        <x:v>47</x:v>
      </x:c>
      <x:c r="AG54" s="12" t="s">
        <x:v>48</x:v>
      </x:c>
    </x:row>
    <x:row r="55" ht="13.5" hidden="0" customHeight="1">
      <x:c r="A55" s="30" t="n">
        <x:v>718</x:v>
      </x:c>
      <x:c r="B55" s="9" t="n">
        <x:f aca="0">IF(ISNUMBER(A55),
    IF(AND(A55=INT(A55), MOD(A55, 10) = 0), 0,
        IF(AND(A55=INT(A55), LEN(A55)=2), 1,
            IF(AND(A55=INT(A55), LEN(A55)=3), 2,
                LEN(A55) - FIND(".", A55) + 2)
        )
    ),
"")</x:f>
        <x:v>2</x:v>
      </x:c>
      <x:c r="C55" s="37" t="s">
        <x:v>692</x:v>
      </x:c>
      <x:c r="D55" s="10" t="str">
        <x:f aca="0">REPT("   ", B55*2) &amp; C55</x:f>
        <x:v>            Manfuacturing Building Staff</x:v>
      </x:c>
      <x:c r="E55" s="10" t="s">
        <x:v>35</x:v>
      </x:c>
      <x:c r="F55" s="10"/>
      <x:c r="G55" s="109"/>
      <x:c r="H55" s="10"/>
      <x:c r="I55" s="10"/>
      <x:c r="J55" s="160"/>
      <x:c r="K55" s="17" t="n">
        <x:v>2838754.373533</x:v>
      </x:c>
      <x:c r="L55" s="23" t="s">
        <x:v>301</x:v>
      </x:c>
      <x:c r="M55" s="26" t="s">
        <x:v>638</x:v>
      </x:c>
      <x:c r="N55" s="23" t="n">
        <x:v>1</x:v>
      </x:c>
      <x:c r="O55" s="23" t="s">
        <x:v>639</x:v>
      </x:c>
      <x:c r="P55" s="23" t="n">
        <x:v>0.147041</x:v>
      </x:c>
      <x:c r="Q55" s="20" t="n">
        <x:v>2025</x:v>
      </x:c>
      <x:c r="R55" s="23" t="s">
        <x:v>53</x:v>
      </x:c>
      <x:c r="S55" s="26"/>
      <x:c r="T55" s="26"/>
      <x:c r="U55" s="56"/>
      <x:c r="V55" s="23"/>
      <x:c r="W55" s="12" t="s">
        <x:v>43</x:v>
      </x:c>
      <x:c r="X55" s="24" t="n">
        <x:f aca="0">0.9*$J55</x:f>
        <x:v>0</x:v>
      </x:c>
      <x:c r="Y55" s="24" t="n">
        <x:f aca="0">1.5*J55</x:f>
        <x:v>0</x:v>
      </x:c>
      <x:c r="Z55" s="12" t="s">
        <x:v>44</x:v>
      </x:c>
      <x:c r="AA55" s="13" t="n">
        <x:f aca="0">0.9*K55</x:f>
        <x:v>2554878.9361797</x:v>
      </x:c>
      <x:c r="AB55" s="13" t="n">
        <x:f aca="0">1.3*K55</x:f>
        <x:v>3690380.6855929</x:v>
      </x:c>
      <x:c r="AC55" s="12" t="s">
        <x:v>44</x:v>
      </x:c>
      <x:c r="AD55" s="13" t="s">
        <x:v>45</x:v>
      </x:c>
      <x:c r="AE55" s="13" t="s">
        <x:v>46</x:v>
      </x:c>
      <x:c r="AF55" s="13" t="s">
        <x:v>47</x:v>
      </x:c>
      <x:c r="AG55" s="12" t="s">
        <x:v>48</x:v>
      </x:c>
    </x:row>
    <x:row r="56" ht="13.5" hidden="0" customHeight="1">
      <x:c r="A56" s="30" t="n">
        <x:v>719</x:v>
      </x:c>
      <x:c r="B56" s="9" t="n">
        <x:f aca="0">IF(ISNUMBER(A56),
    IF(AND(A56=INT(A56), MOD(A56, 10) = 0), 0,
        IF(AND(A56=INT(A56), LEN(A56)=2), 1,
            IF(AND(A56=INT(A56), LEN(A56)=3), 2,
                LEN(A56) - FIND(".", A56) + 2)
        )
    ),
"")</x:f>
        <x:v>2</x:v>
      </x:c>
      <x:c r="C56" s="37" t="s">
        <x:v>693</x:v>
      </x:c>
      <x:c r="D56" s="10" t="str">
        <x:f aca="0">REPT("   ", B56*2) &amp; C56</x:f>
        <x:v>            Fueling Building Staff</x:v>
      </x:c>
      <x:c r="E56" s="10" t="s">
        <x:v>35</x:v>
      </x:c>
      <x:c r="F56" s="10"/>
      <x:c r="G56" s="109"/>
      <x:c r="H56" s="10"/>
      <x:c r="I56" s="10"/>
      <x:c r="J56" s="160"/>
      <x:c r="K56" s="17" t="n">
        <x:v>699358.857477</x:v>
      </x:c>
      <x:c r="L56" s="23" t="s">
        <x:v>301</x:v>
      </x:c>
      <x:c r="M56" s="26" t="s">
        <x:v>638</x:v>
      </x:c>
      <x:c r="N56" s="23" t="n">
        <x:v>1</x:v>
      </x:c>
      <x:c r="O56" s="23" t="s">
        <x:v>639</x:v>
      </x:c>
      <x:c r="P56" s="23" t="n">
        <x:v>0.29939</x:v>
      </x:c>
      <x:c r="Q56" s="20" t="n">
        <x:v>2025</x:v>
      </x:c>
      <x:c r="R56" s="23" t="s">
        <x:v>53</x:v>
      </x:c>
      <x:c r="S56" s="26"/>
      <x:c r="T56" s="26"/>
      <x:c r="U56" s="56"/>
      <x:c r="V56" s="23"/>
      <x:c r="W56" s="12" t="s">
        <x:v>43</x:v>
      </x:c>
      <x:c r="X56" s="24" t="n">
        <x:f aca="0">0.9*$J56</x:f>
        <x:v>0</x:v>
      </x:c>
      <x:c r="Y56" s="24" t="n">
        <x:f aca="0">1.5*J56</x:f>
        <x:v>0</x:v>
      </x:c>
      <x:c r="Z56" s="12" t="s">
        <x:v>44</x:v>
      </x:c>
      <x:c r="AA56" s="13" t="n">
        <x:f aca="0">0.9*K56</x:f>
        <x:v>629422.9717293</x:v>
      </x:c>
      <x:c r="AB56" s="13" t="n">
        <x:f aca="0">1.3*K56</x:f>
        <x:v>909166.5147201</x:v>
      </x:c>
      <x:c r="AC56" s="12" t="s">
        <x:v>44</x:v>
      </x:c>
      <x:c r="AD56" s="13" t="s">
        <x:v>45</x:v>
      </x:c>
      <x:c r="AE56" s="13" t="s">
        <x:v>46</x:v>
      </x:c>
      <x:c r="AF56" s="13" t="s">
        <x:v>47</x:v>
      </x:c>
      <x:c r="AG56" s="12" t="s">
        <x:v>48</x:v>
      </x:c>
    </x:row>
    <x:row r="57" ht="13.5" hidden="0" customHeight="1">
      <x:c r="A57" s="6" t="n">
        <x:v>74</x:v>
      </x:c>
      <x:c r="B57" s="9" t="n">
        <x:f aca="0">IF(ISNUMBER(A57),
    IF(AND(A57=INT(A57), MOD(A57, 10) = 0), 0,
        IF(AND(A57=INT(A57), LEN(A57)=2), 1,
            IF(AND(A57=INT(A57), LEN(A57)=3), 2,
                LEN(A57) - FIND(".", A57) + 2)
        )
    ),
"")</x:f>
        <x:v>1</x:v>
      </x:c>
      <x:c r="C57" s="37" t="s">
        <x:v>694</x:v>
      </x:c>
      <x:c r="D57" s="10" t="str">
        <x:f aca="0">REPT("   ", B57*2) &amp; C57</x:f>
        <x:v>      Fixed O&amp;M Utilities and Materials </x:v>
      </x:c>
      <x:c r="E57" s="10"/>
      <x:c r="F57" s="10"/>
      <x:c r="G57" s="109"/>
      <x:c r="H57" s="10"/>
      <x:c r="I57" s="10"/>
      <x:c r="J57" s="17"/>
      <x:c r="K57" s="17"/>
      <x:c r="L57" s="23"/>
      <x:c r="M57" s="26"/>
      <x:c r="N57" s="23"/>
      <x:c r="O57" s="23"/>
      <x:c r="P57" s="20"/>
      <x:c r="Q57" s="20"/>
      <x:c r="R57" s="23"/>
      <x:c r="S57" s="26"/>
      <x:c r="T57" s="43"/>
      <x:c r="U57" s="56"/>
      <x:c r="V57" s="23"/>
      <x:c r="W57" s="12"/>
      <x:c r="X57" s="24"/>
      <x:c r="Y57" s="24"/>
      <x:c r="Z57" s="12"/>
      <x:c r="AA57" s="13"/>
      <x:c r="AB57" s="13"/>
      <x:c r="AC57" s="12"/>
      <x:c r="AD57" s="13"/>
      <x:c r="AE57" s="13"/>
      <x:c r="AF57" s="13"/>
      <x:c r="AG57" s="12"/>
    </x:row>
    <x:row r="58" ht="23.25" hidden="0" customHeight="1">
      <x:c r="A58" s="6" t="n">
        <x:v>741</x:v>
      </x:c>
      <x:c r="B58" s="9" t="n">
        <x:f aca="0">IF(ISNUMBER(A58),
    IF(AND(A58=INT(A58), MOD(A58, 10) = 0), 0,
        IF(AND(A58=INT(A58), LEN(A58)=2), 1,
            IF(AND(A58=INT(A58), LEN(A58)=3), 2,
                LEN(A58) - FIND(".", A58) + 2)
        )
    ),
"")</x:f>
        <x:v>2</x:v>
      </x:c>
      <x:c r="C58" s="37" t="s">
        <x:v>695</x:v>
      </x:c>
      <x:c r="D58" s="10" t="str">
        <x:f aca="0">REPT("   ", B58*2) &amp; C58</x:f>
        <x:v>            Operating Chemicals and Lubricants (Except Manufacturing and Fueling)</x:v>
      </x:c>
      <x:c r="E58" s="10"/>
      <x:c r="F58" s="10"/>
      <x:c r="G58" s="109"/>
      <x:c r="H58" s="10"/>
      <x:c r="I58" s="10"/>
      <x:c r="J58" s="160"/>
      <x:c r="K58" s="17"/>
      <x:c r="L58" s="23"/>
      <x:c r="M58" s="26"/>
      <x:c r="N58" s="23"/>
      <x:c r="O58" s="23"/>
      <x:c r="P58" s="20"/>
      <x:c r="Q58" s="20"/>
      <x:c r="R58" s="23"/>
      <x:c r="S58" s="26"/>
      <x:c r="T58" s="43"/>
      <x:c r="U58" s="56"/>
      <x:c r="V58" s="23"/>
      <x:c r="W58" s="12" t="s">
        <x:v>43</x:v>
      </x:c>
      <x:c r="X58" s="24" t="n">
        <x:f aca="0">0.9*$J58</x:f>
        <x:v>0</x:v>
      </x:c>
      <x:c r="Y58" s="24" t="n">
        <x:f aca="0">1.5*J58</x:f>
        <x:v>0</x:v>
      </x:c>
      <x:c r="Z58" s="12" t="s">
        <x:v>44</x:v>
      </x:c>
      <x:c r="AA58" s="13" t="n">
        <x:f aca="0">0.9*K58</x:f>
        <x:v>0</x:v>
      </x:c>
      <x:c r="AB58" s="13" t="n">
        <x:f aca="0">1.3*K58</x:f>
        <x:v>0</x:v>
      </x:c>
      <x:c r="AC58" s="12" t="s">
        <x:v>44</x:v>
      </x:c>
      <x:c r="AD58" s="13" t="s">
        <x:v>45</x:v>
      </x:c>
      <x:c r="AE58" s="13" t="s">
        <x:v>46</x:v>
      </x:c>
      <x:c r="AF58" s="13" t="s">
        <x:v>47</x:v>
      </x:c>
      <x:c r="AG58" s="12" t="s">
        <x:v>48</x:v>
      </x:c>
    </x:row>
    <x:row r="59" ht="23.25" hidden="0" customHeight="1">
      <x:c r="A59" s="6" t="n">
        <x:v>742</x:v>
      </x:c>
      <x:c r="B59" s="9" t="n">
        <x:f aca="0">IF(ISNUMBER(A59),
    IF(AND(A59=INT(A59), MOD(A59, 10) = 0), 0,
        IF(AND(A59=INT(A59), LEN(A59)=2), 1,
            IF(AND(A59=INT(A59), LEN(A59)=3), 2,
                LEN(A59) - FIND(".", A59) + 2)
        )
    ),
"")</x:f>
        <x:v>2</x:v>
      </x:c>
      <x:c r="C59" s="37" t="s">
        <x:v>696</x:v>
      </x:c>
      <x:c r="D59" s="10" t="str">
        <x:f aca="0">REPT("   ", B59*2) &amp; C59</x:f>
        <x:v>            Spare Parts (Except Manufacturing and Fueling)</x:v>
      </x:c>
      <x:c r="E59" s="10"/>
      <x:c r="F59" s="10"/>
      <x:c r="G59" s="109"/>
      <x:c r="H59" s="10"/>
      <x:c r="I59" s="10"/>
      <x:c r="J59" s="160"/>
      <x:c r="K59" s="17"/>
      <x:c r="L59" s="23"/>
      <x:c r="M59" s="26"/>
      <x:c r="N59" s="23"/>
      <x:c r="O59" s="23"/>
      <x:c r="P59" s="20"/>
      <x:c r="Q59" s="20"/>
      <x:c r="R59" s="23"/>
      <x:c r="S59" s="26"/>
      <x:c r="T59" s="43"/>
      <x:c r="U59" s="56"/>
      <x:c r="V59" s="23"/>
      <x:c r="W59" s="12" t="s">
        <x:v>43</x:v>
      </x:c>
      <x:c r="X59" s="24" t="n">
        <x:f aca="0">0.9*$J59</x:f>
        <x:v>0</x:v>
      </x:c>
      <x:c r="Y59" s="24" t="n">
        <x:f aca="0">1.5*J59</x:f>
        <x:v>0</x:v>
      </x:c>
      <x:c r="Z59" s="12" t="s">
        <x:v>44</x:v>
      </x:c>
      <x:c r="AA59" s="13" t="n">
        <x:f aca="0">0.9*K59</x:f>
        <x:v>0</x:v>
      </x:c>
      <x:c r="AB59" s="13" t="n">
        <x:f aca="0">1.3*K59</x:f>
        <x:v>0</x:v>
      </x:c>
      <x:c r="AC59" s="12" t="s">
        <x:v>44</x:v>
      </x:c>
      <x:c r="AD59" s="13" t="s">
        <x:v>45</x:v>
      </x:c>
      <x:c r="AE59" s="13" t="s">
        <x:v>46</x:v>
      </x:c>
      <x:c r="AF59" s="13" t="s">
        <x:v>47</x:v>
      </x:c>
      <x:c r="AG59" s="12" t="s">
        <x:v>48</x:v>
      </x:c>
    </x:row>
    <x:row r="60" ht="23.25" hidden="0" customHeight="1">
      <x:c r="A60" s="6" t="n">
        <x:v>743</x:v>
      </x:c>
      <x:c r="B60" s="9" t="n">
        <x:f aca="0">IF(ISNUMBER(A60),
    IF(AND(A60=INT(A60), MOD(A60, 10) = 0), 0,
        IF(AND(A60=INT(A60), LEN(A60)=2), 1,
            IF(AND(A60=INT(A60), LEN(A60)=3), 2,
                LEN(A60) - FIND(".", A60) + 2)
        )
    ),
"")</x:f>
        <x:v>2</x:v>
      </x:c>
      <x:c r="C60" s="37" t="s">
        <x:v>697</x:v>
      </x:c>
      <x:c r="D60" s="10" t="str">
        <x:f aca="0">REPT("   ", B60*2) &amp; C60</x:f>
        <x:v>            Utilities except electricity, Supplies, and Consumables</x:v>
      </x:c>
      <x:c r="E60" s="10"/>
      <x:c r="F60" s="10"/>
      <x:c r="G60" s="109"/>
      <x:c r="H60" s="10"/>
      <x:c r="I60" s="10"/>
      <x:c r="J60" s="160"/>
      <x:c r="K60" s="17"/>
      <x:c r="L60" s="23"/>
      <x:c r="M60" s="26"/>
      <x:c r="N60" s="23"/>
      <x:c r="O60" s="23"/>
      <x:c r="P60" s="20"/>
      <x:c r="Q60" s="20"/>
      <x:c r="R60" s="23"/>
      <x:c r="S60" s="26"/>
      <x:c r="T60" s="43"/>
      <x:c r="U60" s="56"/>
      <x:c r="V60" s="23"/>
      <x:c r="W60" s="12" t="s">
        <x:v>43</x:v>
      </x:c>
      <x:c r="X60" s="24" t="n">
        <x:f aca="0">0.9*$J60</x:f>
        <x:v>0</x:v>
      </x:c>
      <x:c r="Y60" s="24" t="n">
        <x:f aca="0">1.5*J60</x:f>
        <x:v>0</x:v>
      </x:c>
      <x:c r="Z60" s="12" t="s">
        <x:v>44</x:v>
      </x:c>
      <x:c r="AA60" s="13" t="n">
        <x:f aca="0">0.9*K60</x:f>
        <x:v>0</x:v>
      </x:c>
      <x:c r="AB60" s="13" t="n">
        <x:f aca="0">1.3*K60</x:f>
        <x:v>0</x:v>
      </x:c>
      <x:c r="AC60" s="12" t="s">
        <x:v>44</x:v>
      </x:c>
      <x:c r="AD60" s="13" t="s">
        <x:v>45</x:v>
      </x:c>
      <x:c r="AE60" s="13" t="s">
        <x:v>46</x:v>
      </x:c>
      <x:c r="AF60" s="13" t="s">
        <x:v>47</x:v>
      </x:c>
      <x:c r="AG60" s="12" t="s">
        <x:v>48</x:v>
      </x:c>
    </x:row>
    <x:row r="61" ht="13.5" hidden="0" customHeight="1">
      <x:c r="A61" s="6" t="n">
        <x:v>744</x:v>
      </x:c>
      <x:c r="B61" s="9" t="n">
        <x:f aca="0">IF(ISNUMBER(A61),
    IF(AND(A61=INT(A61), MOD(A61, 10) = 0), 0,
        IF(AND(A61=INT(A61), LEN(A61)=2), 1,
            IF(AND(A61=INT(A61), LEN(A61)=3), 2,
                LEN(A61) - FIND(".", A61) + 2)
        )
    ),
"")</x:f>
        <x:v>2</x:v>
      </x:c>
      <x:c r="C61" s="37" t="s">
        <x:v>698</x:v>
      </x:c>
      <x:c r="D61" s="10" t="str">
        <x:f aca="0">REPT("   ", B61*2) &amp; C61</x:f>
        <x:v>            Electricity</x:v>
      </x:c>
      <x:c r="E61" s="10" t="s">
        <x:v>290</x:v>
      </x:c>
      <x:c r="F61" s="10" t="s">
        <x:v>623</x:v>
      </x:c>
      <x:c r="G61" s="109" t="n">
        <x:v>1</x:v>
      </x:c>
      <x:c r="H61" s="10"/>
      <x:c r="I61" s="10"/>
      <x:c r="J61" s="17"/>
      <x:c r="K61" s="17" t="n">
        <x:v>90</x:v>
      </x:c>
      <x:c r="L61" s="23" t="s">
        <x:v>443</x:v>
      </x:c>
      <x:c r="M61" s="161" t="s">
        <x:v>625</x:v>
      </x:c>
      <x:c r="N61" s="23"/>
      <x:c r="O61" s="23"/>
      <x:c r="P61" s="20" t="n">
        <x:v>1</x:v>
      </x:c>
      <x:c r="Q61" s="20" t="n">
        <x:v>2025</x:v>
      </x:c>
      <x:c r="R61" s="23" t="s">
        <x:v>39</x:v>
      </x:c>
      <x:c r="S61" s="26"/>
      <x:c r="T61" s="43"/>
      <x:c r="U61" s="56"/>
      <x:c r="V61" s="23"/>
      <x:c r="W61" s="12" t="s">
        <x:v>43</x:v>
      </x:c>
      <x:c r="X61" s="24" t="n">
        <x:f aca="0">0.9*$J61</x:f>
        <x:v>0</x:v>
      </x:c>
      <x:c r="Y61" s="24" t="n">
        <x:f aca="0">1.5*J61</x:f>
        <x:v>0</x:v>
      </x:c>
      <x:c r="Z61" s="12" t="s">
        <x:v>44</x:v>
      </x:c>
      <x:c r="AA61" s="13" t="n">
        <x:f aca="0">0.9*K61</x:f>
        <x:v>81</x:v>
      </x:c>
      <x:c r="AB61" s="13" t="n">
        <x:f aca="0">1.3*K61</x:f>
        <x:v>117</x:v>
      </x:c>
      <x:c r="AC61" s="12" t="s">
        <x:v>44</x:v>
      </x:c>
      <x:c r="AD61" s="13" t="s">
        <x:v>45</x:v>
      </x:c>
      <x:c r="AE61" s="13" t="s">
        <x:v>46</x:v>
      </x:c>
      <x:c r="AF61" s="13" t="s">
        <x:v>47</x:v>
      </x:c>
      <x:c r="AG61" s="12" t="s">
        <x:v>48</x:v>
      </x:c>
    </x:row>
    <x:row r="62" ht="13.5" hidden="0" customHeight="1">
      <x:c r="A62" s="6" t="n">
        <x:v>745</x:v>
      </x:c>
      <x:c r="B62" s="9" t="n">
        <x:f aca="0">IF(ISNUMBER(A62),
    IF(AND(A62=INT(A62), MOD(A62, 10) = 0), 0,
        IF(AND(A62=INT(A62), LEN(A62)=2), 1,
            IF(AND(A62=INT(A62), LEN(A62)=3), 2,
                LEN(A62) - FIND(".", A62) + 2)
        )
    ),
"")</x:f>
        <x:v>2</x:v>
      </x:c>
      <x:c r="C62" s="37" t="s">
        <x:v>699</x:v>
      </x:c>
      <x:c r="D62" s="10" t="str">
        <x:f aca="0">REPT("   ", B62*2) &amp; C62</x:f>
        <x:v>            Manufacturing Building Equipment</x:v>
      </x:c>
      <x:c r="E62" s="10" t="s">
        <x:v>35</x:v>
      </x:c>
      <x:c r="F62" s="10"/>
      <x:c r="G62" s="109"/>
      <x:c r="H62" s="10"/>
      <x:c r="I62" s="10"/>
      <x:c r="J62" s="17"/>
      <x:c r="K62" s="17" t="n">
        <x:v>405910.193404</x:v>
      </x:c>
      <x:c r="L62" s="23" t="s">
        <x:v>301</x:v>
      </x:c>
      <x:c r="M62" s="161" t="s">
        <x:v>638</x:v>
      </x:c>
      <x:c r="N62" s="23" t="n">
        <x:v>1</x:v>
      </x:c>
      <x:c r="O62" s="23" t="s">
        <x:v>639</x:v>
      </x:c>
      <x:c r="P62" s="20" t="n">
        <x:v>0.126887</x:v>
      </x:c>
      <x:c r="Q62" s="20" t="n">
        <x:v>2025</x:v>
      </x:c>
      <x:c r="R62" s="23" t="s">
        <x:v>163</x:v>
      </x:c>
      <x:c r="S62" s="26"/>
      <x:c r="T62" s="43"/>
      <x:c r="U62" s="56"/>
      <x:c r="V62" s="23"/>
      <x:c r="W62" s="12" t="s">
        <x:v>43</x:v>
      </x:c>
      <x:c r="X62" s="24" t="n">
        <x:f aca="0">0.9*$J62</x:f>
        <x:v>0</x:v>
      </x:c>
      <x:c r="Y62" s="24" t="n">
        <x:f aca="0">1.5*J62</x:f>
        <x:v>0</x:v>
      </x:c>
      <x:c r="Z62" s="12" t="s">
        <x:v>44</x:v>
      </x:c>
      <x:c r="AA62" s="13" t="n">
        <x:f aca="0">0.9*K62</x:f>
        <x:v>365319.1740636</x:v>
      </x:c>
      <x:c r="AB62" s="13" t="n">
        <x:f aca="0">1.3*K62</x:f>
        <x:v>527683.2514252</x:v>
      </x:c>
      <x:c r="AC62" s="12" t="s">
        <x:v>44</x:v>
      </x:c>
      <x:c r="AD62" s="13" t="s">
        <x:v>45</x:v>
      </x:c>
      <x:c r="AE62" s="13" t="s">
        <x:v>46</x:v>
      </x:c>
      <x:c r="AF62" s="13" t="s">
        <x:v>47</x:v>
      </x:c>
      <x:c r="AG62" s="12" t="s">
        <x:v>48</x:v>
      </x:c>
    </x:row>
    <x:row r="63" ht="13.5" hidden="0" customHeight="1">
      <x:c r="A63" s="6" t="n">
        <x:v>746</x:v>
      </x:c>
      <x:c r="B63" s="9" t="n">
        <x:f aca="0">IF(ISNUMBER(A63),
    IF(AND(A63=INT(A63), MOD(A63, 10) = 0), 0,
        IF(AND(A63=INT(A63), LEN(A63)=2), 1,
            IF(AND(A63=INT(A63), LEN(A63)=3), 2,
                LEN(A63) - FIND(".", A63) + 2)
        )
    ),
"")</x:f>
        <x:v>2</x:v>
      </x:c>
      <x:c r="C63" s="37" t="s">
        <x:v>700</x:v>
      </x:c>
      <x:c r="D63" s="10" t="str">
        <x:f aca="0">REPT("   ", B63*2) &amp; C63</x:f>
        <x:v>            Fueling Building Equipment</x:v>
      </x:c>
      <x:c r="E63" s="10" t="s">
        <x:v>35</x:v>
      </x:c>
      <x:c r="F63" s="10"/>
      <x:c r="G63" s="109"/>
      <x:c r="H63" s="10"/>
      <x:c r="I63" s="10"/>
      <x:c r="J63" s="17"/>
      <x:c r="K63" s="17" t="n">
        <x:v>82100.29614</x:v>
      </x:c>
      <x:c r="L63" s="23" t="s">
        <x:v>301</x:v>
      </x:c>
      <x:c r="M63" s="161" t="s">
        <x:v>638</x:v>
      </x:c>
      <x:c r="N63" s="23" t="n">
        <x:v>1</x:v>
      </x:c>
      <x:c r="O63" s="23" t="s">
        <x:v>639</x:v>
      </x:c>
      <x:c r="P63" s="20" t="n">
        <x:v>0.159548</x:v>
      </x:c>
      <x:c r="Q63" s="20" t="n">
        <x:v>2025</x:v>
      </x:c>
      <x:c r="R63" s="23" t="s">
        <x:v>163</x:v>
      </x:c>
      <x:c r="S63" s="26"/>
      <x:c r="T63" s="43"/>
      <x:c r="U63" s="56"/>
      <x:c r="V63" s="23"/>
      <x:c r="W63" s="12" t="s">
        <x:v>43</x:v>
      </x:c>
      <x:c r="X63" s="24" t="n">
        <x:f aca="0">0.9*$J63</x:f>
        <x:v>0</x:v>
      </x:c>
      <x:c r="Y63" s="24" t="n">
        <x:f aca="0">1.5*J63</x:f>
        <x:v>0</x:v>
      </x:c>
      <x:c r="Z63" s="12" t="s">
        <x:v>44</x:v>
      </x:c>
      <x:c r="AA63" s="13" t="n">
        <x:f aca="0">0.9*K63</x:f>
        <x:v>73890.266526</x:v>
      </x:c>
      <x:c r="AB63" s="13" t="n">
        <x:f aca="0">1.3*K63</x:f>
        <x:v>106730.38498200002</x:v>
      </x:c>
      <x:c r="AC63" s="12" t="s">
        <x:v>44</x:v>
      </x:c>
      <x:c r="AD63" s="13" t="s">
        <x:v>45</x:v>
      </x:c>
      <x:c r="AE63" s="13" t="s">
        <x:v>46</x:v>
      </x:c>
      <x:c r="AF63" s="13" t="s">
        <x:v>47</x:v>
      </x:c>
      <x:c r="AG63" s="12" t="s">
        <x:v>48</x:v>
      </x:c>
    </x:row>
    <x:row r="64" ht="13.5" hidden="0" customHeight="1">
      <x:c r="A64" s="6" t="n">
        <x:v>747</x:v>
      </x:c>
      <x:c r="B64" s="9" t="n">
        <x:f aca="0">IF(ISNUMBER(A64),
    IF(AND(A64=INT(A64), MOD(A64, 10) = 0), 0,
        IF(AND(A64=INT(A64), LEN(A64)=2), 1,
            IF(AND(A64=INT(A64), LEN(A64)=3), 2,
                LEN(A64) - FIND(".", A64) + 2)
        )
    ),
"")</x:f>
        <x:v>2</x:v>
      </x:c>
      <x:c r="C64" s="37" t="s">
        <x:v>701</x:v>
      </x:c>
      <x:c r="D64" s="10" t="str">
        <x:f aca="0">REPT("   ", B64*2) &amp; C64</x:f>
        <x:v>            Other annual costs</x:v>
      </x:c>
      <x:c r="E64" s="10"/>
      <x:c r="F64" s="10"/>
      <x:c r="G64" s="109"/>
      <x:c r="H64" s="10"/>
      <x:c r="I64" s="10"/>
      <x:c r="J64" s="17"/>
      <x:c r="K64" s="17"/>
      <x:c r="L64" s="23"/>
      <x:c r="M64" s="161"/>
      <x:c r="N64" s="23"/>
      <x:c r="O64" s="23"/>
      <x:c r="P64" s="20"/>
      <x:c r="Q64" s="20"/>
      <x:c r="R64" s="23"/>
      <x:c r="S64" s="26"/>
      <x:c r="T64" s="43"/>
      <x:c r="U64" s="56"/>
      <x:c r="V64" s="23"/>
      <x:c r="W64" s="12" t="s">
        <x:v>43</x:v>
      </x:c>
      <x:c r="X64" s="24" t="n">
        <x:f aca="0">0.9*$J64</x:f>
        <x:v>0</x:v>
      </x:c>
      <x:c r="Y64" s="24" t="n">
        <x:f aca="0">1.5*J64</x:f>
        <x:v>0</x:v>
      </x:c>
      <x:c r="Z64" s="12" t="s">
        <x:v>44</x:v>
      </x:c>
      <x:c r="AA64" s="13" t="n">
        <x:f aca="0">0.9*K64</x:f>
        <x:v>0</x:v>
      </x:c>
      <x:c r="AB64" s="13" t="n">
        <x:f aca="0">1.3*K64</x:f>
        <x:v>0</x:v>
      </x:c>
      <x:c r="AC64" s="12" t="s">
        <x:v>44</x:v>
      </x:c>
      <x:c r="AD64" s="13" t="s">
        <x:v>45</x:v>
      </x:c>
      <x:c r="AE64" s="13" t="s">
        <x:v>46</x:v>
      </x:c>
      <x:c r="AF64" s="13" t="s">
        <x:v>47</x:v>
      </x:c>
      <x:c r="AG64" s="12" t="s">
        <x:v>48</x:v>
      </x:c>
    </x:row>
    <x:row r="65" ht="13.5" hidden="0" customHeight="1">
      <x:c r="A65" s="6" t="n">
        <x:v>747.1</x:v>
      </x:c>
      <x:c r="B65" s="9" t="n">
        <x:f aca="0">IF(ISNUMBER(A65),
    IF(AND(A65=INT(A65), MOD(A65, 10) = 0), 0,
        IF(AND(A65=INT(A65), LEN(A65)=2), 1,
            IF(AND(A65=INT(A65), LEN(A65)=3), 2,
                LEN(A65) - FIND(".", A65) + 2)
        )
    ),
"")</x:f>
        <x:v>3</x:v>
      </x:c>
      <x:c r="C65" s="37" t="s">
        <x:v>702</x:v>
      </x:c>
      <x:c r="D65" s="10" t="str">
        <x:f aca="0">REPT("   ", B65*2) &amp; C65</x:f>
        <x:v>                  Annualized Transportation Costs</x:v>
      </x:c>
      <x:c r="E65" s="10"/>
      <x:c r="F65" s="10"/>
      <x:c r="G65" s="109"/>
      <x:c r="H65" s="10"/>
      <x:c r="I65" s="10"/>
      <x:c r="J65" s="160"/>
      <x:c r="K65" s="17"/>
      <x:c r="L65" s="23"/>
      <x:c r="M65" s="26"/>
      <x:c r="N65" s="23"/>
      <x:c r="O65" s="23"/>
      <x:c r="P65" s="20"/>
      <x:c r="Q65" s="20"/>
      <x:c r="R65" s="23"/>
      <x:c r="S65" s="26"/>
      <x:c r="T65" s="43"/>
      <x:c r="U65" s="56"/>
      <x:c r="V65" s="23"/>
      <x:c r="W65" s="12"/>
      <x:c r="X65" s="24" t="n">
        <x:f aca="0">0.8*$I65</x:f>
        <x:v>0</x:v>
      </x:c>
      <x:c r="Y65" s="24" t="n">
        <x:f aca="0">2*J65</x:f>
        <x:v>0</x:v>
      </x:c>
      <x:c r="Z65" s="12" t="s">
        <x:v>44</x:v>
      </x:c>
      <x:c r="AA65" s="13" t="n">
        <x:f aca="0">0.8*K65</x:f>
        <x:v>0</x:v>
      </x:c>
      <x:c r="AB65" s="13" t="n">
        <x:f aca="0">2*K65</x:f>
        <x:v>0</x:v>
      </x:c>
      <x:c r="AC65" s="12" t="s">
        <x:v>44</x:v>
      </x:c>
      <x:c r="AD65" s="13" t="s">
        <x:v>45</x:v>
      </x:c>
      <x:c r="AE65" s="13" t="s">
        <x:v>46</x:v>
      </x:c>
      <x:c r="AF65" s="13" t="s">
        <x:v>47</x:v>
      </x:c>
      <x:c r="AG65" s="12" t="s">
        <x:v>48</x:v>
      </x:c>
    </x:row>
    <x:row r="66" ht="45.75" hidden="0" customHeight="1">
      <x:c r="A66" s="6" t="n">
        <x:v>747.3</x:v>
      </x:c>
      <x:c r="B66" s="9" t="n">
        <x:f aca="0">IF(ISNUMBER(A66),
    IF(AND(A66=INT(A66), MOD(A66, 10) = 0), 0,
        IF(AND(A66=INT(A66), LEN(A66)=2), 1,
            IF(AND(A66=INT(A66), LEN(A66)=3), 2,
                LEN(A66) - FIND(".", A66) + 2)
        )
    ),
"")</x:f>
        <x:v>3</x:v>
      </x:c>
      <x:c r="C66" s="37" t="s">
        <x:v>703</x:v>
      </x:c>
      <x:c r="D66" s="10" t="str">
        <x:f aca="0">REPT("   ", B66*2) &amp; C66</x:f>
        <x:v>                  Annualized Helium Replenishment</x:v>
      </x:c>
      <x:c r="E66" s="10" t="s">
        <x:v>35</x:v>
      </x:c>
      <x:c r="F66" s="161" t="s">
        <x:v>638</x:v>
      </x:c>
      <x:c r="G66" s="109" t="n">
        <x:v>1</x:v>
      </x:c>
      <x:c r="H66" s="10"/>
      <x:c r="I66" s="10"/>
      <x:c r="J66" s="17"/>
      <x:c r="K66" s="17" t="n">
        <x:v>170</x:v>
      </x:c>
      <x:c r="L66" s="23" t="s">
        <x:v>196</x:v>
      </x:c>
      <x:c r="M66" s="161" t="s">
        <x:v>704</x:v>
      </x:c>
      <x:c r="N66" s="23"/>
      <x:c r="O66" s="23" t="s">
        <x:v>198</x:v>
      </x:c>
      <x:c r="P66" s="20"/>
      <x:c r="Q66" s="20" t="n">
        <x:v>2024</x:v>
      </x:c>
      <x:c r="R66" s="23" t="s">
        <x:v>163</x:v>
      </x:c>
      <x:c r="S66" s="164" t="s">
        <x:v>327</x:v>
      </x:c>
      <x:c r="T66" s="165" t="s">
        <x:v>327</x:v>
      </x:c>
      <x:c r="U66" s="56" t="s">
        <x:v>328</x:v>
      </x:c>
      <x:c r="V66" s="23" t="s">
        <x:v>329</x:v>
      </x:c>
      <x:c r="W66" s="12" t="s">
        <x:v>43</x:v>
      </x:c>
      <x:c r="X66" s="24" t="n">
        <x:v>0</x:v>
      </x:c>
      <x:c r="Y66" s="24" t="n">
        <x:v>0</x:v>
      </x:c>
      <x:c r="Z66" s="12" t="s">
        <x:v>44</x:v>
      </x:c>
      <x:c r="AA66" s="13" t="n">
        <x:f aca="0">0.9*K66</x:f>
        <x:v>153</x:v>
      </x:c>
      <x:c r="AB66" s="13" t="n">
        <x:f aca="0">1.3*K66</x:f>
        <x:v>221</x:v>
      </x:c>
      <x:c r="AC66" s="12" t="s">
        <x:v>44</x:v>
      </x:c>
      <x:c r="AD66" s="13" t="s">
        <x:v>45</x:v>
      </x:c>
      <x:c r="AE66" s="13" t="s">
        <x:v>46</x:v>
      </x:c>
      <x:c r="AF66" s="13" t="s">
        <x:v>47</x:v>
      </x:c>
      <x:c r="AG66" s="12" t="s">
        <x:v>48</x:v>
      </x:c>
    </x:row>
    <x:row r="67" ht="13.5" hidden="0" customHeight="1">
      <x:c r="A67" s="6" t="n">
        <x:v>747.4</x:v>
      </x:c>
      <x:c r="B67" s="9" t="n">
        <x:f aca="0">IF(ISNUMBER(A67),
    IF(AND(A67=INT(A67), MOD(A67, 10) = 0), 0,
        IF(AND(A67=INT(A67), LEN(A67)=2), 1,
            IF(AND(A67=INT(A67), LEN(A67)=3), 2,
                LEN(A67) - FIND(".", A67) + 2)
        )
    ),
"")</x:f>
        <x:v>3</x:v>
      </x:c>
      <x:c r="C67" s="37" t="s">
        <x:v>705</x:v>
      </x:c>
      <x:c r="D67" s="10" t="str">
        <x:f aca="0">REPT("   ", B67*2) &amp; C67</x:f>
        <x:v>                  Annualized Other Supplies and Utilities</x:v>
      </x:c>
      <x:c r="E67" s="10"/>
      <x:c r="F67" s="10"/>
      <x:c r="G67" s="109"/>
      <x:c r="H67" s="10"/>
      <x:c r="I67" s="10"/>
      <x:c r="J67" s="160"/>
      <x:c r="K67" s="17"/>
      <x:c r="L67" s="23"/>
      <x:c r="M67" s="26"/>
      <x:c r="N67" s="23"/>
      <x:c r="O67" s="23"/>
      <x:c r="P67" s="20"/>
      <x:c r="Q67" s="20"/>
      <x:c r="R67" s="23"/>
      <x:c r="S67" s="26"/>
      <x:c r="T67" s="43"/>
      <x:c r="U67" s="56"/>
      <x:c r="V67" s="23"/>
      <x:c r="W67" s="12" t="s">
        <x:v>43</x:v>
      </x:c>
      <x:c r="X67" s="24"/>
      <x:c r="Y67" s="24"/>
      <x:c r="Z67" s="12" t="s">
        <x:v>44</x:v>
      </x:c>
      <x:c r="AA67" s="13" t="n">
        <x:f aca="0">0.9*K67</x:f>
        <x:v>0</x:v>
      </x:c>
      <x:c r="AB67" s="13" t="n">
        <x:f aca="0">1.3*K67</x:f>
        <x:v>0</x:v>
      </x:c>
      <x:c r="AC67" s="12" t="s">
        <x:v>44</x:v>
      </x:c>
      <x:c r="AD67" s="13" t="s">
        <x:v>45</x:v>
      </x:c>
      <x:c r="AE67" s="13" t="s">
        <x:v>46</x:v>
      </x:c>
      <x:c r="AF67" s="13" t="s">
        <x:v>47</x:v>
      </x:c>
      <x:c r="AG67" s="12" t="s">
        <x:v>48</x:v>
      </x:c>
    </x:row>
    <x:row r="68" ht="13.5" hidden="0" customHeight="1">
      <x:c r="A68" s="6" t="n">
        <x:v>75</x:v>
      </x:c>
      <x:c r="B68" s="9" t="n">
        <x:f aca="0">IF(ISNUMBER(A68),
    IF(AND(A68=INT(A68), MOD(A68, 10) = 0), 0,
        IF(AND(A68=INT(A68), LEN(A68)=2), 1,
            IF(AND(A68=INT(A68), LEN(A68)=3), 2,
                LEN(A68) - FIND(".", A68) + 2)
        )
    ),
"")</x:f>
        <x:v>1</x:v>
      </x:c>
      <x:c r="C68" s="37" t="s">
        <x:v>419</x:v>
      </x:c>
      <x:c r="D68" s="10" t="str">
        <x:f aca="0">REPT("   ", B68*2) &amp; C68</x:f>
        <x:v>      Capital Plant Expenditures</x:v>
      </x:c>
      <x:c r="E68" s="10"/>
      <x:c r="F68" s="10"/>
      <x:c r="G68" s="166"/>
      <x:c r="H68" s="167"/>
      <x:c r="I68" s="167"/>
      <x:c r="J68" s="168"/>
      <x:c r="K68" s="169"/>
      <x:c r="L68" s="170"/>
      <x:c r="M68" s="170"/>
      <x:c r="N68" s="170"/>
      <x:c r="O68" s="170"/>
      <x:c r="P68" s="169"/>
      <x:c r="Q68" s="170"/>
      <x:c r="R68" s="170"/>
      <x:c r="S68" s="170"/>
      <x:c r="T68" s="170"/>
      <x:c r="U68" s="170"/>
      <x:c r="V68" s="170"/>
      <x:c r="W68" s="170"/>
      <x:c r="X68" s="169"/>
      <x:c r="Y68" s="169"/>
      <x:c r="Z68" s="170"/>
      <x:c r="AA68" s="169"/>
      <x:c r="AB68" s="169"/>
      <x:c r="AC68" s="170"/>
      <x:c r="AD68" s="169"/>
      <x:c r="AE68" s="169"/>
      <x:c r="AF68" s="169"/>
      <x:c r="AG68" s="170"/>
    </x:row>
    <x:row r="69" ht="13.5" hidden="0" customHeight="1">
      <x:c r="A69" s="6" t="n">
        <x:v>78</x:v>
      </x:c>
      <x:c r="B69" s="9" t="n">
        <x:f aca="0">IF(ISNUMBER(A69),
    IF(AND(A69=INT(A69), MOD(A69, 10) = 0), 0,
        IF(AND(A69=INT(A69), LEN(A69)=2), 1,
            IF(AND(A69=INT(A69), LEN(A69)=3), 2,
                LEN(A69) - FIND(".", A69) + 2)
        )
    ),
"")</x:f>
        <x:v>1</x:v>
      </x:c>
      <x:c r="C69" s="37" t="s">
        <x:v>437</x:v>
      </x:c>
      <x:c r="D69" s="10" t="str">
        <x:f aca="0">REPT("   ", B69*2) &amp; C69</x:f>
        <x:v>      Annualized Decommissioning Cost</x:v>
      </x:c>
      <x:c r="E69" s="10"/>
      <x:c r="F69" s="10"/>
      <x:c r="G69" s="166"/>
      <x:c r="H69" s="167"/>
      <x:c r="I69" s="167"/>
      <x:c r="J69" s="168"/>
      <x:c r="K69" s="169"/>
      <x:c r="L69" s="170"/>
      <x:c r="M69" s="170"/>
      <x:c r="N69" s="170"/>
      <x:c r="O69" s="170"/>
      <x:c r="P69" s="169"/>
      <x:c r="Q69" s="170"/>
      <x:c r="R69" s="170"/>
      <x:c r="S69" s="170"/>
      <x:c r="T69" s="170"/>
      <x:c r="U69" s="170"/>
      <x:c r="V69" s="170"/>
      <x:c r="W69" s="170"/>
      <x:c r="X69" s="169"/>
      <x:c r="Y69" s="169"/>
      <x:c r="Z69" s="170"/>
      <x:c r="AA69" s="169"/>
      <x:c r="AB69" s="169"/>
      <x:c r="AC69" s="170"/>
      <x:c r="AD69" s="169"/>
      <x:c r="AE69" s="169"/>
      <x:c r="AF69" s="169"/>
      <x:c r="AG69" s="170"/>
    </x:row>
  </x:sheetData>
  <x:mergeCells>
    <x:mergeCell ref="T3:T4"/>
    <x:mergeCell ref="U3:U4"/>
    <x:mergeCell ref="T5:T6"/>
    <x:mergeCell ref="U5:U6"/>
    <x:mergeCell ref="S11:S12"/>
    <x:mergeCell ref="T11:T12"/>
    <x:mergeCell ref="U11:U12"/>
  </x:mergeCells>
  <x:conditionalFormatting sqref="W58:AG64">
    <x:cfRule type="expression" dxfId="0" priority="2" aboveAverage="0" percent="0" bottom="0" rank="0" equalAverage="0">
      <x:formula>$B58=0</x:formula>
    </x:cfRule>
  </x:conditionalFormatting>
  <x:conditionalFormatting sqref="A2:AG69">
    <x:cfRule type="expression" dxfId="0" priority="3" aboveAverage="0" percent="0" bottom="0" rank="0" equalAverage="0">
      <x:formula>$B2=0</x:formula>
    </x:cfRule>
  </x:conditionalFormatting>
  <x:conditionalFormatting sqref="A19:C19">
    <x:cfRule type="expression" dxfId="1" priority="4" aboveAverage="0" percent="0" bottom="0" rank="0" equalAverage="0">
      <x:formula>$B19&lt;2</x:formula>
    </x:cfRule>
    <x:cfRule type="expression" dxfId="2" priority="5" aboveAverage="0" percent="0" bottom="0" rank="0" equalAverage="0">
      <x:formula>$B19=2</x:formula>
    </x:cfRule>
    <x:cfRule type="expression" dxfId="3" priority="6" aboveAverage="0" percent="0" bottom="0" rank="0" equalAverage="0">
      <x:formula>$B19=3</x:formula>
    </x:cfRule>
  </x:conditionalFormatting>
  <x:conditionalFormatting sqref="S29:AG29">
    <x:cfRule type="expression" dxfId="1" priority="7" aboveAverage="0" percent="0" bottom="0" rank="0" equalAverage="0">
      <x:formula>$B29&lt;2</x:formula>
    </x:cfRule>
    <x:cfRule type="expression" dxfId="2" priority="8" aboveAverage="0" percent="0" bottom="0" rank="0" equalAverage="0">
      <x:formula>$B29=2</x:formula>
    </x:cfRule>
    <x:cfRule type="expression" dxfId="3" priority="9" aboveAverage="0" percent="0" bottom="0" rank="0" equalAverage="0">
      <x:formula>$B29=3</x:formula>
    </x:cfRule>
  </x:conditionalFormatting>
  <x:conditionalFormatting sqref="J2:K26 J28:K48">
    <x:cfRule type="expression" dxfId="4" priority="10" aboveAverage="0" percent="0" bottom="0" rank="0" equalAverage="0">
      <x:formula>AND(ISBLANK($J2),ISBLANK($K2),NOT(ISBLANK($E2)))</x:formula>
    </x:cfRule>
  </x:conditionalFormatting>
  <x:conditionalFormatting sqref="A15:V16 A20:AG26 A28:AG28 A29:R29 A30:AG48">
    <x:cfRule type="expression" dxfId="1" priority="11" aboveAverage="0" percent="0" bottom="0" rank="0" equalAverage="0">
      <x:formula>$B15&lt;2</x:formula>
    </x:cfRule>
  </x:conditionalFormatting>
  <x:conditionalFormatting sqref="A15:P16 A20:AG26 A28:AG28 A29:R29 A30:AG48">
    <x:cfRule type="expression" dxfId="2" priority="12" aboveAverage="0" percent="0" bottom="0" rank="0" equalAverage="0">
      <x:formula>$B15=2</x:formula>
    </x:cfRule>
  </x:conditionalFormatting>
  <x:conditionalFormatting sqref="A15:K16 A20:AG26 A28:AG28 A29:R29 A30:AG48">
    <x:cfRule type="expression" dxfId="3" priority="13" aboveAverage="0" percent="0" bottom="0" rank="0" equalAverage="0">
      <x:formula>$B15=3</x:formula>
    </x:cfRule>
  </x:conditionalFormatting>
  <x:conditionalFormatting sqref="J27:V27">
    <x:cfRule type="expression" dxfId="3" priority="14" aboveAverage="0" percent="0" bottom="0" rank="0" equalAverage="0">
      <x:formula>$B27=3</x:formula>
    </x:cfRule>
    <x:cfRule type="expression" dxfId="2" priority="15" aboveAverage="0" percent="0" bottom="0" rank="0" equalAverage="0">
      <x:formula>$B27=2</x:formula>
    </x:cfRule>
    <x:cfRule type="expression" dxfId="1" priority="16" aboveAverage="0" percent="0" bottom="0" rank="0" equalAverage="0">
      <x:formula>$B27&lt;2</x:formula>
    </x:cfRule>
  </x:conditionalFormatting>
  <x:conditionalFormatting sqref="J27:AG27">
    <x:cfRule type="expression" dxfId="3" priority="17" aboveAverage="0" percent="0" bottom="0" rank="0" equalAverage="0">
      <x:formula>$B27=3</x:formula>
    </x:cfRule>
    <x:cfRule type="expression" dxfId="2" priority="18" aboveAverage="0" percent="0" bottom="0" rank="0" equalAverage="0">
      <x:formula>$B27=2</x:formula>
    </x:cfRule>
  </x:conditionalFormatting>
  <x:conditionalFormatting sqref="A27:AG27">
    <x:cfRule type="expression" dxfId="1" priority="19" aboveAverage="0" percent="0" bottom="0" rank="0" equalAverage="0">
      <x:formula>$B27&lt;2</x:formula>
    </x:cfRule>
  </x:conditionalFormatting>
  <x:conditionalFormatting sqref="M66:M66">
    <x:cfRule type="expression" dxfId="5" priority="20" aboveAverage="0" percent="0" bottom="0" rank="0" equalAverage="0">
      <x:formula>_xlfn.ISFORMULA(M66)</x:formula>
    </x:cfRule>
    <x:cfRule type="expression" dxfId="3" priority="21" aboveAverage="0" percent="0" bottom="0" rank="0" equalAverage="0">
      <x:formula>$B66=3</x:formula>
    </x:cfRule>
    <x:cfRule type="expression" dxfId="2" priority="22" aboveAverage="0" percent="0" bottom="0" rank="0" equalAverage="0">
      <x:formula>$B66=2</x:formula>
    </x:cfRule>
    <x:cfRule type="expression" dxfId="1" priority="23" aboveAverage="0" percent="0" bottom="0" rank="0" equalAverage="0">
      <x:formula>$B66&lt;2</x:formula>
    </x:cfRule>
  </x:conditionalFormatting>
  <x:conditionalFormatting sqref="M61:M64">
    <x:cfRule type="expression" dxfId="5" priority="24" aboveAverage="0" percent="0" bottom="0" rank="0" equalAverage="0">
      <x:formula>_xlfn.ISFORMULA(M61)</x:formula>
    </x:cfRule>
    <x:cfRule type="expression" dxfId="3" priority="25" aboveAverage="0" percent="0" bottom="0" rank="0" equalAverage="0">
      <x:formula>$B61=3</x:formula>
    </x:cfRule>
    <x:cfRule type="expression" dxfId="2" priority="26" aboveAverage="0" percent="0" bottom="0" rank="0" equalAverage="0">
      <x:formula>$B61=2</x:formula>
    </x:cfRule>
    <x:cfRule type="expression" dxfId="1" priority="27" aboveAverage="0" percent="0" bottom="0" rank="0" equalAverage="0">
      <x:formula>$B61&lt;2</x:formula>
    </x:cfRule>
  </x:conditionalFormatting>
  <x:conditionalFormatting sqref="F66:F66 J1:Q1048576">
    <x:cfRule type="expression" dxfId="5" priority="28" aboveAverage="0" percent="0" bottom="0" rank="0" equalAverage="0">
      <x:formula>_xlfn.ISFORMULA(F1)</x:formula>
    </x:cfRule>
  </x:conditionalFormatting>
  <x:conditionalFormatting sqref="J53:J56">
    <x:cfRule type="expression" dxfId="5" priority="29" aboveAverage="0" percent="0" bottom="0" rank="0" equalAverage="0">
      <x:formula>_xlfn.ISFORMULA(J53)</x:formula>
    </x:cfRule>
    <x:cfRule type="expression" dxfId="0" priority="30" aboveAverage="0" percent="0" bottom="0" rank="0" equalAverage="0">
      <x:formula>$B53=0</x:formula>
    </x:cfRule>
  </x:conditionalFormatting>
  <x:conditionalFormatting sqref="P49:T56">
    <x:cfRule type="expression" dxfId="3" priority="31" aboveAverage="0" percent="0" bottom="0" rank="0" equalAverage="0">
      <x:formula>$B49=3</x:formula>
    </x:cfRule>
    <x:cfRule type="expression" dxfId="2" priority="32" aboveAverage="0" percent="0" bottom="0" rank="0" equalAverage="0">
      <x:formula>$B49=2</x:formula>
    </x:cfRule>
    <x:cfRule type="expression" dxfId="1" priority="33" aboveAverage="0" percent="0" bottom="0" rank="0" equalAverage="0">
      <x:formula>$B49&lt;2</x:formula>
    </x:cfRule>
  </x:conditionalFormatting>
  <x:conditionalFormatting sqref="K51:L56">
    <x:cfRule type="expression" dxfId="0" priority="34" aboveAverage="0" percent="0" bottom="0" rank="0" equalAverage="0">
      <x:formula>$B51=0</x:formula>
    </x:cfRule>
    <x:cfRule type="expression" dxfId="3" priority="35" aboveAverage="0" percent="0" bottom="0" rank="0" equalAverage="0">
      <x:formula>$B51=3</x:formula>
    </x:cfRule>
    <x:cfRule type="expression" dxfId="2" priority="36" aboveAverage="0" percent="0" bottom="0" rank="0" equalAverage="0">
      <x:formula>$B51=2</x:formula>
    </x:cfRule>
    <x:cfRule type="expression" dxfId="1" priority="37" aboveAverage="0" percent="0" bottom="0" rank="0" equalAverage="0">
      <x:formula>$B51&lt;2</x:formula>
    </x:cfRule>
  </x:conditionalFormatting>
  <x:conditionalFormatting sqref="K49:L50">
    <x:cfRule type="expression" dxfId="3" priority="38" aboveAverage="0" percent="0" bottom="0" rank="0" equalAverage="0">
      <x:formula>$B50=3</x:formula>
    </x:cfRule>
    <x:cfRule type="expression" dxfId="2" priority="39" aboveAverage="0" percent="0" bottom="0" rank="0" equalAverage="0">
      <x:formula>$B50=2</x:formula>
    </x:cfRule>
    <x:cfRule type="expression" dxfId="1" priority="40" aboveAverage="0" percent="0" bottom="0" rank="0" equalAverage="0">
      <x:formula>$B50&lt;2</x:formula>
    </x:cfRule>
    <x:cfRule type="expression" dxfId="0" priority="41" aboveAverage="0" percent="0" bottom="0" rank="0" equalAverage="0">
      <x:formula>$B50=0</x:formula>
    </x:cfRule>
  </x:conditionalFormatting>
  <x:conditionalFormatting sqref="K49:M56">
    <x:cfRule type="expression" dxfId="3" priority="42" aboveAverage="0" percent="0" bottom="0" rank="0" equalAverage="0">
      <x:formula>$B49=3</x:formula>
    </x:cfRule>
    <x:cfRule type="expression" dxfId="2" priority="43" aboveAverage="0" percent="0" bottom="0" rank="0" equalAverage="0">
      <x:formula>$B49=2</x:formula>
    </x:cfRule>
  </x:conditionalFormatting>
  <x:conditionalFormatting sqref="K49:O56">
    <x:cfRule type="expression" dxfId="1" priority="44" aboveAverage="0" percent="0" bottom="0" rank="0" equalAverage="0">
      <x:formula>$B49&lt;2</x:formula>
    </x:cfRule>
  </x:conditionalFormatting>
  <x:conditionalFormatting sqref="AD2:AG26 AD28:AG69">
    <x:cfRule type="expression" dxfId="4" priority="45" aboveAverage="0" percent="0" bottom="0" rank="0" equalAverage="0">
      <x:formula>AND(ISBLANK($AD2),ISBLANK($AE2),ISBLANK($AF2),NOT(ISBLANK($E2)))</x:formula>
    </x:cfRule>
  </x:conditionalFormatting>
  <x:conditionalFormatting sqref="AA2:AC26 AA28:AC69">
    <x:cfRule type="expression" dxfId="4" priority="46" aboveAverage="0" percent="0" bottom="0" rank="0" equalAverage="0">
      <x:formula>AND(ISBLANK($AA2),ISBLANK($AB2),ISBLANK($AC2),NOT(ISBLANK($E2)))</x:formula>
    </x:cfRule>
  </x:conditionalFormatting>
  <x:conditionalFormatting sqref="X2:Z26 X28:Z69">
    <x:cfRule type="expression" dxfId="4" priority="47" aboveAverage="0" percent="0" bottom="0" rank="0" equalAverage="0">
      <x:formula>AND(ISBLANK($X2),ISBLANK($Y2),ISBLANK($Z2),NOT(ISBLANK($E2)))</x:formula>
    </x:cfRule>
  </x:conditionalFormatting>
  <x:conditionalFormatting sqref="J49:J56 J57:K69">
    <x:cfRule type="expression" dxfId="4" priority="48" aboveAverage="0" percent="0" bottom="0" rank="0" equalAverage="0">
      <x:formula>AND(ISBLANK($J49),ISBLANK($K49),NOT(ISBLANK($E49)))</x:formula>
    </x:cfRule>
  </x:conditionalFormatting>
  <x:conditionalFormatting sqref="A2:AG14 A17:AG18 A49:J56 A57:AG69 D19:AG19 U49:AG56 W15:AG16">
    <x:cfRule type="expression" dxfId="1" priority="49" aboveAverage="0" percent="0" bottom="0" rank="0" equalAverage="0">
      <x:formula>$B2&lt;2</x:formula>
    </x:cfRule>
  </x:conditionalFormatting>
  <x:conditionalFormatting sqref="A2:AG14 A17:AG18 A27:I27 A49:J56 A57:AG69 D19:AG19 N49:O56 U49:AG56 W15:AG16">
    <x:cfRule type="expression" dxfId="2" priority="50" aboveAverage="0" percent="0" bottom="0" rank="0" equalAverage="0">
      <x:formula>$B2=2</x:formula>
    </x:cfRule>
  </x:conditionalFormatting>
  <x:conditionalFormatting sqref="A2:AG14 A17:AG18 A27:I27 A49:J56 A57:AG69 D19:AG19 L15:AG16 N49:O56 U49:AG56">
    <x:cfRule type="expression" dxfId="3" priority="51" aboveAverage="0" percent="0" bottom="0" rank="0" equalAverage="0">
      <x:formula>$B2=3</x:formula>
    </x:cfRule>
  </x:conditionalFormatting>
  <x:conditionalFormatting sqref="Q15:V16">
    <x:cfRule type="expression" dxfId="2" priority="52" aboveAverage="0" percent="0" bottom="0" rank="0" equalAverage="0">
      <x:formula>$B15=2</x:formula>
    </x:cfRule>
  </x:conditionalFormatting>
  <x:dataValidations count="12">
    <x:dataValidation type="list" errorStyle="stop" operator="between" allowBlank="1" showDropDown="0" showInputMessage="1" showErrorMessage="1" sqref="E2:E69">
      <x:formula1>"standard,nonstandard"</x:formula1>
      <x:formula2>0</x:formula2>
    </x:dataValidation>
    <x:dataValidation type="list" errorStyle="stop" operator="between" allowBlank="1" showDropDown="0" showInputMessage="1" showErrorMessage="1" sqref="R2:R67">
      <x:formula1>"NA,General,Labor,Material,Equipment,Lab and Mat and Equip,'Lab and Equip"</x:formula1>
      <x:formula2>0</x:formula2>
    </x:dataValidation>
    <x:dataValidation type="list" errorStyle="stop" operator="between" allowBlank="1" showDropDown="0" showInputMessage="1" showErrorMessage="1" sqref="O27">
      <x:formula1>"acres,MWe,m^3,MWt,Kg,Drums,kW,$,m^2,kg/s"</x:formula1>
      <x:formula2>0</x:formula2>
    </x:dataValidation>
    <x:dataValidation type="list" errorStyle="stop" operator="between" allowBlank="1" showDropDown="0" showInputMessage="1" showErrorMessage="1" sqref="O2:O26 O28:O69">
      <x:formula1>"acres,MWe,m^3,MWt,Kg,Drums,kW,$,m^2,kg/s,Rx/yr"</x:formula1>
      <x:formula2>0</x:formula2>
    </x:dataValidation>
    <x:dataValidation type="whole" errorStyle="stop" operator="between" allowBlank="1" showDropDown="0" showInputMessage="1" showErrorMessage="1" sqref="P70:P221">
      <x:formula1>0</x:formula1>
      <x:formula2>2</x:formula2>
    </x:dataValidation>
    <x:dataValidation type="list" errorStyle="stop" operator="between" allowBlank="1" showDropDown="0" showInputMessage="1" showErrorMessage="1" sqref="L1 L70:L1069">
      <x:formula1>"$/acres,$/MWe,$/m^3,$/MWt"</x:formula1>
      <x:formula2>0</x:formula2>
    </x:dataValidation>
    <x:dataValidation type="list" errorStyle="stop" operator="between" allowBlank="1" showDropDown="0" showInputMessage="1" showErrorMessage="1" sqref="M242:M252">
      <x:formula1>"Land Area,Power MWe,Excavation Volume,Reactor Building Slab Roof Volume,	Reactor Building  Basement Volume,Reactor Building  Exterior Walls Volume,		Turbine Building Slab Roof Volume,	Turbine Building  Basement Volume,	Turbine Building  Exterior Wall"</x:formula1>
      <x:formula2>0</x:formula2>
    </x:dataValidation>
    <x:dataValidation type="decimal" errorStyle="stop" operator="greaterThan" allowBlank="1" showDropDown="0" showInputMessage="1" showErrorMessage="1" sqref="N1:N68 K2:K9 K11:K19 K21:K67 N69:N1069">
      <x:formula1>0</x:formula1>
      <x:formula2>0</x:formula2>
    </x:dataValidation>
    <x:dataValidation type="whole" errorStyle="stop" operator="between" allowBlank="1" showDropDown="0" showInputMessage="1" showErrorMessage="1" sqref="Q2:Q75 R68:R75">
      <x:formula1>1950</x:formula1>
      <x:formula2>2025</x:formula2>
    </x:dataValidation>
    <x:dataValidation type="list" errorStyle="stop" operator="between" allowBlank="1" showDropDown="0" showInputMessage="1" showErrorMessage="1" sqref="L2:L26 L28:L48 L57:L69">
      <x:formula1>"$/m^2,$/MWeHour,$/FTE,$/acres,$/MWe,$/m^3,$/MWt,$/Kg,$/Drum,$/(kg.sec),$/SWU,unitless,$/kWe,$/m,$/ft,Rx/yr"</x:formula1>
      <x:formula2>0</x:formula2>
    </x:dataValidation>
    <x:dataValidation type="list" errorStyle="stop" operator="between" allowBlank="1" showDropDown="0" showInputMessage="1" showErrorMessage="1" sqref="L27 L49:L56">
      <x:formula1>"$/m^2,$/MWeHour,$/FTE,$/acres,$/MWe,$/m^3,$/MWt,$/Kg,$/Drum,$/(kg.sec),$/SWU,unitless,$/kWe"</x:formula1>
      <x:formula2>0</x:formula2>
    </x:dataValidation>
    <x:dataValidation type="decimal" errorStyle="stop" operator="between" allowBlank="1" showDropDown="0" showInputMessage="1" showErrorMessage="1" sqref="P27 P49:P56">
      <x:formula1>0</x:formula1>
      <x:formula2>2</x:formula2>
    </x:dataValidation>
  </x:dataValidations>
  <x:hyperlinks>
    <x:hyperlink xmlns:r="http://schemas.openxmlformats.org/officeDocument/2006/relationships" ref="U3" r:id="R07b2c33cf2d545d3"/>
    <x:hyperlink xmlns:r="http://schemas.openxmlformats.org/officeDocument/2006/relationships" ref="U27" r:id="R5c64fc4185584bbb"/>
    <x:hyperlink xmlns:r="http://schemas.openxmlformats.org/officeDocument/2006/relationships" ref="U66" r:id="R649e0878b73443e6"/>
  </x:hyperlinks>
  <x:pageMargins left="0.7" right="0.7" top="0.75" bottom="0.75" header="0.3" footer="0.3"/>
  <x:legacyDrawing xmlns:r="http://schemas.openxmlformats.org/officeDocument/2006/relationships" r:id="R5f06304c474d47ab"/>
</x:worksheet>
</file>

<file path=xl/worksheets/sheet7.xml><?xml version="1.0" encoding="utf-8"?>
<x:worksheet xmlns:x="http://schemas.openxmlformats.org/spreadsheetml/2006/main">
  <x:sheetViews>
    <x:sheetView showGridLines="1" workbookViewId="0"/>
  </x:sheetViews>
  <x:sheetFormatPr defaultColWidth="10.66015625" defaultRowHeight="13.5"/>
  <x:cols>
    <x:col min="1" max="1" width="8.670000076293945" style="1" hidden="0" customWidth="1"/>
    <x:col min="2" max="2" width="4.670000076293945" style="1" hidden="0" customWidth="1"/>
    <x:col min="3" max="3" width="32.66999816894531" style="1" hidden="0" customWidth="1"/>
    <x:col min="4" max="4" width="44.65999984741211" style="2" hidden="0" customWidth="1"/>
    <x:col min="5" max="5" width="13.34000015258789" style="2" hidden="0" customWidth="1"/>
    <x:col min="6" max="6" width="13.670000076293945" style="2" hidden="0" customWidth="1"/>
    <x:col min="7" max="7" width="13.670000076293945" style="106" hidden="0" customWidth="1"/>
    <x:col min="8" max="9" width="13.670000076293945" style="2" hidden="0" customWidth="1"/>
    <x:col min="10" max="11" width="13.670000076293945" style="3" hidden="0" customWidth="1"/>
    <x:col min="12" max="12" width="10" style="1" hidden="0" customWidth="1"/>
    <x:col min="13" max="13" width="16.329999923706055" style="1" hidden="0" customWidth="1"/>
    <x:col min="14" max="14" width="8.670000076293945" style="1" hidden="0" customWidth="1"/>
    <x:col min="15" max="15" width="7.329999923706055" style="1" hidden="0" customWidth="1"/>
    <x:col min="16" max="16" width="7.670000076293945" style="1" hidden="0" customWidth="1"/>
    <x:col min="17" max="17" width="8.15999984741211" style="1" hidden="0" customWidth="1"/>
    <x:col min="18" max="18" width="10.65999984741211" style="1" hidden="0" customWidth="0"/>
    <x:col min="19" max="19" width="29" style="1" hidden="0" customWidth="1"/>
    <x:col min="20" max="20" width="37.15999984741211" style="1" hidden="0" customWidth="1"/>
    <x:col min="21" max="21" width="81.16000366210938" style="1" hidden="0" customWidth="1"/>
    <x:col min="22" max="22" width="18.670000076293945" style="1" hidden="0" customWidth="1"/>
    <x:col min="23" max="23" width="21.5" style="1" hidden="0" customWidth="1"/>
    <x:col min="24" max="25" width="16.670000076293945" style="3" hidden="0" customWidth="1"/>
    <x:col min="26" max="26" width="12.5" style="1" hidden="0" customWidth="1"/>
    <x:col min="27" max="28" width="16.670000076293945" style="3" hidden="0" customWidth="1"/>
    <x:col min="29" max="29" width="12.5" style="1" hidden="0" customWidth="1"/>
    <x:col min="30" max="32" width="6.670000076293945" style="3" hidden="0" customWidth="1"/>
    <x:col min="33" max="33" width="16.15999984741211" style="1" hidden="0" customWidth="1"/>
    <x:col min="34" max="16384" width="10.65999984741211" style="1" hidden="0" customWidth="0"/>
  </x:cols>
  <x:sheetData>
    <x:row r="1" s="8" customFormat="1" ht="34.5" hidden="0" customHeight="1">
      <x:c r="A1" s="4" t="s">
        <x:v>0</x:v>
      </x:c>
      <x:c r="B1" s="5" t="s">
        <x:v>1</x:v>
      </x:c>
      <x:c r="C1" s="4" t="s">
        <x:v>2</x:v>
      </x:c>
      <x:c r="D1" s="5" t="s">
        <x:v>3</x:v>
      </x:c>
      <x:c r="E1" s="5" t="s">
        <x:v>4</x:v>
      </x:c>
      <x:c r="F1" s="5" t="s">
        <x:v>621</x:v>
      </x:c>
      <x:c r="G1" s="107" t="s">
        <x:v>622</x:v>
      </x:c>
      <x:c r="H1" s="5" t="s">
        <x:v>5</x:v>
      </x:c>
      <x:c r="I1" s="5" t="s">
        <x:v>6</x:v>
      </x:c>
      <x:c r="J1" s="4" t="s">
        <x:v>9</x:v>
      </x:c>
      <x:c r="K1" s="4" t="s">
        <x:v>10</x:v>
      </x:c>
      <x:c r="L1" s="4" t="s">
        <x:v>11</x:v>
      </x:c>
      <x:c r="M1" s="6" t="s">
        <x:v>12</x:v>
      </x:c>
      <x:c r="N1" s="4" t="s">
        <x:v>13</x:v>
      </x:c>
      <x:c r="O1" s="4" t="s">
        <x:v>14</x:v>
      </x:c>
      <x:c r="P1" s="4" t="s">
        <x:v>15</x:v>
      </x:c>
      <x:c r="Q1" s="4" t="s">
        <x:v>16</x:v>
      </x:c>
      <x:c r="R1" s="4" t="s">
        <x:v>17</x:v>
      </x:c>
      <x:c r="S1" s="4" t="s">
        <x:v>18</x:v>
      </x:c>
      <x:c r="T1" s="4" t="s">
        <x:v>19</x:v>
      </x:c>
      <x:c r="U1" s="4" t="s">
        <x:v>20</x:v>
      </x:c>
      <x:c r="V1" s="4" t="s">
        <x:v>21</x:v>
      </x:c>
      <x:c r="W1" s="7" t="s">
        <x:v>22</x:v>
      </x:c>
      <x:c r="X1" s="7" t="s">
        <x:v>23</x:v>
      </x:c>
      <x:c r="Y1" s="7" t="s">
        <x:v>24</x:v>
      </x:c>
      <x:c r="Z1" s="7" t="s">
        <x:v>25</x:v>
      </x:c>
      <x:c r="AA1" s="108" t="s">
        <x:v>26</x:v>
      </x:c>
      <x:c r="AB1" s="108" t="s">
        <x:v>27</x:v>
      </x:c>
      <x:c r="AC1" s="7" t="s">
        <x:v>28</x:v>
      </x:c>
      <x:c r="AD1" s="7" t="s">
        <x:v>29</x:v>
      </x:c>
      <x:c r="AE1" s="7" t="s">
        <x:v>30</x:v>
      </x:c>
      <x:c r="AF1" s="7" t="s">
        <x:v>31</x:v>
      </x:c>
      <x:c r="AG1" s="7" t="s">
        <x:v>32</x:v>
      </x:c>
    </x:row>
    <x:row r="2" s="14" customFormat="1" ht="13.5" hidden="0" customHeight="1">
      <x:c r="A2" s="6" t="n">
        <x:v>10</x:v>
      </x:c>
      <x:c r="B2" s="9" t="n">
        <x:f aca="0">IF(ISNUMBER(A2),
    IF(AND(A2=INT(A2), MOD(A2, 10) = 0), 0,
        IF(AND(A2=INT(A2), LEN(A2)=2), 1,
            IF(AND(A2=INT(A2), LEN(A2)=3), 2,
                LEN(A2) - FIND(".", A2) + 2)
        )
    ),
"")</x:f>
        <x:v>0</x:v>
      </x:c>
      <x:c r="C2" s="10" t="s">
        <x:v>33</x:v>
      </x:c>
      <x:c r="D2" s="10" t="str">
        <x:f aca="0">REPT("   ", B2*2) &amp; C2</x:f>
        <x:v>Capitalized Pre-Construction Costs</x:v>
      </x:c>
      <x:c r="E2" s="10"/>
      <x:c r="F2" s="10"/>
      <x:c r="G2" s="109"/>
      <x:c r="H2" s="10"/>
      <x:c r="I2" s="10"/>
      <x:c r="J2" s="11"/>
      <x:c r="K2" s="11"/>
      <x:c r="L2" s="9"/>
      <x:c r="M2" s="9"/>
      <x:c r="N2" s="9"/>
      <x:c r="O2" s="9"/>
      <x:c r="P2" s="11"/>
      <x:c r="Q2" s="11"/>
      <x:c r="R2" s="9"/>
      <x:c r="S2" s="5"/>
      <x:c r="T2" s="9"/>
      <x:c r="U2" s="9"/>
      <x:c r="V2" s="9"/>
      <x:c r="W2" s="12"/>
      <x:c r="X2" s="13"/>
      <x:c r="Y2" s="13"/>
      <x:c r="Z2" s="12"/>
      <x:c r="AA2" s="13"/>
      <x:c r="AB2" s="13"/>
      <x:c r="AC2" s="12"/>
      <x:c r="AD2" s="13"/>
      <x:c r="AE2" s="13"/>
      <x:c r="AF2" s="13"/>
      <x:c r="AG2" s="12"/>
    </x:row>
    <x:row r="3" ht="34.5" hidden="0" customHeight="1">
      <x:c r="A3" s="6" t="n">
        <x:v>11</x:v>
      </x:c>
      <x:c r="B3" s="9" t="n">
        <x:f aca="0">IF(ISNUMBER(A3),
    IF(AND(A3=INT(A3), MOD(A3, 10) = 0), 0,
        IF(AND(A3=INT(A3), LEN(A3)=2), 1,
            IF(AND(A3=INT(A3), LEN(A3)=3), 2,
                LEN(A3) - FIND(".", A3) + 2)
        )
    ),
"")</x:f>
        <x:v>1</x:v>
      </x:c>
      <x:c r="C3" s="15" t="s">
        <x:v>34</x:v>
      </x:c>
      <x:c r="D3" s="10" t="str">
        <x:f aca="0">REPT("   ", B3*2) &amp; C3</x:f>
        <x:v>      Land Cost</x:v>
      </x:c>
      <x:c r="E3" s="10" t="s">
        <x:v>35</x:v>
      </x:c>
      <x:c r="F3" s="10" t="s">
        <x:v>623</x:v>
      </x:c>
      <x:c r="G3" s="109" t="n">
        <x:v>1</x:v>
      </x:c>
      <x:c r="H3" s="10"/>
      <x:c r="I3" s="10"/>
      <x:c r="J3" s="17"/>
      <x:c r="K3" s="17" t="n">
        <x:v>3800</x:v>
      </x:c>
      <x:c r="L3" s="18" t="s">
        <x:v>36</x:v>
      </x:c>
      <x:c r="M3" s="18" t="s">
        <x:v>706</x:v>
      </x:c>
      <x:c r="N3" s="19"/>
      <x:c r="O3" s="18" t="s">
        <x:v>38</x:v>
      </x:c>
      <x:c r="P3" s="20"/>
      <x:c r="Q3" s="20" t="n">
        <x:v>2022</x:v>
      </x:c>
      <x:c r="R3" s="18" t="s">
        <x:v>39</x:v>
      </x:c>
      <x:c r="S3" s="21" t="s">
        <x:v>40</x:v>
      </x:c>
      <x:c r="T3" s="21" t="s">
        <x:v>41</x:v>
      </x:c>
      <x:c r="U3" s="22" t="s">
        <x:v>42</x:v>
      </x:c>
      <x:c r="V3" s="23"/>
      <x:c r="W3" s="12" t="s">
        <x:v>43</x:v>
      </x:c>
      <x:c r="X3" s="24" t="n">
        <x:f aca="0">0.9*$J3</x:f>
        <x:v>0</x:v>
      </x:c>
      <x:c r="Y3" s="24" t="n">
        <x:f aca="0">1.5*J3</x:f>
        <x:v>0</x:v>
      </x:c>
      <x:c r="Z3" s="12" t="s">
        <x:v>44</x:v>
      </x:c>
      <x:c r="AA3" s="13" t="n">
        <x:f aca="0">0.9*K3</x:f>
        <x:v>3420</x:v>
      </x:c>
      <x:c r="AB3" s="13" t="n">
        <x:f aca="0">1.3*K3</x:f>
        <x:v>4940</x:v>
      </x:c>
      <x:c r="AC3" s="12" t="s">
        <x:v>44</x:v>
      </x:c>
      <x:c r="AD3" s="13" t="s">
        <x:v>45</x:v>
      </x:c>
      <x:c r="AE3" s="13" t="s">
        <x:v>46</x:v>
      </x:c>
      <x:c r="AF3" s="13" t="s">
        <x:v>47</x:v>
      </x:c>
      <x:c r="AG3" s="12" t="s">
        <x:v>48</x:v>
      </x:c>
    </x:row>
    <x:row r="4" ht="13.5" hidden="0" customHeight="1">
      <x:c r="A4" s="6" t="n">
        <x:v>12</x:v>
      </x:c>
      <x:c r="B4" s="9" t="n">
        <x:f aca="0">IF(ISNUMBER(A4),
    IF(AND(A4=INT(A4), MOD(A4, 10) = 0), 0,
        IF(AND(A4=INT(A4), LEN(A4)=2), 1,
            IF(AND(A4=INT(A4), LEN(A4)=3), 2,
                LEN(A4) - FIND(".", A4) + 2)
        )
    ),
"")</x:f>
        <x:v>1</x:v>
      </x:c>
      <x:c r="C4" s="15" t="s">
        <x:v>49</x:v>
      </x:c>
      <x:c r="D4" s="10" t="str">
        <x:f aca="0">REPT("   ", B4*2) &amp; C4</x:f>
        <x:v>      Site Permits</x:v>
      </x:c>
      <x:c r="E4" s="10" t="s">
        <x:v>35</x:v>
      </x:c>
      <x:c r="F4" s="10" t="s">
        <x:v>623</x:v>
      </x:c>
      <x:c r="G4" s="109" t="n">
        <x:v>1</x:v>
      </x:c>
      <x:c r="H4" s="10"/>
      <x:c r="I4" s="10"/>
      <x:c r="J4" s="17"/>
      <x:c r="K4" s="17" t="n">
        <x:f aca="0">10.03*1000</x:f>
        <x:v>10030</x:v>
      </x:c>
      <x:c r="L4" s="18" t="s">
        <x:v>50</x:v>
      </x:c>
      <x:c r="M4" s="18" t="s">
        <x:v>707</x:v>
      </x:c>
      <x:c r="N4" s="19"/>
      <x:c r="O4" s="18" t="s">
        <x:v>52</x:v>
      </x:c>
      <x:c r="P4" s="20"/>
      <x:c r="Q4" s="20" t="n">
        <x:v>2022</x:v>
      </x:c>
      <x:c r="R4" s="18" t="s">
        <x:v>53</x:v>
      </x:c>
      <x:c r="S4" s="21" t="s">
        <x:v>54</x:v>
      </x:c>
      <x:c r="T4" s="21"/>
      <x:c r="U4" s="21"/>
      <x:c r="V4" s="23"/>
      <x:c r="W4" s="12" t="s">
        <x:v>43</x:v>
      </x:c>
      <x:c r="X4" s="24" t="n">
        <x:f aca="0">0.9*$J4</x:f>
        <x:v>0</x:v>
      </x:c>
      <x:c r="Y4" s="24" t="n">
        <x:f aca="0">1.5*J4</x:f>
        <x:v>0</x:v>
      </x:c>
      <x:c r="Z4" s="12" t="s">
        <x:v>44</x:v>
      </x:c>
      <x:c r="AA4" s="13" t="n">
        <x:f aca="0">0.9*K4</x:f>
        <x:v>9027</x:v>
      </x:c>
      <x:c r="AB4" s="13" t="n">
        <x:f aca="0">1.3*K4</x:f>
        <x:v>13039</x:v>
      </x:c>
      <x:c r="AC4" s="12" t="s">
        <x:v>44</x:v>
      </x:c>
      <x:c r="AD4" s="13" t="s">
        <x:v>45</x:v>
      </x:c>
      <x:c r="AE4" s="13" t="s">
        <x:v>46</x:v>
      </x:c>
      <x:c r="AF4" s="13" t="s">
        <x:v>47</x:v>
      </x:c>
      <x:c r="AG4" s="12" t="s">
        <x:v>48</x:v>
      </x:c>
    </x:row>
    <x:row r="5" ht="13.5" hidden="0" customHeight="1">
      <x:c r="A5" s="6" t="n">
        <x:v>13</x:v>
      </x:c>
      <x:c r="B5" s="9" t="n">
        <x:f aca="0">IF(ISNUMBER(A5),
    IF(AND(A5=INT(A5), MOD(A5, 10) = 0), 0,
        IF(AND(A5=INT(A5), LEN(A5)=2), 1,
            IF(AND(A5=INT(A5), LEN(A5)=3), 2,
                LEN(A5) - FIND(".", A5) + 2)
        )
    ),
"")</x:f>
        <x:v>1</x:v>
      </x:c>
      <x:c r="C5" s="15" t="s">
        <x:v>55</x:v>
      </x:c>
      <x:c r="D5" s="10" t="str">
        <x:f aca="0">REPT("   ", B5*2) &amp; C5</x:f>
        <x:v>      Plant Licensing</x:v>
      </x:c>
      <x:c r="E5" s="10" t="s">
        <x:v>35</x:v>
      </x:c>
      <x:c r="F5" s="10" t="s">
        <x:v>623</x:v>
      </x:c>
      <x:c r="G5" s="109" t="n">
        <x:v>1</x:v>
      </x:c>
      <x:c r="H5" s="10"/>
      <x:c r="I5" s="10"/>
      <x:c r="J5" s="17" t="n">
        <x:f aca="0">1000000*(45+70)/2</x:f>
        <x:v>57500000</x:v>
      </x:c>
      <x:c r="K5" s="17"/>
      <x:c r="L5" s="19"/>
      <x:c r="M5" s="19"/>
      <x:c r="N5" s="19"/>
      <x:c r="O5" s="18"/>
      <x:c r="P5" s="20"/>
      <x:c r="Q5" s="20" t="n">
        <x:v>2009</x:v>
      </x:c>
      <x:c r="R5" s="18" t="s">
        <x:v>53</x:v>
      </x:c>
      <x:c r="S5" s="21" t="s">
        <x:v>62</x:v>
      </x:c>
      <x:c r="T5" s="21" t="s">
        <x:v>63</x:v>
      </x:c>
      <x:c r="U5" s="22" t="s">
        <x:v>58</x:v>
      </x:c>
      <x:c r="V5" s="23"/>
      <x:c r="W5" s="12" t="s">
        <x:v>43</x:v>
      </x:c>
      <x:c r="X5" s="24" t="n">
        <x:f aca="0">45*1000000</x:f>
        <x:v>45000000</x:v>
      </x:c>
      <x:c r="Y5" s="24" t="n">
        <x:f aca="0">70*1000000</x:f>
        <x:v>70000000</x:v>
      </x:c>
      <x:c r="Z5" s="12" t="s">
        <x:v>60</x:v>
      </x:c>
      <x:c r="AA5" s="13" t="n">
        <x:f aca="0">0.9*K5</x:f>
        <x:v>0</x:v>
      </x:c>
      <x:c r="AB5" s="13" t="n">
        <x:f aca="0">1.3*K5</x:f>
        <x:v>0</x:v>
      </x:c>
      <x:c r="AC5" s="12" t="s">
        <x:v>44</x:v>
      </x:c>
      <x:c r="AD5" s="13" t="s">
        <x:v>45</x:v>
      </x:c>
      <x:c r="AE5" s="13" t="s">
        <x:v>46</x:v>
      </x:c>
      <x:c r="AF5" s="13" t="s">
        <x:v>47</x:v>
      </x:c>
      <x:c r="AG5" s="12" t="s">
        <x:v>48</x:v>
      </x:c>
    </x:row>
    <x:row r="6" ht="13.5" hidden="0" customHeight="1">
      <x:c r="A6" s="6" t="n">
        <x:v>14</x:v>
      </x:c>
      <x:c r="B6" s="9" t="n">
        <x:f aca="0">IF(ISNUMBER(A6),
    IF(AND(A6=INT(A6), MOD(A6, 10) = 0), 0,
        IF(AND(A6=INT(A6), LEN(A6)=2), 1,
            IF(AND(A6=INT(A6), LEN(A6)=3), 2,
                LEN(A6) - FIND(".", A6) + 2)
        )
    ),
"")</x:f>
        <x:v>1</x:v>
      </x:c>
      <x:c r="C6" s="15" t="s">
        <x:v>61</x:v>
      </x:c>
      <x:c r="D6" s="10" t="str">
        <x:f aca="0">REPT("   ", B6*2) &amp; C6</x:f>
        <x:v>      Plant Permits</x:v>
      </x:c>
      <x:c r="E6" s="10" t="s">
        <x:v>35</x:v>
      </x:c>
      <x:c r="F6" s="10" t="s">
        <x:v>623</x:v>
      </x:c>
      <x:c r="G6" s="109" t="n">
        <x:v>1</x:v>
      </x:c>
      <x:c r="H6" s="10"/>
      <x:c r="I6" s="10"/>
      <x:c r="J6" s="17" t="n">
        <x:v>3000000</x:v>
      </x:c>
      <x:c r="K6" s="17"/>
      <x:c r="L6" s="19"/>
      <x:c r="M6" s="19"/>
      <x:c r="N6" s="19"/>
      <x:c r="O6" s="18"/>
      <x:c r="P6" s="20"/>
      <x:c r="Q6" s="20" t="n">
        <x:v>2009</x:v>
      </x:c>
      <x:c r="R6" s="18" t="s">
        <x:v>53</x:v>
      </x:c>
      <x:c r="S6" s="21" t="s">
        <x:v>62</x:v>
      </x:c>
      <x:c r="T6" s="21"/>
      <x:c r="U6" s="21"/>
      <x:c r="V6" s="23"/>
      <x:c r="W6" s="12" t="s">
        <x:v>43</x:v>
      </x:c>
      <x:c r="X6" s="24" t="n">
        <x:f aca="0">0.9*$J6</x:f>
        <x:v>2700000</x:v>
      </x:c>
      <x:c r="Y6" s="24" t="n">
        <x:f aca="0">1.5*J6</x:f>
        <x:v>4500000</x:v>
      </x:c>
      <x:c r="Z6" s="12" t="s">
        <x:v>44</x:v>
      </x:c>
      <x:c r="AA6" s="13" t="n">
        <x:f aca="0">0.9*K6</x:f>
        <x:v>0</x:v>
      </x:c>
      <x:c r="AB6" s="13" t="n">
        <x:f aca="0">1.3*K6</x:f>
        <x:v>0</x:v>
      </x:c>
      <x:c r="AC6" s="12" t="s">
        <x:v>44</x:v>
      </x:c>
      <x:c r="AD6" s="13" t="s">
        <x:v>45</x:v>
      </x:c>
      <x:c r="AE6" s="13" t="s">
        <x:v>46</x:v>
      </x:c>
      <x:c r="AF6" s="13" t="s">
        <x:v>47</x:v>
      </x:c>
      <x:c r="AG6" s="12" t="s">
        <x:v>48</x:v>
      </x:c>
    </x:row>
    <x:row r="7" ht="90.75" hidden="0" customHeight="1">
      <x:c r="A7" s="6" t="n">
        <x:v>15</x:v>
      </x:c>
      <x:c r="B7" s="9" t="n">
        <x:f aca="0">IF(ISNUMBER(A7),
    IF(AND(A7=INT(A7), MOD(A7, 10) = 0), 0,
        IF(AND(A7=INT(A7), LEN(A7)=2), 1,
            IF(AND(A7=INT(A7), LEN(A7)=3), 2,
                LEN(A7) - FIND(".", A7) + 2)
        )
    ),
"")</x:f>
        <x:v>1</x:v>
      </x:c>
      <x:c r="C7" s="15" t="s">
        <x:v>64</x:v>
      </x:c>
      <x:c r="D7" s="10" t="str">
        <x:f aca="0">REPT("   ", B7*2) &amp; C7</x:f>
        <x:v>      Plant Studies</x:v>
      </x:c>
      <x:c r="E7" s="10" t="s">
        <x:v>35</x:v>
      </x:c>
      <x:c r="F7" s="10" t="s">
        <x:v>623</x:v>
      </x:c>
      <x:c r="G7" s="109" t="n">
        <x:v>1</x:v>
      </x:c>
      <x:c r="H7" s="10"/>
      <x:c r="I7" s="10"/>
      <x:c r="J7" s="17" t="n">
        <x:f aca="0">10*MARVEL_Cost!C4</x:f>
        <x:v>52104510</x:v>
      </x:c>
      <x:c r="K7" s="17"/>
      <x:c r="L7" s="19"/>
      <x:c r="M7" s="19"/>
      <x:c r="N7" s="19"/>
      <x:c r="O7" s="18"/>
      <x:c r="P7" s="20"/>
      <x:c r="Q7" s="20" t="n">
        <x:v>2024</x:v>
      </x:c>
      <x:c r="R7" s="18" t="s">
        <x:v>53</x:v>
      </x:c>
      <x:c r="S7" s="21" t="s">
        <x:v>65</x:v>
      </x:c>
      <x:c r="T7" s="21" t="s">
        <x:v>66</x:v>
      </x:c>
      <x:c r="U7" s="23" t="s">
        <x:v>67</x:v>
      </x:c>
      <x:c r="V7" s="18" t="s">
        <x:v>68</x:v>
      </x:c>
      <x:c r="W7" s="12" t="s">
        <x:v>43</x:v>
      </x:c>
      <x:c r="X7" s="24" t="n">
        <x:f aca="0">0.9*$J7</x:f>
        <x:v>46894059</x:v>
      </x:c>
      <x:c r="Y7" s="24" t="n">
        <x:f aca="0">1.5*J7</x:f>
        <x:v>78156765</x:v>
      </x:c>
      <x:c r="Z7" s="12" t="s">
        <x:v>44</x:v>
      </x:c>
      <x:c r="AA7" s="13" t="n">
        <x:f aca="0">0.9*K7</x:f>
        <x:v>0</x:v>
      </x:c>
      <x:c r="AB7" s="13" t="n">
        <x:f aca="0">1.3*K7</x:f>
        <x:v>0</x:v>
      </x:c>
      <x:c r="AC7" s="12" t="s">
        <x:v>44</x:v>
      </x:c>
      <x:c r="AD7" s="13" t="s">
        <x:v>45</x:v>
      </x:c>
      <x:c r="AE7" s="13" t="s">
        <x:v>46</x:v>
      </x:c>
      <x:c r="AF7" s="13" t="s">
        <x:v>47</x:v>
      </x:c>
      <x:c r="AG7" s="12" t="s">
        <x:v>48</x:v>
      </x:c>
    </x:row>
    <x:row r="8" ht="13.5" hidden="0" customHeight="1">
      <x:c r="A8" s="4" t="n">
        <x:v>20</x:v>
      </x:c>
      <x:c r="B8" s="9" t="n">
        <x:f aca="0">IF(ISNUMBER(A8),
    IF(AND(A8=INT(A8), MOD(A8, 10) = 0), 0,
        IF(AND(A8=INT(A8), LEN(A8)=2), 1,
            IF(AND(A8=INT(A8), LEN(A8)=3), 2,
                LEN(A8) - FIND(".", A8) + 2)
        )
    ),
"")</x:f>
        <x:v>0</x:v>
      </x:c>
      <x:c r="C8" s="15" t="s">
        <x:v>69</x:v>
      </x:c>
      <x:c r="D8" s="10" t="str">
        <x:f aca="0">REPT("   ", B8*2) &amp; C8</x:f>
        <x:v>Capitalized Direct Costs</x:v>
      </x:c>
      <x:c r="E8" s="10"/>
      <x:c r="F8" s="10"/>
      <x:c r="G8" s="109"/>
      <x:c r="H8" s="10"/>
      <x:c r="I8" s="10"/>
      <x:c r="J8" s="17"/>
      <x:c r="K8" s="27"/>
      <x:c r="L8" s="4"/>
      <x:c r="M8" s="6"/>
      <x:c r="N8" s="4"/>
      <x:c r="O8" s="4"/>
      <x:c r="P8" s="28"/>
      <x:c r="Q8" s="28"/>
      <x:c r="R8" s="4"/>
      <x:c r="S8" s="4"/>
      <x:c r="T8" s="4"/>
      <x:c r="U8" s="4"/>
      <x:c r="V8" s="4"/>
      <x:c r="W8" s="12" t="s">
        <x:v>626</x:v>
      </x:c>
      <x:c r="X8" s="24"/>
      <x:c r="Y8" s="24"/>
      <x:c r="Z8" s="12"/>
      <x:c r="AA8" s="13"/>
      <x:c r="AB8" s="13"/>
      <x:c r="AC8" s="12"/>
      <x:c r="AD8" s="13"/>
      <x:c r="AE8" s="13"/>
      <x:c r="AF8" s="13"/>
      <x:c r="AG8" s="12"/>
    </x:row>
    <x:row r="9" ht="13.5" hidden="0" customHeight="1">
      <x:c r="A9" s="6" t="n">
        <x:v>21</x:v>
      </x:c>
      <x:c r="B9" s="9" t="n">
        <x:f aca="0">IF(ISNUMBER(A9),
    IF(AND(A9=INT(A9), MOD(A9, 10) = 0), 0,
        IF(AND(A9=INT(A9), LEN(A9)=2), 1,
            IF(AND(A9=INT(A9), LEN(A9)=3), 2,
                LEN(A9) - FIND(".", A9) + 2)
        )
    ),
"")</x:f>
        <x:v>1</x:v>
      </x:c>
      <x:c r="C9" s="15" t="s">
        <x:v>70</x:v>
      </x:c>
      <x:c r="D9" s="10" t="str">
        <x:f aca="0">REPT("   ", B9*2) &amp; C9</x:f>
        <x:v>      Structures and Improvements</x:v>
      </x:c>
      <x:c r="E9" s="10"/>
      <x:c r="F9" s="10"/>
      <x:c r="G9" s="109"/>
      <x:c r="H9" s="10"/>
      <x:c r="I9" s="10"/>
      <x:c r="J9" s="17"/>
      <x:c r="K9" s="17"/>
      <x:c r="L9" s="19"/>
      <x:c r="M9" s="19"/>
      <x:c r="N9" s="19"/>
      <x:c r="O9" s="19"/>
      <x:c r="P9" s="16"/>
      <x:c r="Q9" s="16"/>
      <x:c r="R9" s="19"/>
      <x:c r="S9" s="29"/>
      <x:c r="T9" s="19"/>
      <x:c r="U9" s="19"/>
      <x:c r="V9" s="23"/>
      <x:c r="W9" s="12"/>
      <x:c r="X9" s="24"/>
      <x:c r="Y9" s="24"/>
      <x:c r="Z9" s="12"/>
      <x:c r="AA9" s="13"/>
      <x:c r="AB9" s="13"/>
      <x:c r="AC9" s="12"/>
      <x:c r="AD9" s="13"/>
      <x:c r="AE9" s="13"/>
      <x:c r="AF9" s="13"/>
      <x:c r="AG9" s="12"/>
    </x:row>
    <x:row r="10" ht="13.5" hidden="0" customHeight="1">
      <x:c r="A10" s="30" t="n">
        <x:v>211</x:v>
      </x:c>
      <x:c r="B10" s="9" t="n">
        <x:f aca="0">IF(ISNUMBER(A10),
    IF(AND(A10=INT(A10), MOD(A10, 10) = 0), 0,
        IF(AND(A10=INT(A10), LEN(A10)=2), 1,
            IF(AND(A10=INT(A10), LEN(A10)=3), 2,
                LEN(A10) - FIND(".", A10) + 2)
        )
    ),
"")</x:f>
        <x:v>2</x:v>
      </x:c>
      <x:c r="C10" s="15" t="s">
        <x:v>71</x:v>
      </x:c>
      <x:c r="D10" s="10" t="str">
        <x:f aca="0">REPT("   ", B10*2) &amp; C10</x:f>
        <x:v>            Site Preparation/ Yard Work</x:v>
      </x:c>
      <x:c r="E10" s="10"/>
      <x:c r="F10" s="10"/>
      <x:c r="G10" s="109"/>
      <x:c r="H10" s="10"/>
      <x:c r="I10" s="10"/>
      <x:c r="J10" s="17"/>
      <x:c r="K10" s="17"/>
      <x:c r="L10" s="19"/>
      <x:c r="M10" s="19"/>
      <x:c r="N10" s="19"/>
      <x:c r="O10" s="19"/>
      <x:c r="P10" s="16"/>
      <x:c r="Q10" s="16"/>
      <x:c r="R10" s="19"/>
      <x:c r="S10" s="29"/>
      <x:c r="T10" s="19"/>
      <x:c r="U10" s="19"/>
      <x:c r="V10" s="23"/>
      <x:c r="W10" s="12"/>
      <x:c r="X10" s="24"/>
      <x:c r="Y10" s="24"/>
      <x:c r="Z10" s="12"/>
      <x:c r="AA10" s="13"/>
      <x:c r="AB10" s="13"/>
      <x:c r="AC10" s="12"/>
      <x:c r="AD10" s="13"/>
      <x:c r="AE10" s="13"/>
      <x:c r="AF10" s="13"/>
      <x:c r="AG10" s="12"/>
    </x:row>
    <x:row r="11" ht="13.5" hidden="0" customHeight="1">
      <x:c r="A11" s="31" t="n">
        <x:v>211.1</x:v>
      </x:c>
      <x:c r="B11" s="9" t="n">
        <x:f aca="0">IF(ISNUMBER(A11),
    IF(AND(A11=INT(A11), MOD(A11, 10) = 0), 0,
        IF(AND(A11=INT(A11), LEN(A11)=2), 1,
            IF(AND(A11=INT(A11), LEN(A11)=3), 2,
                LEN(A11) - FIND(".", A11) + 2)
        )
    ),
"")</x:f>
        <x:v>3</x:v>
      </x:c>
      <x:c r="C11" s="15" t="s">
        <x:v>72</x:v>
      </x:c>
      <x:c r="D11" s="10" t="str">
        <x:f aca="0">REPT("   ", B11*2) &amp; C11</x:f>
        <x:v>                  Cleaning and Grubbing</x:v>
      </x:c>
      <x:c r="E11" s="10" t="s">
        <x:v>35</x:v>
      </x:c>
      <x:c r="F11" s="10" t="s">
        <x:v>623</x:v>
      </x:c>
      <x:c r="G11" s="109" t="n">
        <x:v>1</x:v>
      </x:c>
      <x:c r="H11" s="10"/>
      <x:c r="I11" s="10"/>
      <x:c r="J11" s="17"/>
      <x:c r="K11" s="17" t="n">
        <x:f aca="0">4408.18*1.33</x:f>
        <x:v>5862.879400000001</x:v>
      </x:c>
      <x:c r="L11" s="18" t="s">
        <x:v>36</x:v>
      </x:c>
      <x:c r="M11" s="18" t="s">
        <x:v>708</x:v>
      </x:c>
      <x:c r="N11" s="19"/>
      <x:c r="O11" s="18" t="s">
        <x:v>38</x:v>
      </x:c>
      <x:c r="P11" s="16"/>
      <x:c r="Q11" s="20" t="n">
        <x:v>2024</x:v>
      </x:c>
      <x:c r="R11" s="18" t="s">
        <x:v>73</x:v>
      </x:c>
      <x:c r="S11" s="21" t="s">
        <x:v>74</x:v>
      </x:c>
      <x:c r="T11" s="21" t="s">
        <x:v>75</x:v>
      </x:c>
      <x:c r="U11" s="32" t="s">
        <x:v>76</x:v>
      </x:c>
      <x:c r="V11" s="23"/>
      <x:c r="W11" s="12" t="s">
        <x:v>43</x:v>
      </x:c>
      <x:c r="X11" s="24" t="n">
        <x:f aca="0">0.9*$J11</x:f>
        <x:v>0</x:v>
      </x:c>
      <x:c r="Y11" s="24" t="n">
        <x:f aca="0">1.5*J11</x:f>
        <x:v>0</x:v>
      </x:c>
      <x:c r="Z11" s="12" t="s">
        <x:v>44</x:v>
      </x:c>
      <x:c r="AA11" s="13" t="n">
        <x:f aca="0">0.9*K11</x:f>
        <x:v>5276.591460000001</x:v>
      </x:c>
      <x:c r="AB11" s="13" t="n">
        <x:f aca="0">1.3*K11</x:f>
        <x:v>7621.743220000001</x:v>
      </x:c>
      <x:c r="AC11" s="12" t="s">
        <x:v>44</x:v>
      </x:c>
      <x:c r="AD11" s="13" t="s">
        <x:v>45</x:v>
      </x:c>
      <x:c r="AE11" s="13" t="s">
        <x:v>46</x:v>
      </x:c>
      <x:c r="AF11" s="13" t="s">
        <x:v>47</x:v>
      </x:c>
      <x:c r="AG11" s="12" t="s">
        <x:v>48</x:v>
      </x:c>
    </x:row>
    <x:row r="12" ht="13.5" hidden="0" customHeight="1">
      <x:c r="A12" s="30" t="n">
        <x:v>211.2</x:v>
      </x:c>
      <x:c r="B12" s="9" t="n">
        <x:f aca="0">IF(ISNUMBER(A12),
    IF(AND(A12=INT(A12), MOD(A12, 10) = 0), 0,
        IF(AND(A12=INT(A12), LEN(A12)=2), 1,
            IF(AND(A12=INT(A12), LEN(A12)=3), 2,
                LEN(A12) - FIND(".", A12) + 2)
        )
    ),
"")</x:f>
        <x:v>3</x:v>
      </x:c>
      <x:c r="C12" s="15" t="s">
        <x:v>78</x:v>
      </x:c>
      <x:c r="D12" s="10" t="str">
        <x:f aca="0">REPT("   ", B12*2) &amp; C12</x:f>
        <x:v>                  Stripping Topsoil</x:v>
      </x:c>
      <x:c r="E12" s="10" t="s">
        <x:v>35</x:v>
      </x:c>
      <x:c r="F12" s="10" t="s">
        <x:v>623</x:v>
      </x:c>
      <x:c r="G12" s="109" t="n">
        <x:v>1</x:v>
      </x:c>
      <x:c r="H12" s="10"/>
      <x:c r="I12" s="10"/>
      <x:c r="J12" s="17"/>
      <x:c r="K12" s="17" t="n">
        <x:f aca="0">2565.2*1.33</x:f>
        <x:v>3411.716</x:v>
      </x:c>
      <x:c r="L12" s="18" t="s">
        <x:v>36</x:v>
      </x:c>
      <x:c r="M12" s="18" t="s">
        <x:v>708</x:v>
      </x:c>
      <x:c r="N12" s="19"/>
      <x:c r="O12" s="18" t="s">
        <x:v>38</x:v>
      </x:c>
      <x:c r="P12" s="16"/>
      <x:c r="Q12" s="20" t="n">
        <x:v>2024</x:v>
      </x:c>
      <x:c r="R12" s="18" t="s">
        <x:v>73</x:v>
      </x:c>
      <x:c r="S12" s="21"/>
      <x:c r="T12" s="21"/>
      <x:c r="U12" s="21"/>
      <x:c r="V12" s="23"/>
      <x:c r="W12" s="12" t="s">
        <x:v>43</x:v>
      </x:c>
      <x:c r="X12" s="24" t="n">
        <x:f aca="0">0.9*$J12</x:f>
        <x:v>0</x:v>
      </x:c>
      <x:c r="Y12" s="24" t="n">
        <x:f aca="0">1.5*J12</x:f>
        <x:v>0</x:v>
      </x:c>
      <x:c r="Z12" s="12" t="s">
        <x:v>44</x:v>
      </x:c>
      <x:c r="AA12" s="13" t="n">
        <x:f aca="0">0.9*K12</x:f>
        <x:v>3070.5443999999998</x:v>
      </x:c>
      <x:c r="AB12" s="13" t="n">
        <x:f aca="0">1.3*K12</x:f>
        <x:v>4435.2308</x:v>
      </x:c>
      <x:c r="AC12" s="12" t="s">
        <x:v>44</x:v>
      </x:c>
      <x:c r="AD12" s="13" t="s">
        <x:v>45</x:v>
      </x:c>
      <x:c r="AE12" s="13" t="s">
        <x:v>46</x:v>
      </x:c>
      <x:c r="AF12" s="13" t="s">
        <x:v>47</x:v>
      </x:c>
      <x:c r="AG12" s="12" t="s">
        <x:v>48</x:v>
      </x:c>
    </x:row>
    <x:row r="13" ht="34.5" hidden="0" customHeight="1">
      <x:c r="A13" s="30" t="n">
        <x:v>211.4</x:v>
      </x:c>
      <x:c r="B13" s="9" t="n">
        <x:f aca="0">IF(ISNUMBER(A13),
    IF(AND(A13=INT(A13), MOD(A13, 10) = 0), 0,
        IF(AND(A13=INT(A13), LEN(A13)=2), 1,
            IF(AND(A13=INT(A13), LEN(A13)=3), 2,
                LEN(A13) - FIND(".", A13) + 2)
        )
    ),
"")</x:f>
        <x:v>3</x:v>
      </x:c>
      <x:c r="C13" s="15" t="s">
        <x:v>83</x:v>
      </x:c>
      <x:c r="D13" s="10" t="str">
        <x:f aca="0">REPT("   ", B13*2) &amp; C13</x:f>
        <x:v>                  Roads</x:v>
      </x:c>
      <x:c r="E13" s="10" t="s">
        <x:v>35</x:v>
      </x:c>
      <x:c r="F13" s="10" t="s">
        <x:v>623</x:v>
      </x:c>
      <x:c r="G13" s="109" t="n">
        <x:v>1</x:v>
      </x:c>
      <x:c r="H13" s="10"/>
      <x:c r="I13" s="10"/>
      <x:c r="J13" s="17"/>
      <x:c r="K13" s="17" t="n">
        <x:f aca="0">0.7*7873200*1.609/1000</x:f>
        <x:v>8867.58516</x:v>
      </x:c>
      <x:c r="L13" s="18" t="s">
        <x:v>84</x:v>
      </x:c>
      <x:c r="M13" s="110" t="s">
        <x:v>709</x:v>
      </x:c>
      <x:c r="N13" s="111" t="n">
        <x:v>1</x:v>
      </x:c>
      <x:c r="O13" s="112"/>
      <x:c r="P13" s="113" t="n">
        <x:v>1</x:v>
      </x:c>
      <x:c r="Q13" s="114" t="n">
        <x:v>2025</x:v>
      </x:c>
      <x:c r="R13" s="112" t="s">
        <x:v>39</x:v>
      </x:c>
      <x:c r="S13" s="33" t="s">
        <x:v>87</x:v>
      </x:c>
      <x:c r="T13" s="115"/>
      <x:c r="U13" s="22"/>
      <x:c r="V13" s="23"/>
      <x:c r="W13" s="12" t="s">
        <x:v>43</x:v>
      </x:c>
      <x:c r="X13" s="24" t="n">
        <x:f aca="0">0.9*$J13</x:f>
        <x:v>0</x:v>
      </x:c>
      <x:c r="Y13" s="24" t="n">
        <x:f aca="0">1.5*J13</x:f>
        <x:v>0</x:v>
      </x:c>
      <x:c r="Z13" s="12" t="s">
        <x:v>44</x:v>
      </x:c>
      <x:c r="AA13" s="13" t="n">
        <x:f aca="0">0.9*K13</x:f>
        <x:v>7980.826644000001</x:v>
      </x:c>
      <x:c r="AB13" s="13" t="n">
        <x:f aca="0">1.3*K13</x:f>
        <x:v>11527.860708000002</x:v>
      </x:c>
      <x:c r="AC13" s="12" t="s">
        <x:v>44</x:v>
      </x:c>
      <x:c r="AD13" s="13" t="s">
        <x:v>45</x:v>
      </x:c>
      <x:c r="AE13" s="13" t="s">
        <x:v>46</x:v>
      </x:c>
      <x:c r="AF13" s="13" t="s">
        <x:v>47</x:v>
      </x:c>
      <x:c r="AG13" s="12" t="s">
        <x:v>48</x:v>
      </x:c>
    </x:row>
    <x:row r="14" ht="13.5" hidden="0" customHeight="1">
      <x:c r="A14" s="30" t="n">
        <x:v>211.9</x:v>
      </x:c>
      <x:c r="B14" s="9" t="n">
        <x:f aca="0">IF(ISNUMBER(A14),
    IF(AND(A14=INT(A14), MOD(A14, 10) = 0), 0,
        IF(AND(A14=INT(A14), LEN(A14)=2), 1,
            IF(AND(A14=INT(A14), LEN(A14)=3), 2,
                LEN(A14) - FIND(".", A14) + 2)
        )
    ),
"")</x:f>
        <x:v>3</x:v>
      </x:c>
      <x:c r="C14" s="15" t="s">
        <x:v>88</x:v>
      </x:c>
      <x:c r="D14" s="10" t="str">
        <x:f aca="0">REPT("   ", B14*2) &amp; C14</x:f>
        <x:v>                  Security Fencing</x:v>
      </x:c>
      <x:c r="E14" s="10"/>
      <x:c r="F14" s="10"/>
      <x:c r="G14" s="109"/>
      <x:c r="H14" s="10"/>
      <x:c r="I14" s="10"/>
      <x:c r="J14" s="17"/>
      <x:c r="K14" s="116"/>
      <x:c r="L14" s="117"/>
      <x:c r="M14" s="118"/>
      <x:c r="N14" s="119"/>
      <x:c r="O14" s="18"/>
      <x:c r="P14" s="120"/>
      <x:c r="Q14" s="121"/>
      <x:c r="R14" s="122"/>
      <x:c r="S14" s="123"/>
      <x:c r="T14" s="21"/>
      <x:c r="U14" s="22"/>
      <x:c r="V14" s="23"/>
      <x:c r="W14" s="12"/>
      <x:c r="X14" s="24"/>
      <x:c r="Y14" s="24"/>
      <x:c r="Z14" s="12"/>
      <x:c r="AA14" s="13"/>
      <x:c r="AB14" s="13"/>
      <x:c r="AC14" s="12"/>
      <x:c r="AD14" s="13"/>
      <x:c r="AE14" s="13"/>
      <x:c r="AF14" s="13"/>
      <x:c r="AG14" s="12"/>
    </x:row>
    <x:row r="15" ht="34.5" hidden="0" customHeight="1">
      <x:c r="A15" s="30" t="n">
        <x:v>211.91</x:v>
      </x:c>
      <x:c r="B15" s="9" t="n">
        <x:f aca="0">IF(ISNUMBER(A15),
    IF(AND(A15=INT(A15), MOD(A15, 10) = 0), 0,
        IF(AND(A15=INT(A15), LEN(A15)=2), 1,
            IF(AND(A15=INT(A15), LEN(A15)=3), 2,
                LEN(A15) - FIND(".", A15) + 2)
        )
    ),
"")</x:f>
        <x:v>4</x:v>
      </x:c>
      <x:c r="C15" s="15" t="s">
        <x:v>89</x:v>
      </x:c>
      <x:c r="D15" s="10" t="str">
        <x:f aca="0">REPT("   ", B15*2) &amp; C15</x:f>
        <x:v>                        Security Fencing Limited</x:v>
      </x:c>
      <x:c r="E15" s="10" t="s">
        <x:v>35</x:v>
      </x:c>
      <x:c r="F15" s="10" t="s">
        <x:v>623</x:v>
      </x:c>
      <x:c r="G15" s="109" t="n">
        <x:v>1</x:v>
      </x:c>
      <x:c r="H15" s="10"/>
      <x:c r="I15" s="10"/>
      <x:c r="J15" s="17"/>
      <x:c r="K15" s="17" t="n">
        <x:f aca="0">0.7*273</x:f>
        <x:v>191.1</x:v>
      </x:c>
      <x:c r="L15" s="18" t="s">
        <x:v>628</x:v>
      </x:c>
      <x:c r="M15" s="18" t="s">
        <x:v>710</x:v>
      </x:c>
      <x:c r="N15" s="19"/>
      <x:c r="O15" s="18"/>
      <x:c r="P15" s="16"/>
      <x:c r="Q15" s="20" t="n">
        <x:v>2025</x:v>
      </x:c>
      <x:c r="R15" s="18" t="s">
        <x:v>73</x:v>
      </x:c>
      <x:c r="S15" s="33" t="s">
        <x:v>87</x:v>
      </x:c>
      <x:c r="T15" s="21"/>
      <x:c r="U15" s="35"/>
      <x:c r="V15" s="23"/>
      <x:c r="W15" s="12" t="s">
        <x:v>43</x:v>
      </x:c>
      <x:c r="X15" s="24" t="n">
        <x:f aca="0">0.9*$J15</x:f>
        <x:v>0</x:v>
      </x:c>
      <x:c r="Y15" s="24" t="n">
        <x:f aca="0">1.5*J15</x:f>
        <x:v>0</x:v>
      </x:c>
      <x:c r="Z15" s="12" t="s">
        <x:v>44</x:v>
      </x:c>
      <x:c r="AA15" s="13" t="n">
        <x:f aca="0">0.9*K15</x:f>
        <x:v>171.99</x:v>
      </x:c>
      <x:c r="AB15" s="13" t="n">
        <x:f aca="0">1.3*K15</x:f>
        <x:v>248.43</x:v>
      </x:c>
      <x:c r="AC15" s="12" t="s">
        <x:v>44</x:v>
      </x:c>
      <x:c r="AD15" s="13" t="s">
        <x:v>45</x:v>
      </x:c>
      <x:c r="AE15" s="13" t="s">
        <x:v>46</x:v>
      </x:c>
      <x:c r="AF15" s="13" t="s">
        <x:v>47</x:v>
      </x:c>
      <x:c r="AG15" s="12" t="s">
        <x:v>48</x:v>
      </x:c>
    </x:row>
    <x:row r="16" ht="34.5" hidden="0" customHeight="1">
      <x:c r="A16" s="30" t="n">
        <x:v>211.92</x:v>
      </x:c>
      <x:c r="B16" s="9" t="n">
        <x:f aca="0">IF(ISNUMBER(A16),
    IF(AND(A16=INT(A16), MOD(A16, 10) = 0), 0,
        IF(AND(A16=INT(A16), LEN(A16)=2), 1,
            IF(AND(A16=INT(A16), LEN(A16)=3), 2,
                LEN(A16) - FIND(".", A16) + 2)
        )
    ),
"")</x:f>
        <x:v>4</x:v>
      </x:c>
      <x:c r="C16" s="15" t="s">
        <x:v>711</x:v>
      </x:c>
      <x:c r="D16" s="10" t="str">
        <x:f aca="0">REPT("   ", B16*2) &amp; C16</x:f>
        <x:v>                        Security Fencing Controlled</x:v>
      </x:c>
      <x:c r="E16" s="10" t="s">
        <x:v>35</x:v>
      </x:c>
      <x:c r="F16" s="10" t="s">
        <x:v>623</x:v>
      </x:c>
      <x:c r="G16" s="109" t="n">
        <x:v>1</x:v>
      </x:c>
      <x:c r="H16" s="10"/>
      <x:c r="I16" s="10"/>
      <x:c r="J16" s="17"/>
      <x:c r="K16" s="17" t="n">
        <x:f aca="0">0.7*328</x:f>
        <x:v>229.6</x:v>
      </x:c>
      <x:c r="L16" s="18" t="s">
        <x:v>628</x:v>
      </x:c>
      <x:c r="M16" s="18" t="s">
        <x:v>712</x:v>
      </x:c>
      <x:c r="N16" s="19"/>
      <x:c r="O16" s="18"/>
      <x:c r="P16" s="16"/>
      <x:c r="Q16" s="20" t="n">
        <x:v>2025</x:v>
      </x:c>
      <x:c r="R16" s="18" t="s">
        <x:v>73</x:v>
      </x:c>
      <x:c r="S16" s="33" t="s">
        <x:v>87</x:v>
      </x:c>
      <x:c r="T16" s="21"/>
      <x:c r="U16" s="35"/>
      <x:c r="V16" s="23"/>
      <x:c r="W16" s="12" t="s">
        <x:v>43</x:v>
      </x:c>
      <x:c r="X16" s="24" t="n">
        <x:f aca="0">0.9*$J16</x:f>
        <x:v>0</x:v>
      </x:c>
      <x:c r="Y16" s="24" t="n">
        <x:f aca="0">1.5*J16</x:f>
        <x:v>0</x:v>
      </x:c>
      <x:c r="Z16" s="12" t="s">
        <x:v>44</x:v>
      </x:c>
      <x:c r="AA16" s="13" t="n">
        <x:f aca="0">0.9*K16</x:f>
        <x:v>206.64</x:v>
      </x:c>
      <x:c r="AB16" s="13" t="n">
        <x:f aca="0">1.3*K16</x:f>
        <x:v>298.48</x:v>
      </x:c>
      <x:c r="AC16" s="12" t="s">
        <x:v>44</x:v>
      </x:c>
      <x:c r="AD16" s="13" t="s">
        <x:v>45</x:v>
      </x:c>
      <x:c r="AE16" s="13" t="s">
        <x:v>46</x:v>
      </x:c>
      <x:c r="AF16" s="13" t="s">
        <x:v>47</x:v>
      </x:c>
      <x:c r="AG16" s="12" t="s">
        <x:v>48</x:v>
      </x:c>
    </x:row>
    <x:row r="17" ht="34.5" hidden="0" customHeight="1">
      <x:c r="A17" s="30" t="n">
        <x:v>211.93</x:v>
      </x:c>
      <x:c r="B17" s="9" t="n">
        <x:f aca="0">IF(ISNUMBER(A17),
    IF(AND(A17=INT(A17), MOD(A17, 10) = 0), 0,
        IF(AND(A17=INT(A17), LEN(A17)=2), 1,
            IF(AND(A17=INT(A17), LEN(A17)=3), 2,
                LEN(A17) - FIND(".", A17) + 2)
        )
    ),
"")</x:f>
        <x:v>4</x:v>
      </x:c>
      <x:c r="C17" s="15" t="s">
        <x:v>91</x:v>
      </x:c>
      <x:c r="D17" s="10" t="str">
        <x:f aca="0">REPT("   ", B17*2) &amp; C17</x:f>
        <x:v>                        Security Fencing Protected</x:v>
      </x:c>
      <x:c r="E17" s="10" t="s">
        <x:v>35</x:v>
      </x:c>
      <x:c r="F17" s="10" t="s">
        <x:v>623</x:v>
      </x:c>
      <x:c r="G17" s="109" t="n">
        <x:v>1</x:v>
      </x:c>
      <x:c r="H17" s="10"/>
      <x:c r="I17" s="10"/>
      <x:c r="J17" s="17"/>
      <x:c r="K17" s="17" t="n">
        <x:f aca="0">0.7*15746</x:f>
        <x:v>11022.199999999999</x:v>
      </x:c>
      <x:c r="L17" s="18" t="s">
        <x:v>628</x:v>
      </x:c>
      <x:c r="M17" s="18" t="s">
        <x:v>713</x:v>
      </x:c>
      <x:c r="N17" s="19"/>
      <x:c r="O17" s="18"/>
      <x:c r="P17" s="16"/>
      <x:c r="Q17" s="20" t="n">
        <x:v>2025</x:v>
      </x:c>
      <x:c r="R17" s="18" t="s">
        <x:v>73</x:v>
      </x:c>
      <x:c r="S17" s="33" t="s">
        <x:v>87</x:v>
      </x:c>
      <x:c r="T17" s="21"/>
      <x:c r="U17" s="35"/>
      <x:c r="V17" s="23"/>
      <x:c r="W17" s="12" t="s">
        <x:v>43</x:v>
      </x:c>
      <x:c r="X17" s="24" t="n">
        <x:f aca="0">0.9*$J17</x:f>
        <x:v>0</x:v>
      </x:c>
      <x:c r="Y17" s="24" t="n">
        <x:f aca="0">1.5*J17</x:f>
        <x:v>0</x:v>
      </x:c>
      <x:c r="Z17" s="12" t="s">
        <x:v>44</x:v>
      </x:c>
      <x:c r="AA17" s="13" t="n">
        <x:f aca="0">0.9*K17</x:f>
        <x:v>9919.98</x:v>
      </x:c>
      <x:c r="AB17" s="13" t="n">
        <x:f aca="0">1.3*K17</x:f>
        <x:v>14328.859999999999</x:v>
      </x:c>
      <x:c r="AC17" s="12" t="s">
        <x:v>44</x:v>
      </x:c>
      <x:c r="AD17" s="13" t="s">
        <x:v>45</x:v>
      </x:c>
      <x:c r="AE17" s="13" t="s">
        <x:v>46</x:v>
      </x:c>
      <x:c r="AF17" s="13" t="s">
        <x:v>47</x:v>
      </x:c>
      <x:c r="AG17" s="12" t="s">
        <x:v>48</x:v>
      </x:c>
    </x:row>
    <x:row r="18" ht="13.5" hidden="0" customHeight="1">
      <x:c r="A18" s="30" t="n">
        <x:v>214</x:v>
      </x:c>
      <x:c r="B18" s="9" t="n">
        <x:f aca="0">IF(ISNUMBER(A18),
    IF(AND(A18=INT(A18), MOD(A18, 10) = 0), 0,
        IF(AND(A18=INT(A18), LEN(A18)=2), 1,
            IF(AND(A18=INT(A18), LEN(A18)=3), 2,
                LEN(A18) - FIND(".", A18) + 2)
        )
    ),
"")</x:f>
        <x:v>2</x:v>
      </x:c>
      <x:c r="C18" s="15" t="s">
        <x:v>631</x:v>
      </x:c>
      <x:c r="D18" s="10" t="str">
        <x:f aca="0">REPT("   ", B18*2) &amp; C18</x:f>
        <x:v>            Servicing Facilities Structures</x:v>
      </x:c>
      <x:c r="E18" s="10"/>
      <x:c r="F18" s="10"/>
      <x:c r="G18" s="109"/>
      <x:c r="H18" s="10"/>
      <x:c r="I18" s="10"/>
      <x:c r="J18" s="17"/>
      <x:c r="K18" s="17"/>
      <x:c r="L18" s="19"/>
      <x:c r="M18" s="29"/>
      <x:c r="N18" s="19"/>
      <x:c r="O18" s="19"/>
      <x:c r="P18" s="16"/>
      <x:c r="Q18" s="16"/>
      <x:c r="R18" s="19"/>
      <x:c r="S18" s="29"/>
      <x:c r="T18" s="21"/>
      <x:c r="U18" s="22"/>
      <x:c r="V18" s="23"/>
      <x:c r="W18" s="12"/>
      <x:c r="X18" s="24"/>
      <x:c r="Y18" s="24"/>
      <x:c r="Z18" s="12"/>
      <x:c r="AA18" s="13"/>
      <x:c r="AB18" s="13"/>
      <x:c r="AC18" s="12"/>
      <x:c r="AD18" s="13"/>
      <x:c r="AE18" s="13"/>
      <x:c r="AF18" s="13"/>
      <x:c r="AG18" s="12"/>
    </x:row>
    <x:row r="19" ht="13.5" hidden="0" customHeight="1">
      <x:c r="A19" s="30" t="n">
        <x:v>214.1</x:v>
      </x:c>
      <x:c r="B19" s="9" t="n">
        <x:f aca="0">IF(ISNUMBER(A19),
    IF(AND(A19=INT(A19), MOD(A19, 10) = 0), 0,
        IF(AND(A19=INT(A19), LEN(A19)=2), 1,
            IF(AND(A19=INT(A19), LEN(A19)=3), 2,
                LEN(A19) - FIND(".", A19) + 2)
        )
    ),
"")</x:f>
        <x:v>3</x:v>
      </x:c>
      <x:c r="C19" s="15" t="s">
        <x:v>714</x:v>
      </x:c>
      <x:c r="D19" s="10" t="str">
        <x:f aca="0">REPT("   ", B19*2) &amp; C19</x:f>
        <x:v>                  Servicing Building</x:v>
      </x:c>
      <x:c r="E19" s="10"/>
      <x:c r="F19" s="10"/>
      <x:c r="G19" s="109"/>
      <x:c r="H19" s="10"/>
      <x:c r="I19" s="10"/>
      <x:c r="J19" s="171"/>
      <x:c r="K19" s="171"/>
      <x:c r="L19" s="19"/>
      <x:c r="M19" s="29"/>
      <x:c r="N19" s="19"/>
      <x:c r="O19" s="19"/>
      <x:c r="P19" s="16"/>
      <x:c r="Q19" s="16"/>
      <x:c r="R19" s="19"/>
      <x:c r="S19" s="29"/>
      <x:c r="T19" s="21"/>
      <x:c r="U19" s="22"/>
      <x:c r="V19" s="23"/>
      <x:c r="W19" s="12"/>
      <x:c r="X19" s="24"/>
      <x:c r="Y19" s="24"/>
      <x:c r="Z19" s="12"/>
      <x:c r="AA19" s="13"/>
      <x:c r="AB19" s="13"/>
      <x:c r="AC19" s="12"/>
      <x:c r="AD19" s="13"/>
      <x:c r="AE19" s="13"/>
      <x:c r="AF19" s="13"/>
      <x:c r="AG19" s="12"/>
    </x:row>
    <x:row r="20" ht="45.75" hidden="0" customHeight="1">
      <x:c r="A20" s="131" t="n">
        <x:v>214.11</x:v>
      </x:c>
      <x:c r="B20" s="132" t="n">
        <x:f aca="0">IF(ISNUMBER(A20),
    IF(AND(A20=INT(A20), MOD(A20, 10) = 0), 0,
        IF(AND(A20=INT(A20), LEN(A20)=2), 1,
            IF(AND(A20=INT(A20), LEN(A20)=3), 2,
                LEN(A20) - FIND(".", A20) + 2)
        )
    ),
"")</x:f>
        <x:v>4</x:v>
      </x:c>
      <x:c r="C20" s="133" t="s">
        <x:v>715</x:v>
      </x:c>
      <x:c r="D20" s="134" t="str">
        <x:f aca="0">REPT("   ", B20*2) &amp; C20</x:f>
        <x:v>                        Servicing Hot Cell Building Structure</x:v>
      </x:c>
      <x:c r="E20" s="134" t="s">
        <x:v>35</x:v>
      </x:c>
      <x:c r="F20" s="134" t="s">
        <x:v>623</x:v>
      </x:c>
      <x:c r="G20" s="136" t="n">
        <x:v>1</x:v>
      </x:c>
      <x:c r="H20" s="134"/>
      <x:c r="I20" s="134"/>
      <x:c r="J20" s="17"/>
      <x:c r="K20" s="137" t="n">
        <x:f aca="0">3476*3.2808^2</x:f>
        <x:v>37414.442672640005</x:v>
      </x:c>
      <x:c r="L20" s="125" t="s">
        <x:v>102</x:v>
      </x:c>
      <x:c r="M20" s="138" t="s">
        <x:v>716</x:v>
      </x:c>
      <x:c r="N20" s="125" t="n">
        <x:f aca="0">338988/(3.2808^2)</x:f>
        <x:v>31493.78164763282</x:v>
      </x:c>
      <x:c r="O20" s="125" t="s">
        <x:v>104</x:v>
      </x:c>
      <x:c r="P20" s="172" t="n">
        <x:v>0.951385</x:v>
      </x:c>
      <x:c r="Q20" s="20" t="n">
        <x:v>2025</x:v>
      </x:c>
      <x:c r="R20" s="19" t="s">
        <x:v>96</x:v>
      </x:c>
      <x:c r="S20" s="127" t="s">
        <x:v>717</x:v>
      </x:c>
      <x:c r="T20" s="149"/>
      <x:c r="U20" s="150"/>
      <x:c r="V20" s="128"/>
      <x:c r="W20" s="12" t="s">
        <x:v>43</x:v>
      </x:c>
      <x:c r="X20" s="24" t="n">
        <x:f aca="0">0.8*$I20</x:f>
        <x:v>0</x:v>
      </x:c>
      <x:c r="Y20" s="24" t="n">
        <x:f aca="0">2*J20</x:f>
        <x:v>0</x:v>
      </x:c>
      <x:c r="Z20" s="12" t="s">
        <x:v>44</x:v>
      </x:c>
      <x:c r="AA20" s="13" t="n">
        <x:f aca="0">0.8*K20</x:f>
        <x:v>29931.554138112006</x:v>
      </x:c>
      <x:c r="AB20" s="13" t="n">
        <x:f aca="0">2*K20</x:f>
        <x:v>74828.88534528001</x:v>
      </x:c>
      <x:c r="AC20" s="12" t="s">
        <x:v>44</x:v>
      </x:c>
      <x:c r="AD20" s="13" t="s">
        <x:v>45</x:v>
      </x:c>
      <x:c r="AE20" s="13" t="s">
        <x:v>46</x:v>
      </x:c>
      <x:c r="AF20" s="13" t="s">
        <x:v>47</x:v>
      </x:c>
      <x:c r="AG20" s="12" t="s">
        <x:v>48</x:v>
      </x:c>
    </x:row>
    <x:row r="21" ht="13.5" hidden="0" customHeight="1">
      <x:c r="A21" s="30" t="n">
        <x:v>214.2</x:v>
      </x:c>
      <x:c r="B21" s="9" t="n">
        <x:f aca="0">IF(ISNUMBER(A21),
    IF(AND(A21=INT(A21), MOD(A21, 10) = 0), 0,
        IF(AND(A21=INT(A21), LEN(A21)=2), 1,
            IF(AND(A21=INT(A21), LEN(A21)=3), 2,
                LEN(A21) - FIND(".", A21) + 2)
        )
    ),
"")</x:f>
        <x:v>3</x:v>
      </x:c>
      <x:c r="C21" s="15" t="s">
        <x:v>718</x:v>
      </x:c>
      <x:c r="D21" s="10"/>
      <x:c r="E21" s="10"/>
      <x:c r="F21" s="10"/>
      <x:c r="G21" s="109"/>
      <x:c r="H21" s="10"/>
      <x:c r="I21" s="10"/>
      <x:c r="J21" s="171"/>
      <x:c r="K21" s="17"/>
      <x:c r="L21" s="19"/>
      <x:c r="M21" s="29"/>
      <x:c r="N21" s="19"/>
      <x:c r="O21" s="19"/>
      <x:c r="P21" s="16"/>
      <x:c r="Q21" s="16"/>
      <x:c r="R21" s="19"/>
      <x:c r="S21" s="29"/>
      <x:c r="T21" s="21"/>
      <x:c r="U21" s="22"/>
      <x:c r="V21" s="23"/>
      <x:c r="W21" s="12"/>
      <x:c r="X21" s="24"/>
      <x:c r="Y21" s="24"/>
      <x:c r="Z21" s="12"/>
      <x:c r="AA21" s="13"/>
      <x:c r="AB21" s="13"/>
      <x:c r="AC21" s="12"/>
      <x:c r="AD21" s="13"/>
      <x:c r="AE21" s="13"/>
      <x:c r="AF21" s="13"/>
      <x:c r="AG21" s="12"/>
    </x:row>
    <x:row r="22" ht="45.75" hidden="0" customHeight="1">
      <x:c r="A22" s="131" t="n">
        <x:v>214.21</x:v>
      </x:c>
      <x:c r="B22" s="132" t="n">
        <x:f aca="0">IF(ISNUMBER(A22),
    IF(AND(A22=INT(A22), MOD(A22, 10) = 0), 0,
        IF(AND(A22=INT(A22), LEN(A22)=2), 1,
            IF(AND(A22=INT(A22), LEN(A22)=3), 2,
                LEN(A22) - FIND(".", A22) + 2)
        )
    ),
"")</x:f>
        <x:v>4</x:v>
      </x:c>
      <x:c r="C22" s="133" t="s">
        <x:v>719</x:v>
      </x:c>
      <x:c r="D22" s="134" t="str">
        <x:f aca="0">REPT("   ", B22*2) &amp; C22</x:f>
        <x:v>                        Helium Purification and Storage Building Structure</x:v>
      </x:c>
      <x:c r="E22" s="134" t="s">
        <x:v>35</x:v>
      </x:c>
      <x:c r="F22" s="134" t="s">
        <x:v>623</x:v>
      </x:c>
      <x:c r="G22" s="136" t="n">
        <x:v>1</x:v>
      </x:c>
      <x:c r="H22" s="134"/>
      <x:c r="I22" s="134"/>
      <x:c r="J22" s="137"/>
      <x:c r="K22" s="137" t="n">
        <x:f aca="0">3031*(3.2808^2)</x:f>
        <x:v>32624.619027840003</x:v>
      </x:c>
      <x:c r="L22" s="125" t="s">
        <x:v>102</x:v>
      </x:c>
      <x:c r="M22" s="138" t="s">
        <x:v>720</x:v>
      </x:c>
      <x:c r="N22" s="125" t="n">
        <x:v>1</x:v>
      </x:c>
      <x:c r="O22" s="125" t="s">
        <x:v>104</x:v>
      </x:c>
      <x:c r="P22" s="126" t="n">
        <x:v>1</x:v>
      </x:c>
      <x:c r="Q22" s="20" t="n">
        <x:v>2025</x:v>
      </x:c>
      <x:c r="R22" s="19" t="s">
        <x:v>96</x:v>
      </x:c>
      <x:c r="S22" s="127" t="s">
        <x:v>721</x:v>
      </x:c>
      <x:c r="T22" s="149"/>
      <x:c r="U22" s="150"/>
      <x:c r="V22" s="128"/>
      <x:c r="W22" s="128" t="s">
        <x:v>43</x:v>
      </x:c>
      <x:c r="X22" s="129" t="n">
        <x:f aca="0">0.9*$I22</x:f>
        <x:v>0</x:v>
      </x:c>
      <x:c r="Y22" s="129" t="n">
        <x:f aca="0">1.5*J22</x:f>
        <x:v>0</x:v>
      </x:c>
      <x:c r="Z22" s="128" t="s">
        <x:v>44</x:v>
      </x:c>
      <x:c r="AA22" s="130" t="n">
        <x:f aca="0">0.9*K22</x:f>
        <x:v>29362.157125056005</x:v>
      </x:c>
      <x:c r="AB22" s="130" t="n">
        <x:f aca="0">1.3*K22</x:f>
        <x:v>42412.00473619201</x:v>
      </x:c>
      <x:c r="AC22" s="128" t="s">
        <x:v>44</x:v>
      </x:c>
      <x:c r="AD22" s="130" t="s">
        <x:v>45</x:v>
      </x:c>
      <x:c r="AE22" s="130" t="s">
        <x:v>46</x:v>
      </x:c>
      <x:c r="AF22" s="130" t="s">
        <x:v>47</x:v>
      </x:c>
      <x:c r="AG22" s="128" t="s">
        <x:v>48</x:v>
      </x:c>
    </x:row>
    <x:row r="23" ht="13.5" hidden="0" customHeight="1">
      <x:c r="A23" s="30" t="n">
        <x:v>214.3</x:v>
      </x:c>
      <x:c r="B23" s="9" t="n">
        <x:f aca="0">IF(ISNUMBER(A23),
    IF(AND(A23=INT(A23), MOD(A23, 10) = 0), 0,
        IF(AND(A23=INT(A23), LEN(A23)=2), 1,
            IF(AND(A23=INT(A23), LEN(A23)=3), 2,
                LEN(A23) - FIND(".", A23) + 2)
        )
    ),
"")</x:f>
        <x:v>3</x:v>
      </x:c>
      <x:c r="C23" s="15" t="s">
        <x:v>632</x:v>
      </x:c>
      <x:c r="D23" s="10" t="str">
        <x:f aca="0">REPT("   ", B23*2) &amp; C23</x:f>
        <x:v>                  Control Buidlings</x:v>
      </x:c>
      <x:c r="E23" s="10"/>
      <x:c r="F23" s="10"/>
      <x:c r="G23" s="109"/>
      <x:c r="H23" s="10"/>
      <x:c r="I23" s="10"/>
      <x:c r="J23" s="124"/>
      <x:c r="K23" s="17"/>
      <x:c r="L23" s="18"/>
      <x:c r="M23" s="15"/>
      <x:c r="N23" s="19"/>
      <x:c r="O23" s="18"/>
      <x:c r="P23" s="16"/>
      <x:c r="Q23" s="20"/>
      <x:c r="R23" s="18"/>
      <x:c r="S23" s="21"/>
      <x:c r="T23" s="21"/>
      <x:c r="U23" s="22"/>
      <x:c r="V23" s="23"/>
      <x:c r="W23" s="12"/>
      <x:c r="X23" s="24"/>
      <x:c r="Y23" s="24"/>
      <x:c r="Z23" s="12"/>
      <x:c r="AA23" s="13"/>
      <x:c r="AB23" s="13"/>
      <x:c r="AC23" s="12"/>
      <x:c r="AD23" s="13"/>
      <x:c r="AE23" s="13"/>
      <x:c r="AF23" s="13"/>
      <x:c r="AG23" s="12"/>
    </x:row>
    <x:row r="24" ht="57" hidden="0" customHeight="1">
      <x:c r="A24" s="30" t="n">
        <x:v>214.31</x:v>
      </x:c>
      <x:c r="B24" s="9" t="n">
        <x:v>4</x:v>
      </x:c>
      <x:c r="C24" s="15" t="s">
        <x:v>722</x:v>
      </x:c>
      <x:c r="D24" s="10" t="str">
        <x:f aca="0">REPT("   ", B24*2) &amp; C24</x:f>
        <x:v>                        Local Control Building Structure</x:v>
      </x:c>
      <x:c r="E24" s="10" t="s">
        <x:v>35</x:v>
      </x:c>
      <x:c r="F24" s="10" t="s">
        <x:v>623</x:v>
      </x:c>
      <x:c r="G24" s="109" t="n">
        <x:v>1</x:v>
      </x:c>
      <x:c r="H24" s="10"/>
      <x:c r="I24" s="10"/>
      <x:c r="J24" s="124"/>
      <x:c r="K24" s="17" t="n">
        <x:f aca="0">0.7*2653*(3.2808^2)</x:f>
        <x:v>19989.171889344</x:v>
      </x:c>
      <x:c r="L24" s="18" t="s">
        <x:v>102</x:v>
      </x:c>
      <x:c r="M24" s="15" t="s">
        <x:v>723</x:v>
      </x:c>
      <x:c r="N24" s="125" t="n">
        <x:v>1</x:v>
      </x:c>
      <x:c r="O24" s="125" t="s">
        <x:v>104</x:v>
      </x:c>
      <x:c r="P24" s="126" t="n">
        <x:v>1</x:v>
      </x:c>
      <x:c r="Q24" s="20" t="n">
        <x:v>2025</x:v>
      </x:c>
      <x:c r="R24" s="19" t="s">
        <x:v>96</x:v>
      </x:c>
      <x:c r="S24" s="127" t="s">
        <x:v>635</x:v>
      </x:c>
      <x:c r="T24" s="21"/>
      <x:c r="U24" s="22"/>
      <x:c r="V24" s="23"/>
      <x:c r="W24" s="128" t="s">
        <x:v>43</x:v>
      </x:c>
      <x:c r="X24" s="129" t="n">
        <x:f aca="0">0.9*$I24</x:f>
        <x:v>0</x:v>
      </x:c>
      <x:c r="Y24" s="129" t="n">
        <x:f aca="0">1.5*J24</x:f>
        <x:v>0</x:v>
      </x:c>
      <x:c r="Z24" s="128" t="s">
        <x:v>44</x:v>
      </x:c>
      <x:c r="AA24" s="130" t="n">
        <x:f aca="0">0.9*K24</x:f>
        <x:v>17990.2547004096</x:v>
      </x:c>
      <x:c r="AB24" s="130" t="n">
        <x:f aca="0">1.3*K24</x:f>
        <x:v>25985.923456147204</x:v>
      </x:c>
      <x:c r="AC24" s="128" t="s">
        <x:v>44</x:v>
      </x:c>
      <x:c r="AD24" s="130" t="s">
        <x:v>45</x:v>
      </x:c>
      <x:c r="AE24" s="130" t="s">
        <x:v>46</x:v>
      </x:c>
      <x:c r="AF24" s="130" t="s">
        <x:v>47</x:v>
      </x:c>
      <x:c r="AG24" s="128" t="s">
        <x:v>48</x:v>
      </x:c>
    </x:row>
    <x:row r="25" ht="57" hidden="0" customHeight="1">
      <x:c r="A25" s="30" t="n">
        <x:v>214.32</x:v>
      </x:c>
      <x:c r="B25" s="9" t="n">
        <x:v>4</x:v>
      </x:c>
      <x:c r="C25" s="15" t="s">
        <x:v>724</x:v>
      </x:c>
      <x:c r="D25" s="10" t="str">
        <x:f aca="0">REPT("   ", B25*2) &amp; C25</x:f>
        <x:v>                        Remote Control Center Structure</x:v>
      </x:c>
      <x:c r="E25" s="10" t="s">
        <x:v>35</x:v>
      </x:c>
      <x:c r="F25" s="10" t="s">
        <x:v>623</x:v>
      </x:c>
      <x:c r="G25" s="109" t="n">
        <x:v>1</x:v>
      </x:c>
      <x:c r="H25" s="10"/>
      <x:c r="I25" s="10"/>
      <x:c r="J25" s="124"/>
      <x:c r="K25" s="17" t="n">
        <x:f aca="0">0.7*2307*(3.2808^2)</x:f>
        <x:v>17382.216188736</x:v>
      </x:c>
      <x:c r="L25" s="18" t="s">
        <x:v>102</x:v>
      </x:c>
      <x:c r="M25" s="15" t="s">
        <x:v>725</x:v>
      </x:c>
      <x:c r="N25" s="125" t="n">
        <x:v>1</x:v>
      </x:c>
      <x:c r="O25" s="125" t="s">
        <x:v>104</x:v>
      </x:c>
      <x:c r="P25" s="126" t="n">
        <x:v>1</x:v>
      </x:c>
      <x:c r="Q25" s="20" t="n">
        <x:v>2025</x:v>
      </x:c>
      <x:c r="R25" s="19" t="s">
        <x:v>96</x:v>
      </x:c>
      <x:c r="S25" s="127" t="s">
        <x:v>635</x:v>
      </x:c>
      <x:c r="T25" s="21"/>
      <x:c r="U25" s="22"/>
      <x:c r="V25" s="23"/>
      <x:c r="W25" s="128" t="s">
        <x:v>43</x:v>
      </x:c>
      <x:c r="X25" s="129" t="n">
        <x:f aca="0">0.9*$I25</x:f>
        <x:v>0</x:v>
      </x:c>
      <x:c r="Y25" s="129" t="n">
        <x:f aca="0">1.5*J25</x:f>
        <x:v>0</x:v>
      </x:c>
      <x:c r="Z25" s="128" t="s">
        <x:v>44</x:v>
      </x:c>
      <x:c r="AA25" s="130" t="n">
        <x:f aca="0">0.9*K25</x:f>
        <x:v>15643.994569862401</x:v>
      </x:c>
      <x:c r="AB25" s="130" t="n">
        <x:f aca="0">1.3*K25</x:f>
        <x:v>22596.881045356804</x:v>
      </x:c>
      <x:c r="AC25" s="128" t="s">
        <x:v>44</x:v>
      </x:c>
      <x:c r="AD25" s="130" t="n">
        <x:v>0.1</x:v>
      </x:c>
      <x:c r="AE25" s="130" t="s">
        <x:v>46</x:v>
      </x:c>
      <x:c r="AF25" s="130" t="s">
        <x:v>47</x:v>
      </x:c>
      <x:c r="AG25" s="128" t="s">
        <x:v>48</x:v>
      </x:c>
    </x:row>
    <x:row r="26" ht="13.5" hidden="0" customHeight="1">
      <x:c r="A26" s="30" t="n">
        <x:v>214.4</x:v>
      </x:c>
      <x:c r="B26" s="9" t="n">
        <x:f aca="0">IF(ISNUMBER(A26),
    IF(AND(A26=INT(A26), MOD(A26, 10) = 0), 0,
        IF(AND(A26=INT(A26), LEN(A26)=2), 1,
            IF(AND(A26=INT(A26), LEN(A26)=3), 2,
                LEN(A26) - FIND(".", A26) + 2)
        )
    ),
"")</x:f>
        <x:v>3</x:v>
      </x:c>
      <x:c r="C26" s="15" t="s">
        <x:v>726</x:v>
      </x:c>
      <x:c r="D26" s="10" t="str">
        <x:f aca="0">REPT("   ", B26*2) &amp; C26</x:f>
        <x:v>                  Radioactive Waste Processing Building</x:v>
      </x:c>
      <x:c r="E26" s="10"/>
      <x:c r="F26" s="10"/>
      <x:c r="G26" s="109"/>
      <x:c r="H26" s="10"/>
      <x:c r="I26" s="10"/>
      <x:c r="J26" s="124"/>
      <x:c r="K26" s="17"/>
      <x:c r="L26" s="19"/>
      <x:c r="M26" s="29"/>
      <x:c r="N26" s="19"/>
      <x:c r="O26" s="19"/>
      <x:c r="P26" s="16"/>
      <x:c r="Q26" s="16"/>
      <x:c r="R26" s="19"/>
      <x:c r="S26" s="29"/>
      <x:c r="T26" s="21"/>
      <x:c r="U26" s="22"/>
      <x:c r="V26" s="23"/>
      <x:c r="W26" s="12"/>
      <x:c r="X26" s="24"/>
      <x:c r="Y26" s="24"/>
      <x:c r="Z26" s="12"/>
      <x:c r="AA26" s="13"/>
      <x:c r="AB26" s="13"/>
      <x:c r="AC26" s="12"/>
      <x:c r="AD26" s="13"/>
      <x:c r="AE26" s="13"/>
      <x:c r="AF26" s="13"/>
      <x:c r="AG26" s="12"/>
    </x:row>
    <x:row r="27" ht="45.75" hidden="0" customHeight="1">
      <x:c r="A27" s="30" t="n">
        <x:v>214.41</x:v>
      </x:c>
      <x:c r="B27" s="9" t="n">
        <x:f aca="0">IF(ISNUMBER(A27),
    IF(AND(A27=INT(A27), MOD(A27, 10) = 0), 0,
        IF(AND(A27=INT(A27), LEN(A27)=2), 1,
            IF(AND(A27=INT(A27), LEN(A27)=3), 2,
                LEN(A27) - FIND(".", A27) + 2)
        )
    ),
"")</x:f>
        <x:v>4</x:v>
      </x:c>
      <x:c r="C27" s="15" t="s">
        <x:v>727</x:v>
      </x:c>
      <x:c r="D27" s="10" t="str">
        <x:f aca="0">REPT("   ", B27*2) &amp; C27</x:f>
        <x:v>                        Radioactive Waste Processing Building Structure</x:v>
      </x:c>
      <x:c r="E27" s="134" t="s">
        <x:v>35</x:v>
      </x:c>
      <x:c r="F27" s="134" t="s">
        <x:v>623</x:v>
      </x:c>
      <x:c r="G27" s="136" t="n">
        <x:v>1</x:v>
      </x:c>
      <x:c r="H27" s="134"/>
      <x:c r="I27" s="134"/>
      <x:c r="J27" s="17"/>
      <x:c r="K27" s="137" t="n">
        <x:f aca="0">4354*(3.2808^2)</x:f>
        <x:v>46864.92617856</x:v>
      </x:c>
      <x:c r="L27" s="125" t="s">
        <x:v>102</x:v>
      </x:c>
      <x:c r="M27" s="138" t="s">
        <x:v>728</x:v>
      </x:c>
      <x:c r="N27" s="125" t="n">
        <x:v>1</x:v>
      </x:c>
      <x:c r="O27" s="125" t="s">
        <x:v>104</x:v>
      </x:c>
      <x:c r="P27" s="126" t="n">
        <x:v>1</x:v>
      </x:c>
      <x:c r="Q27" s="20" t="n">
        <x:v>2025</x:v>
      </x:c>
      <x:c r="R27" s="19" t="s">
        <x:v>96</x:v>
      </x:c>
      <x:c r="S27" s="127" t="s">
        <x:v>721</x:v>
      </x:c>
      <x:c r="T27" s="21"/>
      <x:c r="U27" s="22"/>
      <x:c r="V27" s="23"/>
      <x:c r="W27" s="128" t="s">
        <x:v>43</x:v>
      </x:c>
      <x:c r="X27" s="129" t="n">
        <x:f aca="0">0.9*$I27</x:f>
        <x:v>0</x:v>
      </x:c>
      <x:c r="Y27" s="129" t="n">
        <x:f aca="0">1.5*J27</x:f>
        <x:v>0</x:v>
      </x:c>
      <x:c r="Z27" s="128" t="s">
        <x:v>44</x:v>
      </x:c>
      <x:c r="AA27" s="130" t="n">
        <x:f aca="0">0.9*K27</x:f>
        <x:v>42178.433560704005</x:v>
      </x:c>
      <x:c r="AB27" s="130" t="n">
        <x:f aca="0">1.3*K27</x:f>
        <x:v>60924.404032128004</x:v>
      </x:c>
      <x:c r="AC27" s="128" t="s">
        <x:v>44</x:v>
      </x:c>
      <x:c r="AD27" s="130" t="n">
        <x:v>0.1</x:v>
      </x:c>
      <x:c r="AE27" s="130" t="s">
        <x:v>46</x:v>
      </x:c>
      <x:c r="AF27" s="130" t="s">
        <x:v>47</x:v>
      </x:c>
      <x:c r="AG27" s="128" t="s">
        <x:v>48</x:v>
      </x:c>
    </x:row>
    <x:row r="28" ht="57" hidden="0" customHeight="1">
      <x:c r="A28" s="30" t="n">
        <x:v>214.6</x:v>
      </x:c>
      <x:c r="B28" s="9" t="n">
        <x:f aca="0">IF(ISNUMBER(A28),
    IF(AND(A28=INT(A28), MOD(A28, 10) = 0), 0,
        IF(AND(A28=INT(A28), LEN(A28)=2), 1,
            IF(AND(A28=INT(A28), LEN(A28)=3), 2,
                LEN(A28) - FIND(".", A28) + 2)
        )
    ),
"")</x:f>
        <x:v>3</x:v>
      </x:c>
      <x:c r="C28" s="15" t="s">
        <x:v>729</x:v>
      </x:c>
      <x:c r="D28" s="10" t="str">
        <x:f aca="0">REPT("   ", B28*2) &amp; C28</x:f>
        <x:v>                  Used Fuel Storage Pads</x:v>
      </x:c>
      <x:c r="E28" s="10" t="s">
        <x:v>35</x:v>
      </x:c>
      <x:c r="F28" s="10"/>
      <x:c r="G28" s="109"/>
      <x:c r="H28" s="10"/>
      <x:c r="I28" s="10"/>
      <x:c r="J28" s="124"/>
      <x:c r="K28" s="17" t="n">
        <x:v>6171250</x:v>
      </x:c>
      <x:c r="L28" s="18" t="s">
        <x:v>730</x:v>
      </x:c>
      <x:c r="M28" s="138" t="s">
        <x:v>731</x:v>
      </x:c>
      <x:c r="N28" s="19" t="n">
        <x:v>1</x:v>
      </x:c>
      <x:c r="O28" s="18" t="s">
        <x:v>732</x:v>
      </x:c>
      <x:c r="P28" s="16" t="n">
        <x:v>1</x:v>
      </x:c>
      <x:c r="Q28" s="20" t="n">
        <x:v>2009</x:v>
      </x:c>
      <x:c r="R28" s="18" t="s">
        <x:v>96</x:v>
      </x:c>
      <x:c r="S28" s="21" t="s">
        <x:v>733</x:v>
      </x:c>
      <x:c r="T28" s="21"/>
      <x:c r="U28" s="35" t="s">
        <x:v>734</x:v>
      </x:c>
      <x:c r="V28" s="23"/>
      <x:c r="W28" s="128" t="s">
        <x:v>43</x:v>
      </x:c>
      <x:c r="X28" s="129" t="n">
        <x:f aca="0">0.9*$I28</x:f>
        <x:v>0</x:v>
      </x:c>
      <x:c r="Y28" s="129" t="n">
        <x:f aca="0">1.5*J28</x:f>
        <x:v>0</x:v>
      </x:c>
      <x:c r="Z28" s="128" t="s">
        <x:v>44</x:v>
      </x:c>
      <x:c r="AA28" s="130" t="n">
        <x:f aca="0">0.9*K28</x:f>
        <x:v>5554125</x:v>
      </x:c>
      <x:c r="AB28" s="130" t="n">
        <x:f aca="0">1.3*K28</x:f>
        <x:v>8022625</x:v>
      </x:c>
      <x:c r="AC28" s="128" t="s">
        <x:v>44</x:v>
      </x:c>
      <x:c r="AD28" s="130" t="n">
        <x:v>0.1</x:v>
      </x:c>
      <x:c r="AE28" s="130" t="s">
        <x:v>46</x:v>
      </x:c>
      <x:c r="AF28" s="130" t="s">
        <x:v>47</x:v>
      </x:c>
      <x:c r="AG28" s="128" t="s">
        <x:v>48</x:v>
      </x:c>
    </x:row>
    <x:row r="29" ht="45.75" hidden="0" customHeight="1">
      <x:c r="A29" s="30" t="n">
        <x:v>214.7</x:v>
      </x:c>
      <x:c r="B29" s="9" t="n">
        <x:f aca="0">IF(ISNUMBER(A29),
    IF(AND(A29=INT(A29), MOD(A29, 10) = 0), 0,
        IF(AND(A29=INT(A29), LEN(A29)=2), 1,
            IF(AND(A29=INT(A29), LEN(A29)=3), 2,
                LEN(A29) - FIND(".", A29) + 2)
        )
    ),
"")</x:f>
        <x:v>3</x:v>
      </x:c>
      <x:c r="C29" s="15" t="s">
        <x:v>735</x:v>
      </x:c>
      <x:c r="D29" s="10" t="str">
        <x:f aca="0">REPT("   ", B29*2) &amp; C29</x:f>
        <x:v>                  Rad Waste Storage Warehouses</x:v>
      </x:c>
      <x:c r="E29" s="10" t="s">
        <x:v>35</x:v>
      </x:c>
      <x:c r="F29" s="10"/>
      <x:c r="G29" s="109"/>
      <x:c r="H29" s="10"/>
      <x:c r="I29" s="10"/>
      <x:c r="J29" s="124"/>
      <x:c r="K29" s="17" t="n">
        <x:f aca="0">1171*(3.2808^2)</x:f>
        <x:v>12604.232557440002</x:v>
      </x:c>
      <x:c r="L29" s="18" t="s">
        <x:v>102</x:v>
      </x:c>
      <x:c r="M29" s="138" t="s">
        <x:v>736</x:v>
      </x:c>
      <x:c r="N29" s="19" t="n">
        <x:v>1</x:v>
      </x:c>
      <x:c r="O29" s="18" t="s">
        <x:v>104</x:v>
      </x:c>
      <x:c r="P29" s="16" t="n">
        <x:v>1</x:v>
      </x:c>
      <x:c r="Q29" s="20" t="n">
        <x:v>2025</x:v>
      </x:c>
      <x:c r="R29" s="18" t="s">
        <x:v>96</x:v>
      </x:c>
      <x:c r="S29" s="127" t="s">
        <x:v>721</x:v>
      </x:c>
      <x:c r="T29" s="21"/>
      <x:c r="U29" s="22"/>
      <x:c r="V29" s="23"/>
      <x:c r="W29" s="128" t="s">
        <x:v>43</x:v>
      </x:c>
      <x:c r="X29" s="129" t="n">
        <x:f aca="0">0.9*$I29</x:f>
        <x:v>0</x:v>
      </x:c>
      <x:c r="Y29" s="129" t="n">
        <x:f aca="0">1.5*J29</x:f>
        <x:v>0</x:v>
      </x:c>
      <x:c r="Z29" s="128" t="s">
        <x:v>44</x:v>
      </x:c>
      <x:c r="AA29" s="130" t="n">
        <x:f aca="0">0.9*K29</x:f>
        <x:v>11343.809301696003</x:v>
      </x:c>
      <x:c r="AB29" s="130" t="n">
        <x:f aca="0">1.3*K29</x:f>
        <x:v>16385.502324672005</x:v>
      </x:c>
      <x:c r="AC29" s="128" t="s">
        <x:v>44</x:v>
      </x:c>
      <x:c r="AD29" s="130" t="n">
        <x:v>0.1</x:v>
      </x:c>
      <x:c r="AE29" s="130" t="s">
        <x:v>46</x:v>
      </x:c>
      <x:c r="AF29" s="130" t="s">
        <x:v>47</x:v>
      </x:c>
      <x:c r="AG29" s="128" t="s">
        <x:v>48</x:v>
      </x:c>
    </x:row>
    <x:row r="30" ht="13.5" hidden="0" customHeight="1">
      <x:c r="A30" s="30" t="n">
        <x:v>215</x:v>
      </x:c>
      <x:c r="B30" s="9" t="n">
        <x:f aca="0">IF(ISNUMBER(A30),
    IF(AND(A30=INT(A30), MOD(A30, 10) = 0), 0,
        IF(AND(A30=INT(A30), LEN(A30)=2), 1,
            IF(AND(A30=INT(A30), LEN(A30)=3), 2,
                LEN(A30) - FIND(".", A30) + 2)
        )
    ),
"")</x:f>
        <x:v>2</x:v>
      </x:c>
      <x:c r="C30" s="15" t="s">
        <x:v>737</x:v>
      </x:c>
      <x:c r="D30" s="10" t="str">
        <x:f aca="0">REPT("   ", B30*2) &amp; C30</x:f>
        <x:v>            Air Tranport Hangar</x:v>
      </x:c>
      <x:c r="E30" s="10"/>
      <x:c r="F30" s="10"/>
      <x:c r="G30" s="109"/>
      <x:c r="H30" s="10"/>
      <x:c r="I30" s="10"/>
      <x:c r="J30" s="124"/>
      <x:c r="K30" s="17"/>
      <x:c r="L30" s="18"/>
      <x:c r="M30" s="138"/>
      <x:c r="N30" s="19"/>
      <x:c r="O30" s="18"/>
      <x:c r="P30" s="16"/>
      <x:c r="Q30" s="20"/>
      <x:c r="R30" s="18"/>
      <x:c r="S30" s="127"/>
      <x:c r="T30" s="21"/>
      <x:c r="U30" s="22"/>
      <x:c r="V30" s="23"/>
      <x:c r="W30" s="128"/>
      <x:c r="X30" s="129"/>
      <x:c r="Y30" s="129"/>
      <x:c r="Z30" s="128"/>
      <x:c r="AA30" s="130"/>
      <x:c r="AB30" s="130"/>
      <x:c r="AC30" s="128"/>
      <x:c r="AD30" s="130"/>
      <x:c r="AE30" s="130"/>
      <x:c r="AF30" s="130"/>
      <x:c r="AG30" s="128"/>
    </x:row>
    <x:row r="31" ht="13.5" hidden="0" customHeight="1">
      <x:c r="A31" s="30" t="n">
        <x:v>215.1</x:v>
      </x:c>
      <x:c r="B31" s="9" t="n">
        <x:f aca="0">IF(ISNUMBER(A31),
    IF(AND(A31=INT(A31), MOD(A31, 10) = 0), 0,
        IF(AND(A31=INT(A31), LEN(A31)=2), 1,
            IF(AND(A31=INT(A31), LEN(A31)=3), 2,
                LEN(A31) - FIND(".", A31) + 2)
        )
    ),
"")</x:f>
        <x:v>3</x:v>
      </x:c>
      <x:c r="C31" s="15" t="s">
        <x:v>738</x:v>
      </x:c>
      <x:c r="D31" s="10" t="str">
        <x:f aca="0">REPT("   ", B31*2) &amp; C31</x:f>
        <x:v>                  Air Transport Hangar</x:v>
      </x:c>
      <x:c r="E31" s="10" t="s">
        <x:v>35</x:v>
      </x:c>
      <x:c r="F31" s="10"/>
      <x:c r="G31" s="109"/>
      <x:c r="H31" s="10"/>
      <x:c r="I31" s="10"/>
      <x:c r="J31" s="173" t="n">
        <x:v>10000000</x:v>
      </x:c>
      <x:c r="K31" s="17"/>
      <x:c r="L31" s="18"/>
      <x:c r="M31" s="138"/>
      <x:c r="N31" s="19"/>
      <x:c r="O31" s="18"/>
      <x:c r="P31" s="16"/>
      <x:c r="Q31" s="20" t="n">
        <x:v>2024</x:v>
      </x:c>
      <x:c r="R31" s="18" t="s">
        <x:v>163</x:v>
      </x:c>
      <x:c r="S31" s="127" t="s">
        <x:v>739</x:v>
      </x:c>
      <x:c r="T31" s="21"/>
      <x:c r="U31" s="22"/>
      <x:c r="V31" s="23"/>
      <x:c r="W31" s="128" t="s">
        <x:v>43</x:v>
      </x:c>
      <x:c r="X31" s="129" t="n">
        <x:f aca="0">0.9*$I31</x:f>
        <x:v>0</x:v>
      </x:c>
      <x:c r="Y31" s="129" t="n">
        <x:f aca="0">1.5*J31</x:f>
        <x:v>15000000</x:v>
      </x:c>
      <x:c r="Z31" s="128" t="s">
        <x:v>44</x:v>
      </x:c>
      <x:c r="AA31" s="130" t="n">
        <x:f aca="0">0.9*K31</x:f>
        <x:v>0</x:v>
      </x:c>
      <x:c r="AB31" s="130" t="n">
        <x:f aca="0">1.3*K31</x:f>
        <x:v>0</x:v>
      </x:c>
      <x:c r="AC31" s="128" t="s">
        <x:v>44</x:v>
      </x:c>
      <x:c r="AD31" s="130" t="n">
        <x:v>0.1</x:v>
      </x:c>
      <x:c r="AE31" s="130" t="s">
        <x:v>46</x:v>
      </x:c>
      <x:c r="AF31" s="130" t="s">
        <x:v>47</x:v>
      </x:c>
      <x:c r="AG31" s="128" t="s">
        <x:v>48</x:v>
      </x:c>
    </x:row>
    <x:row r="32" ht="13.5" hidden="0" customHeight="1">
      <x:c r="A32" s="6" t="n">
        <x:v>22</x:v>
      </x:c>
      <x:c r="B32" s="9" t="n">
        <x:f aca="0">IF(ISNUMBER(A32),
    IF(AND(A32=INT(A32), MOD(A32, 10) = 0), 0,
        IF(AND(A32=INT(A32), LEN(A32)=2), 1,
            IF(AND(A32=INT(A32), LEN(A32)=3), 2,
                LEN(A32) - FIND(".", A32) + 2)
        )
    ),
"")</x:f>
        <x:v>1</x:v>
      </x:c>
      <x:c r="C32" s="37" t="s">
        <x:v>636</x:v>
      </x:c>
      <x:c r="D32" s="10" t="str">
        <x:f aca="0">REPT("   ", B32*2) &amp; C32</x:f>
        <x:v>      Main Facilities Estimated As Wholes</x:v>
      </x:c>
      <x:c r="E32" s="10"/>
      <x:c r="F32" s="10"/>
      <x:c r="G32" s="109"/>
      <x:c r="H32" s="10"/>
      <x:c r="I32" s="10"/>
      <x:c r="J32" s="17"/>
      <x:c r="K32" s="17"/>
      <x:c r="L32" s="19"/>
      <x:c r="M32" s="10"/>
      <x:c r="N32" s="23"/>
      <x:c r="O32" s="23"/>
      <x:c r="P32" s="20"/>
      <x:c r="Q32" s="20"/>
      <x:c r="R32" s="23"/>
      <x:c r="S32" s="26"/>
      <x:c r="T32" s="23"/>
      <x:c r="U32" s="23"/>
      <x:c r="V32" s="23"/>
      <x:c r="W32" s="12"/>
      <x:c r="X32" s="24"/>
      <x:c r="Y32" s="24"/>
      <x:c r="Z32" s="12"/>
      <x:c r="AA32" s="13"/>
      <x:c r="AB32" s="13"/>
      <x:c r="AC32" s="12"/>
      <x:c r="AD32" s="13"/>
      <x:c r="AE32" s="13"/>
      <x:c r="AF32" s="13"/>
      <x:c r="AG32" s="12"/>
    </x:row>
    <x:row r="33" ht="45.75" hidden="0" customHeight="1">
      <x:c r="A33" s="131" t="n">
        <x:v>221</x:v>
      </x:c>
      <x:c r="B33" s="132" t="n">
        <x:v>2</x:v>
      </x:c>
      <x:c r="C33" s="133" t="s">
        <x:v>740</x:v>
      </x:c>
      <x:c r="D33" s="134" t="str">
        <x:f aca="0">REPT("   ", B33*2) &amp; C33</x:f>
        <x:v>            Reactor Cask Management Yard and Inspection Shop</x:v>
      </x:c>
      <x:c r="E33" s="134" t="s">
        <x:v>35</x:v>
      </x:c>
      <x:c r="F33" s="134"/>
      <x:c r="G33" s="136"/>
      <x:c r="H33" s="134"/>
      <x:c r="I33" s="134"/>
      <x:c r="J33" s="17"/>
      <x:c r="K33" s="137" t="n">
        <x:f aca="0">0.7*17946522/N33</x:f>
        <x:v>41875.21799999999</x:v>
      </x:c>
      <x:c r="L33" s="125"/>
      <x:c r="M33" s="138" t="s">
        <x:v>731</x:v>
      </x:c>
      <x:c r="N33" s="125" t="n">
        <x:v>300</x:v>
      </x:c>
      <x:c r="O33" s="125" t="s">
        <x:v>639</x:v>
      </x:c>
      <x:c r="P33" s="172" t="n">
        <x:v>0.25048</x:v>
      </x:c>
      <x:c r="Q33" s="20" t="n">
        <x:v>2025</x:v>
      </x:c>
      <x:c r="R33" s="19" t="s">
        <x:v>96</x:v>
      </x:c>
      <x:c r="S33" s="127" t="s">
        <x:v>658</x:v>
      </x:c>
      <x:c r="T33" s="21"/>
      <x:c r="U33" s="22"/>
      <x:c r="V33" s="23"/>
      <x:c r="W33" s="128" t="s">
        <x:v>43</x:v>
      </x:c>
      <x:c r="X33" s="129" t="n">
        <x:f aca="0">0.9*$I33</x:f>
        <x:v>0</x:v>
      </x:c>
      <x:c r="Y33" s="129" t="n">
        <x:f aca="0">1.5*J33</x:f>
        <x:v>0</x:v>
      </x:c>
      <x:c r="Z33" s="128" t="s">
        <x:v>44</x:v>
      </x:c>
      <x:c r="AA33" s="130" t="n">
        <x:f aca="0">0.9*K33</x:f>
        <x:v>37687.6962</x:v>
      </x:c>
      <x:c r="AB33" s="130" t="n">
        <x:f aca="0">1.3*K33</x:f>
        <x:v>54437.78339999999</x:v>
      </x:c>
      <x:c r="AC33" s="128" t="s">
        <x:v>44</x:v>
      </x:c>
      <x:c r="AD33" s="130" t="s">
        <x:v>45</x:v>
      </x:c>
      <x:c r="AE33" s="130" t="s">
        <x:v>46</x:v>
      </x:c>
      <x:c r="AF33" s="130" t="s">
        <x:v>47</x:v>
      </x:c>
      <x:c r="AG33" s="128" t="s">
        <x:v>48</x:v>
      </x:c>
    </x:row>
    <x:row r="34" ht="45.75" hidden="0" customHeight="1">
      <x:c r="A34" s="131" t="n">
        <x:v>222</x:v>
      </x:c>
      <x:c r="B34" s="132" t="n">
        <x:f aca="0">IF(ISNUMBER(A34),
    IF(AND(A34=INT(A34), MOD(A34, 10) = 0), 0,
        IF(AND(A34=INT(A34), LEN(A34)=2), 1,
            IF(AND(A34=INT(A34), LEN(A34)=3), 2,
                LEN(A34) - FIND(".", A34) + 2)
        )
    ),
"")</x:f>
        <x:v>2</x:v>
      </x:c>
      <x:c r="C34" s="133" t="s">
        <x:v>741</x:v>
      </x:c>
      <x:c r="D34" s="134" t="str">
        <x:f aca="0">REPT("   ", B34*2) &amp; C34</x:f>
        <x:v>            Vehicle Depot and Mechanic Shop</x:v>
      </x:c>
      <x:c r="E34" s="134" t="s">
        <x:v>35</x:v>
      </x:c>
      <x:c r="F34" s="134"/>
      <x:c r="G34" s="136"/>
      <x:c r="H34" s="134"/>
      <x:c r="I34" s="134"/>
      <x:c r="J34" s="17"/>
      <x:c r="K34" s="137" t="n">
        <x:f aca="0">0.7*58097655/N34</x:f>
        <x:v>135561.195</x:v>
      </x:c>
      <x:c r="L34" s="125"/>
      <x:c r="M34" s="138" t="s">
        <x:v>731</x:v>
      </x:c>
      <x:c r="N34" s="125" t="n">
        <x:v>300</x:v>
      </x:c>
      <x:c r="O34" s="125" t="s">
        <x:v>104</x:v>
      </x:c>
      <x:c r="P34" s="139" t="n">
        <x:v>0.266665</x:v>
      </x:c>
      <x:c r="Q34" s="20" t="n">
        <x:v>2025</x:v>
      </x:c>
      <x:c r="R34" s="19" t="s">
        <x:v>96</x:v>
      </x:c>
      <x:c r="S34" s="127" t="s">
        <x:v>658</x:v>
      </x:c>
      <x:c r="T34" s="21"/>
      <x:c r="U34" s="22"/>
      <x:c r="V34" s="23"/>
      <x:c r="W34" s="128" t="s">
        <x:v>43</x:v>
      </x:c>
      <x:c r="X34" s="129" t="n">
        <x:f aca="0">0.9*$I34</x:f>
        <x:v>0</x:v>
      </x:c>
      <x:c r="Y34" s="129" t="n">
        <x:f aca="0">1.5*J34</x:f>
        <x:v>0</x:v>
      </x:c>
      <x:c r="Z34" s="128" t="s">
        <x:v>44</x:v>
      </x:c>
      <x:c r="AA34" s="130" t="n">
        <x:f aca="0">0.9*K34</x:f>
        <x:v>122005.0755</x:v>
      </x:c>
      <x:c r="AB34" s="130" t="n">
        <x:f aca="0">1.3*K34</x:f>
        <x:v>176229.5535</x:v>
      </x:c>
      <x:c r="AC34" s="128" t="s">
        <x:v>44</x:v>
      </x:c>
      <x:c r="AD34" s="130" t="s">
        <x:v>45</x:v>
      </x:c>
      <x:c r="AE34" s="130" t="s">
        <x:v>46</x:v>
      </x:c>
      <x:c r="AF34" s="130" t="s">
        <x:v>47</x:v>
      </x:c>
      <x:c r="AG34" s="128" t="s">
        <x:v>48</x:v>
      </x:c>
    </x:row>
    <x:row r="35" ht="45.75" hidden="0" customHeight="1">
      <x:c r="A35" s="131" t="n">
        <x:v>224</x:v>
      </x:c>
      <x:c r="B35" s="132" t="n">
        <x:f aca="0">IF(ISNUMBER(A35),
    IF(AND(A35=INT(A35), MOD(A35, 10) = 0), 0,
        IF(AND(A35=INT(A35), LEN(A35)=2), 1,
            IF(AND(A35=INT(A35), LEN(A35)=3), 2,
                LEN(A35) - FIND(".", A35) + 2)
        )
    ),
"")</x:f>
        <x:v>2</x:v>
      </x:c>
      <x:c r="C35" s="133" t="s">
        <x:v>742</x:v>
      </x:c>
      <x:c r="D35" s="134" t="str">
        <x:f aca="0">REPT("   ", B35*2) &amp; C35</x:f>
        <x:v>            Parts Service Center and Warehouse</x:v>
      </x:c>
      <x:c r="E35" s="134" t="s">
        <x:v>35</x:v>
      </x:c>
      <x:c r="F35" s="134"/>
      <x:c r="G35" s="136"/>
      <x:c r="H35" s="134"/>
      <x:c r="I35" s="134"/>
      <x:c r="J35" s="145"/>
      <x:c r="K35" s="137" t="n">
        <x:v>3842.71</x:v>
      </x:c>
      <x:c r="L35" s="146" t="s">
        <x:v>102</x:v>
      </x:c>
      <x:c r="M35" s="138" t="s">
        <x:v>743</x:v>
      </x:c>
      <x:c r="N35" s="125" t="n">
        <x:v>1</x:v>
      </x:c>
      <x:c r="O35" s="125" t="s">
        <x:v>104</x:v>
      </x:c>
      <x:c r="P35" s="126" t="n">
        <x:v>1</x:v>
      </x:c>
      <x:c r="Q35" s="20" t="n">
        <x:v>2025</x:v>
      </x:c>
      <x:c r="R35" s="19" t="s">
        <x:v>96</x:v>
      </x:c>
      <x:c r="S35" s="127"/>
      <x:c r="T35" s="21"/>
      <x:c r="U35" s="22"/>
      <x:c r="V35" s="23"/>
      <x:c r="W35" s="128" t="s">
        <x:v>43</x:v>
      </x:c>
      <x:c r="X35" s="129" t="n">
        <x:f aca="0">0.9*$I35</x:f>
        <x:v>0</x:v>
      </x:c>
      <x:c r="Y35" s="129" t="n">
        <x:f aca="0">1.5*J35</x:f>
        <x:v>0</x:v>
      </x:c>
      <x:c r="Z35" s="128" t="s">
        <x:v>44</x:v>
      </x:c>
      <x:c r="AA35" s="130" t="n">
        <x:f aca="0">0.9*K35</x:f>
        <x:v>3458.4390000000003</x:v>
      </x:c>
      <x:c r="AB35" s="130" t="n">
        <x:f aca="0">1.3*K35</x:f>
        <x:v>4995.523</x:v>
      </x:c>
      <x:c r="AC35" s="128" t="s">
        <x:v>44</x:v>
      </x:c>
      <x:c r="AD35" s="130" t="s">
        <x:v>45</x:v>
      </x:c>
      <x:c r="AE35" s="130" t="s">
        <x:v>46</x:v>
      </x:c>
      <x:c r="AF35" s="130" t="s">
        <x:v>47</x:v>
      </x:c>
      <x:c r="AG35" s="128" t="s">
        <x:v>48</x:v>
      </x:c>
    </x:row>
    <x:row r="36" ht="57" hidden="0" customHeight="1">
      <x:c r="A36" s="131" t="n">
        <x:v>225</x:v>
      </x:c>
      <x:c r="B36" s="132" t="n">
        <x:f aca="0">IF(ISNUMBER(A36),
    IF(AND(A36=INT(A36), MOD(A36, 10) = 0), 0,
        IF(AND(A36=INT(A36), LEN(A36)=2), 1,
            IF(AND(A36=INT(A36), LEN(A36)=3), 2,
                LEN(A36) - FIND(".", A36) + 2)
        )
    ),
"")</x:f>
        <x:v>2</x:v>
      </x:c>
      <x:c r="C36" s="133" t="s">
        <x:v>644</x:v>
      </x:c>
      <x:c r="D36" s="134" t="str">
        <x:f aca="0">REPT("   ", B36*2) &amp; C36</x:f>
        <x:v>            Administrative Building</x:v>
      </x:c>
      <x:c r="E36" s="134" t="s">
        <x:v>35</x:v>
      </x:c>
      <x:c r="F36" s="134"/>
      <x:c r="G36" s="136"/>
      <x:c r="H36" s="134"/>
      <x:c r="I36" s="134"/>
      <x:c r="J36" s="17"/>
      <x:c r="K36" s="137" t="n">
        <x:f aca="0">0.7*1968*(3.2808^2)</x:f>
        <x:v>14828.002366464001</x:v>
      </x:c>
      <x:c r="L36" s="125" t="s">
        <x:v>102</x:v>
      </x:c>
      <x:c r="M36" s="138" t="s">
        <x:v>744</x:v>
      </x:c>
      <x:c r="N36" s="125" t="n">
        <x:v>1</x:v>
      </x:c>
      <x:c r="O36" s="125" t="s">
        <x:v>104</x:v>
      </x:c>
      <x:c r="P36" s="126" t="n">
        <x:v>1</x:v>
      </x:c>
      <x:c r="Q36" s="20" t="n">
        <x:v>2025</x:v>
      </x:c>
      <x:c r="R36" s="19" t="s">
        <x:v>96</x:v>
      </x:c>
      <x:c r="S36" s="127" t="s">
        <x:v>635</x:v>
      </x:c>
      <x:c r="T36" s="21"/>
      <x:c r="U36" s="22"/>
      <x:c r="V36" s="23"/>
      <x:c r="W36" s="128" t="s">
        <x:v>43</x:v>
      </x:c>
      <x:c r="X36" s="129" t="n">
        <x:f aca="0">0.9*$I36</x:f>
        <x:v>0</x:v>
      </x:c>
      <x:c r="Y36" s="129" t="n">
        <x:f aca="0">1.5*J36</x:f>
        <x:v>0</x:v>
      </x:c>
      <x:c r="Z36" s="128" t="s">
        <x:v>44</x:v>
      </x:c>
      <x:c r="AA36" s="130" t="n">
        <x:f aca="0">0.9*K36</x:f>
        <x:v>13345.2021298176</x:v>
      </x:c>
      <x:c r="AB36" s="130" t="n">
        <x:f aca="0">1.3*K36</x:f>
        <x:v>19276.403076403203</x:v>
      </x:c>
      <x:c r="AC36" s="128" t="s">
        <x:v>44</x:v>
      </x:c>
      <x:c r="AD36" s="130" t="s">
        <x:v>45</x:v>
      </x:c>
      <x:c r="AE36" s="130" t="s">
        <x:v>46</x:v>
      </x:c>
      <x:c r="AF36" s="130" t="s">
        <x:v>47</x:v>
      </x:c>
      <x:c r="AG36" s="128" t="s">
        <x:v>48</x:v>
      </x:c>
    </x:row>
    <x:row r="37" ht="13.5" hidden="0" customHeight="1">
      <x:c r="A37" s="131" t="n">
        <x:v>23</x:v>
      </x:c>
      <x:c r="B37" s="132" t="n">
        <x:f aca="0">IF(ISNUMBER(A37),
    IF(AND(A37=INT(A37), MOD(A37, 10) = 0), 0,
        IF(AND(A37=INT(A37), LEN(A37)=2), 1,
            IF(AND(A37=INT(A37), LEN(A37)=3), 2,
                LEN(A37) - FIND(".", A37) + 2)
        )
    ),
"")</x:f>
        <x:v>1</x:v>
      </x:c>
      <x:c r="C37" s="147" t="s">
        <x:v>163</x:v>
      </x:c>
      <x:c r="D37" s="134" t="str">
        <x:f aca="0">REPT("   ", B37*2) &amp; C37</x:f>
        <x:v>      Equipment</x:v>
      </x:c>
      <x:c r="E37" s="134"/>
      <x:c r="F37" s="134"/>
      <x:c r="G37" s="136"/>
      <x:c r="H37" s="134"/>
      <x:c r="I37" s="146"/>
      <x:c r="J37" s="137"/>
      <x:c r="K37" s="137"/>
      <x:c r="L37" s="128"/>
      <x:c r="M37" s="148"/>
      <x:c r="N37" s="128"/>
      <x:c r="O37" s="128"/>
      <x:c r="P37" s="130"/>
      <x:c r="Q37" s="130"/>
      <x:c r="R37" s="128"/>
      <x:c r="S37" s="148"/>
      <x:c r="T37" s="128"/>
      <x:c r="U37" s="128"/>
      <x:c r="V37" s="128"/>
      <x:c r="W37" s="128"/>
      <x:c r="X37" s="129"/>
      <x:c r="Y37" s="129"/>
      <x:c r="Z37" s="128"/>
      <x:c r="AA37" s="130"/>
      <x:c r="AB37" s="130"/>
      <x:c r="AC37" s="128"/>
      <x:c r="AD37" s="130"/>
      <x:c r="AE37" s="130"/>
      <x:c r="AF37" s="130"/>
      <x:c r="AG37" s="128"/>
    </x:row>
    <x:row r="38" ht="23.25" hidden="0" customHeight="1">
      <x:c r="A38" s="30" t="n">
        <x:v>23.1</x:v>
      </x:c>
      <x:c r="B38" s="9" t="n">
        <x:v>2</x:v>
      </x:c>
      <x:c r="C38" s="15" t="s">
        <x:v>745</x:v>
      </x:c>
      <x:c r="D38" s="10" t="str">
        <x:f aca="0">REPT("   ", B38*2) &amp; C38</x:f>
        <x:v>            Servicing Hot Cell</x:v>
      </x:c>
      <x:c r="E38" s="10" t="s">
        <x:v>35</x:v>
      </x:c>
      <x:c r="F38" s="10" t="s">
        <x:v>746</x:v>
      </x:c>
      <x:c r="G38" s="109" t="n">
        <x:v>1</x:v>
      </x:c>
      <x:c r="H38" s="10"/>
      <x:c r="I38" s="10"/>
      <x:c r="J38" s="17" t="n">
        <x:v>1000000000</x:v>
      </x:c>
      <x:c r="K38" s="17"/>
      <x:c r="L38" s="19"/>
      <x:c r="M38" s="29"/>
      <x:c r="N38" s="19"/>
      <x:c r="O38" s="19"/>
      <x:c r="P38" s="16"/>
      <x:c r="Q38" s="20" t="n">
        <x:v>2024</x:v>
      </x:c>
      <x:c r="R38" s="19" t="s">
        <x:v>96</x:v>
      </x:c>
      <x:c r="S38" s="29" t="s">
        <x:v>666</x:v>
      </x:c>
      <x:c r="T38" s="21"/>
      <x:c r="U38" s="22"/>
      <x:c r="V38" s="23"/>
      <x:c r="W38" s="12" t="s">
        <x:v>43</x:v>
      </x:c>
      <x:c r="X38" s="24" t="n">
        <x:f aca="0">0.8*$I38</x:f>
        <x:v>0</x:v>
      </x:c>
      <x:c r="Y38" s="24" t="n">
        <x:f aca="0">2*J38</x:f>
        <x:v>2000000000</x:v>
      </x:c>
      <x:c r="Z38" s="12" t="s">
        <x:v>44</x:v>
      </x:c>
      <x:c r="AA38" s="13" t="n">
        <x:f aca="0">0.8*K38</x:f>
        <x:v>0</x:v>
      </x:c>
      <x:c r="AB38" s="13" t="n">
        <x:f aca="0">2*K38</x:f>
        <x:v>0</x:v>
      </x:c>
      <x:c r="AC38" s="12" t="s">
        <x:v>44</x:v>
      </x:c>
      <x:c r="AD38" s="13" t="s">
        <x:v>45</x:v>
      </x:c>
      <x:c r="AE38" s="13" t="s">
        <x:v>46</x:v>
      </x:c>
      <x:c r="AF38" s="13" t="s">
        <x:v>47</x:v>
      </x:c>
      <x:c r="AG38" s="12" t="s">
        <x:v>48</x:v>
      </x:c>
    </x:row>
    <x:row r="39" ht="57" hidden="0" customHeight="1">
      <x:c r="A39" s="131" t="n">
        <x:v>23.2</x:v>
      </x:c>
      <x:c r="B39" s="174" t="n">
        <x:v>2</x:v>
      </x:c>
      <x:c r="C39" s="133" t="s">
        <x:v>747</x:v>
      </x:c>
      <x:c r="D39" s="134" t="str">
        <x:f aca="0">REPT("   ", B39*2) &amp; C39</x:f>
        <x:v>            Helium Purification Equipment</x:v>
      </x:c>
      <x:c r="E39" s="134" t="s">
        <x:v>35</x:v>
      </x:c>
      <x:c r="F39" s="134" t="s">
        <x:v>623</x:v>
      </x:c>
      <x:c r="G39" s="136" t="n">
        <x:v>1</x:v>
      </x:c>
      <x:c r="H39" s="134"/>
      <x:c r="I39" s="134"/>
      <x:c r="J39" s="137"/>
      <x:c r="K39" s="137" t="n">
        <x:f aca="0">((4700000+6000000)/2)/N39</x:f>
        <x:v>96300000</x:v>
      </x:c>
      <x:c r="L39" s="125"/>
      <x:c r="M39" s="138" t="s">
        <x:v>748</x:v>
      </x:c>
      <x:c r="N39" s="175" t="n">
        <x:f aca="0">200/3600</x:f>
        <x:v>0.05555555555555555</x:v>
      </x:c>
      <x:c r="O39" s="125" t="s">
        <x:v>344</x:v>
      </x:c>
      <x:c r="P39" s="130" t="n">
        <x:v>0.6</x:v>
      </x:c>
      <x:c r="Q39" s="20" t="n">
        <x:v>2024</x:v>
      </x:c>
      <x:c r="R39" s="125" t="s">
        <x:v>96</x:v>
      </x:c>
      <x:c r="S39" s="127" t="s">
        <x:v>749</x:v>
      </x:c>
      <x:c r="T39" s="149" t="s">
        <x:v>750</x:v>
      </x:c>
      <x:c r="U39" s="150" t="s">
        <x:v>328</x:v>
      </x:c>
      <x:c r="V39" s="128"/>
      <x:c r="W39" s="128" t="s">
        <x:v>43</x:v>
      </x:c>
      <x:c r="X39" s="129" t="n">
        <x:f aca="0">0.9*$I39</x:f>
        <x:v>0</x:v>
      </x:c>
      <x:c r="Y39" s="129" t="n">
        <x:f aca="0">1.5*J39</x:f>
        <x:v>0</x:v>
      </x:c>
      <x:c r="Z39" s="128" t="s">
        <x:v>44</x:v>
      </x:c>
      <x:c r="AA39" s="130" t="n">
        <x:f aca="0">0.9*K39</x:f>
        <x:v>86670000</x:v>
      </x:c>
      <x:c r="AB39" s="130" t="n">
        <x:f aca="0">1.3*K39</x:f>
        <x:v>125190000</x:v>
      </x:c>
      <x:c r="AC39" s="128" t="s">
        <x:v>44</x:v>
      </x:c>
      <x:c r="AD39" s="130" t="s">
        <x:v>45</x:v>
      </x:c>
      <x:c r="AE39" s="130" t="s">
        <x:v>46</x:v>
      </x:c>
      <x:c r="AF39" s="130" t="s">
        <x:v>47</x:v>
      </x:c>
      <x:c r="AG39" s="128" t="s">
        <x:v>48</x:v>
      </x:c>
    </x:row>
    <x:row r="40" ht="34.5" hidden="0" customHeight="1">
      <x:c r="A40" s="30" t="n">
        <x:v>23.4</x:v>
      </x:c>
      <x:c r="B40" s="9" t="n">
        <x:v>2</x:v>
      </x:c>
      <x:c r="C40" s="15" t="s">
        <x:v>751</x:v>
      </x:c>
      <x:c r="D40" s="10" t="str">
        <x:f aca="0">REPT("   ", B40*2) &amp; C40</x:f>
        <x:v>            Radioactive Waste Processing Hot Cell</x:v>
      </x:c>
      <x:c r="E40" s="10" t="s">
        <x:v>35</x:v>
      </x:c>
      <x:c r="F40" s="10" t="s">
        <x:v>752</x:v>
      </x:c>
      <x:c r="G40" s="109" t="n">
        <x:v>1</x:v>
      </x:c>
      <x:c r="H40" s="10"/>
      <x:c r="I40" s="10"/>
      <x:c r="J40" s="17" t="n">
        <x:v>1000000000</x:v>
      </x:c>
      <x:c r="K40" s="17"/>
      <x:c r="L40" s="18"/>
      <x:c r="M40" s="15"/>
      <x:c r="N40" s="19"/>
      <x:c r="O40" s="18"/>
      <x:c r="P40" s="16"/>
      <x:c r="Q40" s="20" t="n">
        <x:v>2024</x:v>
      </x:c>
      <x:c r="R40" s="18" t="s">
        <x:v>163</x:v>
      </x:c>
      <x:c r="S40" s="21" t="s">
        <x:v>666</x:v>
      </x:c>
      <x:c r="T40" s="21"/>
      <x:c r="U40" s="22"/>
      <x:c r="V40" s="23" t="s">
        <x:v>753</x:v>
      </x:c>
      <x:c r="W40" s="12" t="s">
        <x:v>43</x:v>
      </x:c>
      <x:c r="X40" s="24" t="n">
        <x:f aca="0">0.8*$I40</x:f>
        <x:v>0</x:v>
      </x:c>
      <x:c r="Y40" s="24" t="n">
        <x:f aca="0">2*J40</x:f>
        <x:v>2000000000</x:v>
      </x:c>
      <x:c r="Z40" s="12" t="s">
        <x:v>44</x:v>
      </x:c>
      <x:c r="AA40" s="13" t="n">
        <x:f aca="0">0.8*K40</x:f>
        <x:v>0</x:v>
      </x:c>
      <x:c r="AB40" s="13" t="n">
        <x:f aca="0">2*K40</x:f>
        <x:v>0</x:v>
      </x:c>
      <x:c r="AC40" s="12" t="s">
        <x:v>44</x:v>
      </x:c>
      <x:c r="AD40" s="13" t="s">
        <x:v>45</x:v>
      </x:c>
      <x:c r="AE40" s="13" t="s">
        <x:v>46</x:v>
      </x:c>
      <x:c r="AF40" s="13" t="s">
        <x:v>47</x:v>
      </x:c>
      <x:c r="AG40" s="12" t="s">
        <x:v>48</x:v>
      </x:c>
    </x:row>
    <x:row r="41" ht="34.5" hidden="0" customHeight="1">
      <x:c r="A41" s="30" t="n">
        <x:v>23.5</x:v>
      </x:c>
      <x:c r="B41" s="9" t="n">
        <x:v>2</x:v>
      </x:c>
      <x:c r="C41" s="15" t="s">
        <x:v>646</x:v>
      </x:c>
      <x:c r="D41" s="10" t="str">
        <x:f aca="0">REPT("   ", B41*2) &amp; C41</x:f>
        <x:v>            Local Integrated Control Rooms</x:v>
      </x:c>
      <x:c r="E41" s="10" t="s">
        <x:v>35</x:v>
      </x:c>
      <x:c r="F41" s="10" t="s">
        <x:v>746</x:v>
      </x:c>
      <x:c r="G41" s="109" t="n">
        <x:v>1</x:v>
      </x:c>
      <x:c r="H41" s="10"/>
      <x:c r="I41" s="10"/>
      <x:c r="J41" s="17" t="n">
        <x:f aca="0">21555270/2</x:f>
        <x:v>10777635</x:v>
      </x:c>
      <x:c r="K41" s="17"/>
      <x:c r="L41" s="18"/>
      <x:c r="M41" s="15"/>
      <x:c r="N41" s="19"/>
      <x:c r="O41" s="18"/>
      <x:c r="P41" s="16"/>
      <x:c r="Q41" s="20" t="n">
        <x:v>1987</x:v>
      </x:c>
      <x:c r="R41" s="18" t="s">
        <x:v>96</x:v>
      </x:c>
      <x:c r="S41" s="21" t="s">
        <x:v>754</x:v>
      </x:c>
      <x:c r="T41" s="21" t="s">
        <x:v>755</x:v>
      </x:c>
      <x:c r="U41" s="35" t="s">
        <x:v>756</x:v>
      </x:c>
      <x:c r="V41" s="23"/>
      <x:c r="W41" s="128" t="s">
        <x:v>43</x:v>
      </x:c>
      <x:c r="X41" s="129" t="n">
        <x:f aca="0">0.9*$I41</x:f>
        <x:v>0</x:v>
      </x:c>
      <x:c r="Y41" s="129" t="n">
        <x:f aca="0">1.5*J41</x:f>
        <x:v>16166452.5</x:v>
      </x:c>
      <x:c r="Z41" s="128" t="s">
        <x:v>44</x:v>
      </x:c>
      <x:c r="AA41" s="130" t="n">
        <x:f aca="0">0.9*K41</x:f>
        <x:v>0</x:v>
      </x:c>
      <x:c r="AB41" s="130" t="n">
        <x:f aca="0">1.3*K41</x:f>
        <x:v>0</x:v>
      </x:c>
      <x:c r="AC41" s="128" t="s">
        <x:v>44</x:v>
      </x:c>
      <x:c r="AD41" s="130" t="s">
        <x:v>45</x:v>
      </x:c>
      <x:c r="AE41" s="130" t="s">
        <x:v>46</x:v>
      </x:c>
      <x:c r="AF41" s="130" t="s">
        <x:v>47</x:v>
      </x:c>
      <x:c r="AG41" s="128" t="s">
        <x:v>48</x:v>
      </x:c>
    </x:row>
    <x:row r="42" ht="34.5" hidden="0" customHeight="1">
      <x:c r="A42" s="30" t="n">
        <x:v>23.6</x:v>
      </x:c>
      <x:c r="B42" s="9" t="n">
        <x:v>2</x:v>
      </x:c>
      <x:c r="C42" s="15" t="s">
        <x:v>757</x:v>
      </x:c>
      <x:c r="D42" s="10" t="str">
        <x:f aca="0">REPT("   ", B42*2) &amp; C42</x:f>
        <x:v>            Remote Control Rooms</x:v>
      </x:c>
      <x:c r="E42" s="10" t="s">
        <x:v>35</x:v>
      </x:c>
      <x:c r="F42" s="10" t="s">
        <x:v>623</x:v>
      </x:c>
      <x:c r="G42" s="109" t="n">
        <x:v>1</x:v>
      </x:c>
      <x:c r="H42" s="10"/>
      <x:c r="I42" s="10"/>
      <x:c r="J42" s="17"/>
      <x:c r="K42" s="17" t="n">
        <x:v>100000</x:v>
      </x:c>
      <x:c r="L42" s="18"/>
      <x:c r="M42" s="10" t="s">
        <x:v>758</x:v>
      </x:c>
      <x:c r="N42" s="19"/>
      <x:c r="O42" s="18"/>
      <x:c r="P42" s="16"/>
      <x:c r="Q42" s="20" t="n">
        <x:v>2024</x:v>
      </x:c>
      <x:c r="R42" s="18" t="s">
        <x:v>96</x:v>
      </x:c>
      <x:c r="S42" s="21" t="s">
        <x:v>759</x:v>
      </x:c>
      <x:c r="T42" s="21"/>
      <x:c r="U42" s="22"/>
      <x:c r="V42" s="23"/>
      <x:c r="W42" s="128" t="s">
        <x:v>43</x:v>
      </x:c>
      <x:c r="X42" s="129" t="n">
        <x:f aca="0">0.9*$I42</x:f>
        <x:v>0</x:v>
      </x:c>
      <x:c r="Y42" s="129" t="n">
        <x:f aca="0">1.5*J42</x:f>
        <x:v>0</x:v>
      </x:c>
      <x:c r="Z42" s="128" t="s">
        <x:v>44</x:v>
      </x:c>
      <x:c r="AA42" s="130" t="n">
        <x:f aca="0">0.9*K42</x:f>
        <x:v>90000</x:v>
      </x:c>
      <x:c r="AB42" s="130" t="n">
        <x:f aca="0">1.3*K42</x:f>
        <x:v>130000</x:v>
      </x:c>
      <x:c r="AC42" s="128" t="s">
        <x:v>44</x:v>
      </x:c>
      <x:c r="AD42" s="130" t="s">
        <x:v>45</x:v>
      </x:c>
      <x:c r="AE42" s="130" t="s">
        <x:v>46</x:v>
      </x:c>
      <x:c r="AF42" s="130" t="s">
        <x:v>47</x:v>
      </x:c>
      <x:c r="AG42" s="128" t="s">
        <x:v>48</x:v>
      </x:c>
    </x:row>
    <x:row r="43" ht="23.25" hidden="0" customHeight="1">
      <x:c r="A43" s="30" t="n">
        <x:v>23.8</x:v>
      </x:c>
      <x:c r="B43" s="9" t="n">
        <x:v>2</x:v>
      </x:c>
      <x:c r="C43" s="15" t="s">
        <x:v>760</x:v>
      </x:c>
      <x:c r="D43" s="10" t="str">
        <x:f aca="0">REPT("   ", B43*2) &amp; C43</x:f>
        <x:v>            Reactor Transport Casks</x:v>
      </x:c>
      <x:c r="E43" s="10" t="s">
        <x:v>35</x:v>
      </x:c>
      <x:c r="F43" s="10" t="s">
        <x:v>623</x:v>
      </x:c>
      <x:c r="G43" s="109" t="n">
        <x:v>1</x:v>
      </x:c>
      <x:c r="H43" s="10"/>
      <x:c r="I43" s="10"/>
      <x:c r="J43" s="173" t="n">
        <x:v>10000000</x:v>
      </x:c>
      <x:c r="K43" s="17"/>
      <x:c r="L43" s="18"/>
      <x:c r="M43" s="10" t="s">
        <x:v>761</x:v>
      </x:c>
      <x:c r="N43" s="19"/>
      <x:c r="O43" s="18"/>
      <x:c r="P43" s="16"/>
      <x:c r="Q43" s="20" t="n">
        <x:v>2024</x:v>
      </x:c>
      <x:c r="R43" s="18" t="s">
        <x:v>96</x:v>
      </x:c>
      <x:c r="S43" s="21" t="s">
        <x:v>666</x:v>
      </x:c>
      <x:c r="T43" s="21"/>
      <x:c r="U43" s="22"/>
      <x:c r="V43" s="23"/>
      <x:c r="W43" s="128" t="s">
        <x:v>43</x:v>
      </x:c>
      <x:c r="X43" s="129" t="n">
        <x:f aca="0">0.9*$I43</x:f>
        <x:v>0</x:v>
      </x:c>
      <x:c r="Y43" s="129" t="n">
        <x:f aca="0">1.5*J43</x:f>
        <x:v>15000000</x:v>
      </x:c>
      <x:c r="Z43" s="128" t="s">
        <x:v>44</x:v>
      </x:c>
      <x:c r="AA43" s="130" t="n">
        <x:f aca="0">0.9*K43</x:f>
        <x:v>0</x:v>
      </x:c>
      <x:c r="AB43" s="130" t="n">
        <x:f aca="0">1.3*K43</x:f>
        <x:v>0</x:v>
      </x:c>
      <x:c r="AC43" s="128" t="s">
        <x:v>44</x:v>
      </x:c>
      <x:c r="AD43" s="130" t="s">
        <x:v>45</x:v>
      </x:c>
      <x:c r="AE43" s="130" t="s">
        <x:v>46</x:v>
      </x:c>
      <x:c r="AF43" s="130" t="s">
        <x:v>47</x:v>
      </x:c>
      <x:c r="AG43" s="128" t="s">
        <x:v>48</x:v>
      </x:c>
    </x:row>
    <x:row r="44" ht="13.5" hidden="0" customHeight="1">
      <x:c r="A44" s="6" t="n">
        <x:v>28</x:v>
      </x:c>
      <x:c r="B44" s="9" t="n">
        <x:f aca="0">IF(ISNUMBER(A44),
    IF(AND(A44=INT(A44), MOD(A44, 10) = 0), 0,
        IF(AND(A44=INT(A44), LEN(A44)=2), 1,
            IF(AND(A44=INT(A44), LEN(A44)=3), 2,
                LEN(A44) - FIND(".", A44) + 2)
        )
    ),
"")</x:f>
        <x:v>1</x:v>
      </x:c>
      <x:c r="C44" s="26" t="s">
        <x:v>648</x:v>
      </x:c>
      <x:c r="D44" s="10" t="str">
        <x:f aca="0">REPT("   ", B44*2) &amp; C44</x:f>
        <x:v>      Auxiliary Infrastructure Equipment</x:v>
      </x:c>
      <x:c r="E44" s="10"/>
      <x:c r="F44" s="10"/>
      <x:c r="G44" s="109"/>
      <x:c r="H44" s="10"/>
      <x:c r="I44" s="10"/>
      <x:c r="J44" s="27"/>
      <x:c r="K44" s="17"/>
      <x:c r="L44" s="23"/>
      <x:c r="M44" s="18"/>
      <x:c r="N44" s="23"/>
      <x:c r="O44" s="23"/>
      <x:c r="P44" s="20"/>
      <x:c r="Q44" s="20"/>
      <x:c r="R44" s="23"/>
      <x:c r="S44" s="26"/>
      <x:c r="T44" s="26"/>
      <x:c r="U44" s="23"/>
      <x:c r="V44" s="23"/>
      <x:c r="W44" s="12"/>
      <x:c r="X44" s="24"/>
      <x:c r="Y44" s="24"/>
      <x:c r="Z44" s="12"/>
      <x:c r="AA44" s="13"/>
      <x:c r="AB44" s="13"/>
      <x:c r="AC44" s="12"/>
      <x:c r="AD44" s="13"/>
      <x:c r="AE44" s="13"/>
      <x:c r="AF44" s="13"/>
      <x:c r="AG44" s="12"/>
    </x:row>
    <x:row r="45" ht="57" hidden="0" customHeight="1">
      <x:c r="A45" s="131" t="n">
        <x:v>281</x:v>
      </x:c>
      <x:c r="B45" s="132" t="n">
        <x:f aca="0">IF(ISNUMBER(A45),
    IF(AND(A45=INT(A45), MOD(A45, 10) = 0), 0,
        IF(AND(A45=INT(A45), LEN(A45)=2), 1,
            IF(AND(A45=INT(A45), LEN(A45)=3), 2,
                LEN(A45) - FIND(".", A45) + 2)
        )
    ),
"")</x:f>
        <x:v>2</x:v>
      </x:c>
      <x:c r="C45" s="133" t="s">
        <x:v>649</x:v>
      </x:c>
      <x:c r="D45" s="134" t="str">
        <x:f aca="0">REPT("   ", B45*2) &amp; C45</x:f>
        <x:v>            Emergency Power</x:v>
      </x:c>
      <x:c r="E45" s="134" t="s">
        <x:v>35</x:v>
      </x:c>
      <x:c r="F45" s="134"/>
      <x:c r="G45" s="136"/>
      <x:c r="H45" s="134"/>
      <x:c r="I45" s="134"/>
      <x:c r="J45" s="17"/>
      <x:c r="K45" s="137" t="n">
        <x:f aca="0">(1450000*5+1500000)/2.5</x:f>
        <x:v>3500000</x:v>
      </x:c>
      <x:c r="L45" s="125" t="s">
        <x:v>50</x:v>
      </x:c>
      <x:c r="M45" s="138" t="s">
        <x:v>762</x:v>
      </x:c>
      <x:c r="N45" s="125" t="n">
        <x:v>1</x:v>
      </x:c>
      <x:c r="O45" s="125" t="s">
        <x:v>52</x:v>
      </x:c>
      <x:c r="P45" s="126" t="n">
        <x:v>1</x:v>
      </x:c>
      <x:c r="Q45" s="20" t="n">
        <x:v>2025</x:v>
      </x:c>
      <x:c r="R45" s="19" t="s">
        <x:v>163</x:v>
      </x:c>
      <x:c r="S45" s="149" t="s">
        <x:v>651</x:v>
      </x:c>
      <x:c r="T45" s="149"/>
      <x:c r="U45" s="150"/>
      <x:c r="V45" s="128"/>
      <x:c r="W45" s="128" t="s">
        <x:v>43</x:v>
      </x:c>
      <x:c r="X45" s="129" t="n">
        <x:f aca="0">0.9*$I45</x:f>
        <x:v>0</x:v>
      </x:c>
      <x:c r="Y45" s="129" t="n">
        <x:f aca="0">1.5*J45</x:f>
        <x:v>0</x:v>
      </x:c>
      <x:c r="Z45" s="128" t="s">
        <x:v>44</x:v>
      </x:c>
      <x:c r="AA45" s="130" t="n">
        <x:f aca="0">0.9*K45</x:f>
        <x:v>3150000</x:v>
      </x:c>
      <x:c r="AB45" s="130" t="n">
        <x:f aca="0">1.3*K45</x:f>
        <x:v>4550000</x:v>
      </x:c>
      <x:c r="AC45" s="128" t="s">
        <x:v>44</x:v>
      </x:c>
      <x:c r="AD45" s="130" t="s">
        <x:v>45</x:v>
      </x:c>
      <x:c r="AE45" s="130" t="s">
        <x:v>46</x:v>
      </x:c>
      <x:c r="AF45" s="130" t="s">
        <x:v>47</x:v>
      </x:c>
      <x:c r="AG45" s="128" t="s">
        <x:v>48</x:v>
      </x:c>
    </x:row>
    <x:row r="46" ht="45.75" hidden="0" customHeight="1">
      <x:c r="A46" s="131" t="n">
        <x:v>282</x:v>
      </x:c>
      <x:c r="B46" s="132" t="n">
        <x:f aca="0">IF(ISNUMBER(A46),
    IF(AND(A46=INT(A46), MOD(A46, 10) = 0), 0,
        IF(AND(A46=INT(A46), LEN(A46)=2), 1,
            IF(AND(A46=INT(A46), LEN(A46)=3), 2,
                LEN(A46) - FIND(".", A46) + 2)
        )
    ),
"")</x:f>
        <x:v>2</x:v>
      </x:c>
      <x:c r="C46" s="133" t="s">
        <x:v>763</x:v>
      </x:c>
      <x:c r="D46" s="134" t="str">
        <x:f aca="0">REPT("   ", B46*2) &amp; C46</x:f>
        <x:v>            Service Air Water Building</x:v>
      </x:c>
      <x:c r="E46" s="134" t="s">
        <x:v>35</x:v>
      </x:c>
      <x:c r="F46" s="134" t="s">
        <x:v>764</x:v>
      </x:c>
      <x:c r="G46" s="136" t="n">
        <x:v>1</x:v>
      </x:c>
      <x:c r="H46" s="134"/>
      <x:c r="I46" s="134"/>
      <x:c r="J46" s="17" t="n">
        <x:v>15090300</x:v>
      </x:c>
      <x:c r="K46" s="137"/>
      <x:c r="L46" s="125"/>
      <x:c r="M46" s="138"/>
      <x:c r="N46" s="125"/>
      <x:c r="O46" s="125"/>
      <x:c r="P46" s="126"/>
      <x:c r="Q46" s="20" t="n">
        <x:v>2025</x:v>
      </x:c>
      <x:c r="R46" s="19" t="s">
        <x:v>96</x:v>
      </x:c>
      <x:c r="S46" s="127" t="s">
        <x:v>721</x:v>
      </x:c>
      <x:c r="T46" s="21"/>
      <x:c r="U46" s="22"/>
      <x:c r="V46" s="23"/>
      <x:c r="W46" s="128" t="s">
        <x:v>43</x:v>
      </x:c>
      <x:c r="X46" s="129" t="n">
        <x:f aca="0">0.9*$I46</x:f>
        <x:v>0</x:v>
      </x:c>
      <x:c r="Y46" s="129" t="n">
        <x:f aca="0">1.5*J46</x:f>
        <x:v>22635450</x:v>
      </x:c>
      <x:c r="Z46" s="128" t="s">
        <x:v>44</x:v>
      </x:c>
      <x:c r="AA46" s="130" t="n">
        <x:f aca="0">0.9*K46</x:f>
        <x:v>0</x:v>
      </x:c>
      <x:c r="AB46" s="130" t="n">
        <x:f aca="0">1.3*K46</x:f>
        <x:v>0</x:v>
      </x:c>
      <x:c r="AC46" s="128" t="s">
        <x:v>44</x:v>
      </x:c>
      <x:c r="AD46" s="130" t="s">
        <x:v>45</x:v>
      </x:c>
      <x:c r="AE46" s="130" t="s">
        <x:v>46</x:v>
      </x:c>
      <x:c r="AF46" s="130" t="s">
        <x:v>47</x:v>
      </x:c>
      <x:c r="AG46" s="128" t="s">
        <x:v>48</x:v>
      </x:c>
    </x:row>
    <x:row r="47" ht="57" hidden="0" customHeight="1">
      <x:c r="A47" s="131" t="n">
        <x:v>283</x:v>
      </x:c>
      <x:c r="B47" s="132" t="n">
        <x:f aca="0">IF(ISNUMBER(A47),
    IF(AND(A47=INT(A47), MOD(A47, 10) = 0), 0,
        IF(AND(A47=INT(A47), LEN(A47)=2), 1,
            IF(AND(A47=INT(A47), LEN(A47)=3), 2,
                LEN(A47) - FIND(".", A47) + 2)
        )
    ),
"")</x:f>
        <x:v>2</x:v>
      </x:c>
      <x:c r="C47" s="133" t="s">
        <x:v>652</x:v>
      </x:c>
      <x:c r="D47" s="134" t="str">
        <x:f aca="0">REPT("   ", B47*2) &amp; C47</x:f>
        <x:v>            Fire Station</x:v>
      </x:c>
      <x:c r="E47" s="134" t="s">
        <x:v>35</x:v>
      </x:c>
      <x:c r="F47" s="134" t="s">
        <x:v>765</x:v>
      </x:c>
      <x:c r="G47" s="136" t="n">
        <x:v>1</x:v>
      </x:c>
      <x:c r="H47" s="134"/>
      <x:c r="I47" s="134"/>
      <x:c r="J47" s="17" t="n">
        <x:f aca="0">0.7*20776500</x:f>
        <x:v>14543550</x:v>
      </x:c>
      <x:c r="K47" s="137"/>
      <x:c r="L47" s="125"/>
      <x:c r="M47" s="138"/>
      <x:c r="N47" s="125"/>
      <x:c r="O47" s="125"/>
      <x:c r="P47" s="126"/>
      <x:c r="Q47" s="20" t="n">
        <x:v>2025</x:v>
      </x:c>
      <x:c r="R47" s="19" t="s">
        <x:v>96</x:v>
      </x:c>
      <x:c r="S47" s="127" t="s">
        <x:v>635</x:v>
      </x:c>
      <x:c r="T47" s="21"/>
      <x:c r="U47" s="22"/>
      <x:c r="V47" s="23"/>
      <x:c r="W47" s="128" t="s">
        <x:v>43</x:v>
      </x:c>
      <x:c r="X47" s="129" t="n">
        <x:f aca="0">0.9*$I47</x:f>
        <x:v>0</x:v>
      </x:c>
      <x:c r="Y47" s="129" t="n">
        <x:f aca="0">1.5*J47</x:f>
        <x:v>21815325</x:v>
      </x:c>
      <x:c r="Z47" s="128" t="s">
        <x:v>44</x:v>
      </x:c>
      <x:c r="AA47" s="130" t="n">
        <x:f aca="0">0.9*K47</x:f>
        <x:v>0</x:v>
      </x:c>
      <x:c r="AB47" s="130" t="n">
        <x:f aca="0">1.3*K47</x:f>
        <x:v>0</x:v>
      </x:c>
      <x:c r="AC47" s="128" t="s">
        <x:v>44</x:v>
      </x:c>
      <x:c r="AD47" s="130" t="s">
        <x:v>45</x:v>
      </x:c>
      <x:c r="AE47" s="130" t="s">
        <x:v>46</x:v>
      </x:c>
      <x:c r="AF47" s="130" t="s">
        <x:v>47</x:v>
      </x:c>
      <x:c r="AG47" s="128" t="s">
        <x:v>48</x:v>
      </x:c>
    </x:row>
    <x:row r="48" ht="57" hidden="0" customHeight="1">
      <x:c r="A48" s="131" t="n">
        <x:v>284</x:v>
      </x:c>
      <x:c r="B48" s="132" t="n">
        <x:f aca="0">IF(ISNUMBER(A48),
    IF(AND(A48=INT(A48), MOD(A48, 10) = 0), 0,
        IF(AND(A48=INT(A48), LEN(A48)=2), 1,
            IF(AND(A48=INT(A48), LEN(A48)=3), 2,
                LEN(A48) - FIND(".", A48) + 2)
        )
    ),
"")</x:f>
        <x:v>2</x:v>
      </x:c>
      <x:c r="C48" s="133" t="s">
        <x:v>654</x:v>
      </x:c>
      <x:c r="D48" s="134" t="str">
        <x:f aca="0">REPT("   ", B48*2) &amp; C48</x:f>
        <x:v>            Security Building</x:v>
      </x:c>
      <x:c r="E48" s="134" t="s">
        <x:v>35</x:v>
      </x:c>
      <x:c r="F48" s="134"/>
      <x:c r="G48" s="136"/>
      <x:c r="H48" s="134"/>
      <x:c r="I48" s="134"/>
      <x:c r="J48" s="17"/>
      <x:c r="K48" s="137" t="n">
        <x:f aca="0">0.7*2548*(3.2808^2)</x:f>
        <x:v>19198.043714304</x:v>
      </x:c>
      <x:c r="L48" s="125" t="s">
        <x:v>102</x:v>
      </x:c>
      <x:c r="M48" s="138" t="s">
        <x:v>766</x:v>
      </x:c>
      <x:c r="N48" s="125" t="n">
        <x:v>1</x:v>
      </x:c>
      <x:c r="O48" s="125" t="s">
        <x:v>104</x:v>
      </x:c>
      <x:c r="P48" s="126" t="n">
        <x:v>1</x:v>
      </x:c>
      <x:c r="Q48" s="20" t="n">
        <x:v>2025</x:v>
      </x:c>
      <x:c r="R48" s="19" t="s">
        <x:v>96</x:v>
      </x:c>
      <x:c r="S48" s="127" t="s">
        <x:v>635</x:v>
      </x:c>
      <x:c r="T48" s="21"/>
      <x:c r="U48" s="22"/>
      <x:c r="V48" s="23"/>
      <x:c r="W48" s="128" t="s">
        <x:v>43</x:v>
      </x:c>
      <x:c r="X48" s="129" t="n">
        <x:f aca="0">0.9*$I48</x:f>
        <x:v>0</x:v>
      </x:c>
      <x:c r="Y48" s="129" t="n">
        <x:f aca="0">1.5*J48</x:f>
        <x:v>0</x:v>
      </x:c>
      <x:c r="Z48" s="128" t="s">
        <x:v>44</x:v>
      </x:c>
      <x:c r="AA48" s="130" t="n">
        <x:f aca="0">0.9*K48</x:f>
        <x:v>17278.2393428736</x:v>
      </x:c>
      <x:c r="AB48" s="130" t="n">
        <x:f aca="0">1.3*K48</x:f>
        <x:v>24957.4568285952</x:v>
      </x:c>
      <x:c r="AC48" s="128" t="s">
        <x:v>44</x:v>
      </x:c>
      <x:c r="AD48" s="130" t="s">
        <x:v>45</x:v>
      </x:c>
      <x:c r="AE48" s="130" t="s">
        <x:v>46</x:v>
      </x:c>
      <x:c r="AF48" s="130" t="s">
        <x:v>47</x:v>
      </x:c>
      <x:c r="AG48" s="128" t="s">
        <x:v>48</x:v>
      </x:c>
    </x:row>
    <x:row r="49" ht="45.75" hidden="0" customHeight="1">
      <x:c r="A49" s="131" t="n">
        <x:v>285</x:v>
      </x:c>
      <x:c r="B49" s="132" t="n">
        <x:f aca="0">IF(ISNUMBER(A49),
    IF(AND(A49=INT(A49), MOD(A49, 10) = 0), 0,
        IF(AND(A49=INT(A49), LEN(A49)=2), 1,
            IF(AND(A49=INT(A49), LEN(A49)=3), 2,
                LEN(A49) - FIND(".", A49) + 2)
        )
    ),
"")</x:f>
        <x:v>2</x:v>
      </x:c>
      <x:c r="C49" s="133" t="s">
        <x:v>656</x:v>
      </x:c>
      <x:c r="D49" s="134" t="str">
        <x:f aca="0">REPT("   ", B49*2) &amp; C49</x:f>
        <x:v>            Switchyard</x:v>
      </x:c>
      <x:c r="E49" s="134" t="s">
        <x:v>35</x:v>
      </x:c>
      <x:c r="F49" s="134"/>
      <x:c r="G49" s="136"/>
      <x:c r="H49" s="134"/>
      <x:c r="I49" s="134"/>
      <x:c r="J49" s="17"/>
      <x:c r="K49" s="137" t="n">
        <x:f aca="0">0.7*221450153/N49</x:f>
        <x:v>516717.02366666665</x:v>
      </x:c>
      <x:c r="L49" s="125" t="s">
        <x:v>50</x:v>
      </x:c>
      <x:c r="M49" s="138" t="s">
        <x:v>707</x:v>
      </x:c>
      <x:c r="N49" s="125" t="n">
        <x:v>300</x:v>
      </x:c>
      <x:c r="O49" s="125" t="s">
        <x:v>52</x:v>
      </x:c>
      <x:c r="P49" s="139" t="n">
        <x:v>0.9968</x:v>
      </x:c>
      <x:c r="Q49" s="20" t="n">
        <x:v>2025</x:v>
      </x:c>
      <x:c r="R49" s="19" t="s">
        <x:v>96</x:v>
      </x:c>
      <x:c r="S49" s="127" t="s">
        <x:v>658</x:v>
      </x:c>
      <x:c r="T49" s="21"/>
      <x:c r="U49" s="22"/>
      <x:c r="V49" s="23"/>
      <x:c r="W49" s="128" t="s">
        <x:v>43</x:v>
      </x:c>
      <x:c r="X49" s="129" t="n">
        <x:f aca="0">0.9*$I49</x:f>
        <x:v>0</x:v>
      </x:c>
      <x:c r="Y49" s="129" t="n">
        <x:f aca="0">1.5*J49</x:f>
        <x:v>0</x:v>
      </x:c>
      <x:c r="Z49" s="128" t="s">
        <x:v>44</x:v>
      </x:c>
      <x:c r="AA49" s="130" t="n">
        <x:f aca="0">0.9*K49</x:f>
        <x:v>465045.3213</x:v>
      </x:c>
      <x:c r="AB49" s="130" t="n">
        <x:f aca="0">1.3*K49</x:f>
        <x:v>671732.1307666666</x:v>
      </x:c>
      <x:c r="AC49" s="128" t="s">
        <x:v>44</x:v>
      </x:c>
      <x:c r="AD49" s="130" t="s">
        <x:v>45</x:v>
      </x:c>
      <x:c r="AE49" s="130" t="s">
        <x:v>46</x:v>
      </x:c>
      <x:c r="AF49" s="130" t="s">
        <x:v>47</x:v>
      </x:c>
      <x:c r="AG49" s="128" t="s">
        <x:v>48</x:v>
      </x:c>
    </x:row>
    <x:row r="50" ht="13.5" hidden="0" customHeight="1">
      <x:c r="A50" s="6" t="n">
        <x:v>286</x:v>
      </x:c>
      <x:c r="B50" s="9" t="n">
        <x:f aca="0">IF(ISNUMBER(A50),
    IF(AND(A50=INT(A50), MOD(A50, 10) = 0), 0,
        IF(AND(A50=INT(A50), LEN(A50)=2), 1,
            IF(AND(A50=INT(A50), LEN(A50)=3), 2,
                LEN(A50) - FIND(".", A50) + 2)
        )
    ),
"")</x:f>
        <x:v>2</x:v>
      </x:c>
      <x:c r="C50" s="26" t="s">
        <x:v>659</x:v>
      </x:c>
      <x:c r="D50" s="10" t="str">
        <x:f aca="0">REPT("   ", B50*2) &amp; C50</x:f>
        <x:v>            Onsite Transport Equipment</x:v>
      </x:c>
      <x:c r="E50" s="10"/>
      <x:c r="F50" s="10"/>
      <x:c r="G50" s="109"/>
      <x:c r="H50" s="10"/>
      <x:c r="I50" s="10"/>
      <x:c r="J50" s="27"/>
      <x:c r="K50" s="17"/>
      <x:c r="L50" s="23"/>
      <x:c r="M50" s="18"/>
      <x:c r="N50" s="23"/>
      <x:c r="O50" s="23"/>
      <x:c r="P50" s="20"/>
      <x:c r="Q50" s="20"/>
      <x:c r="R50" s="23"/>
      <x:c r="S50" s="26"/>
      <x:c r="T50" s="26"/>
      <x:c r="U50" s="23"/>
      <x:c r="V50" s="23"/>
      <x:c r="W50" s="12"/>
      <x:c r="X50" s="24"/>
      <x:c r="Y50" s="24"/>
      <x:c r="Z50" s="12"/>
      <x:c r="AA50" s="13"/>
      <x:c r="AB50" s="13"/>
      <x:c r="AC50" s="12"/>
      <x:c r="AD50" s="13"/>
      <x:c r="AE50" s="13"/>
      <x:c r="AF50" s="13"/>
      <x:c r="AG50" s="12"/>
    </x:row>
    <x:row r="51" ht="34.5" hidden="0" customHeight="1">
      <x:c r="A51" s="6" t="n">
        <x:v>286.1</x:v>
      </x:c>
      <x:c r="B51" s="9" t="n">
        <x:f aca="0">IF(ISNUMBER(A51),
    IF(AND(A51=INT(A51), MOD(A51, 10) = 0), 0,
        IF(AND(A51=INT(A51), LEN(A51)=2), 1,
            IF(AND(A51=INT(A51), LEN(A51)=3), 2,
                LEN(A51) - FIND(".", A51) + 2)
        )
    ),
"")</x:f>
        <x:v>3</x:v>
      </x:c>
      <x:c r="C51" s="26" t="s">
        <x:v>660</x:v>
      </x:c>
      <x:c r="D51" s="10" t="str">
        <x:f aca="0">REPT("   ", B51*2) &amp; C51</x:f>
        <x:v>                  Local Reactor Transport Vehicles</x:v>
      </x:c>
      <x:c r="E51" s="10" t="s">
        <x:v>35</x:v>
      </x:c>
      <x:c r="F51" s="10" t="s">
        <x:v>767</x:v>
      </x:c>
      <x:c r="G51" s="109" t="n">
        <x:v>1</x:v>
      </x:c>
      <x:c r="H51" s="10"/>
      <x:c r="I51" s="10"/>
      <x:c r="J51" s="27" t="n">
        <x:v>938000</x:v>
      </x:c>
      <x:c r="K51" s="17"/>
      <x:c r="L51" s="23"/>
      <x:c r="M51" s="18"/>
      <x:c r="N51" s="23"/>
      <x:c r="O51" s="23"/>
      <x:c r="P51" s="20"/>
      <x:c r="Q51" s="20" t="n">
        <x:v>2023</x:v>
      </x:c>
      <x:c r="R51" s="23" t="s">
        <x:v>163</x:v>
      </x:c>
      <x:c r="S51" s="26" t="s">
        <x:v>662</x:v>
      </x:c>
      <x:c r="T51" s="26" t="s">
        <x:v>663</x:v>
      </x:c>
      <x:c r="U51" s="23"/>
      <x:c r="V51" s="23"/>
      <x:c r="W51" s="12" t="s">
        <x:v>43</x:v>
      </x:c>
      <x:c r="X51" s="24" t="n">
        <x:f aca="0">0.9*$J51</x:f>
        <x:v>844200</x:v>
      </x:c>
      <x:c r="Y51" s="24" t="n">
        <x:f aca="0">1.5*J51</x:f>
        <x:v>1407000</x:v>
      </x:c>
      <x:c r="Z51" s="12" t="s">
        <x:v>44</x:v>
      </x:c>
      <x:c r="AA51" s="13" t="n">
        <x:f aca="0">0.9*K51</x:f>
        <x:v>0</x:v>
      </x:c>
      <x:c r="AB51" s="13" t="n">
        <x:f aca="0">1.3*K51</x:f>
        <x:v>0</x:v>
      </x:c>
      <x:c r="AC51" s="12" t="s">
        <x:v>44</x:v>
      </x:c>
      <x:c r="AD51" s="13" t="s">
        <x:v>45</x:v>
      </x:c>
      <x:c r="AE51" s="13" t="s">
        <x:v>46</x:v>
      </x:c>
      <x:c r="AF51" s="13" t="s">
        <x:v>47</x:v>
      </x:c>
      <x:c r="AG51" s="12" t="s">
        <x:v>48</x:v>
      </x:c>
    </x:row>
    <x:row r="52" ht="23.25" hidden="0" customHeight="1">
      <x:c r="A52" s="6" t="n">
        <x:v>286.2</x:v>
      </x:c>
      <x:c r="B52" s="9" t="n">
        <x:f aca="0">IF(ISNUMBER(A52),
    IF(AND(A52=INT(A52), MOD(A52, 10) = 0), 0,
        IF(AND(A52=INT(A52), LEN(A52)=2), 1,
            IF(AND(A52=INT(A52), LEN(A52)=3), 2,
                LEN(A52) - FIND(".", A52) + 2)
        )
    ),
"")</x:f>
        <x:v>3</x:v>
      </x:c>
      <x:c r="C52" s="26" t="s">
        <x:v>664</x:v>
      </x:c>
      <x:c r="D52" s="10" t="str">
        <x:f aca="0">REPT("   ", B52*2) &amp; C52</x:f>
        <x:v>                  Utility Vehicles</x:v>
      </x:c>
      <x:c r="E52" s="10" t="s">
        <x:v>35</x:v>
      </x:c>
      <x:c r="F52" s="10" t="s">
        <x:v>768</x:v>
      </x:c>
      <x:c r="G52" s="109" t="n">
        <x:v>1</x:v>
      </x:c>
      <x:c r="H52" s="10"/>
      <x:c r="I52" s="10"/>
      <x:c r="J52" s="27" t="n">
        <x:v>50000</x:v>
      </x:c>
      <x:c r="K52" s="17"/>
      <x:c r="L52" s="23"/>
      <x:c r="M52" s="18"/>
      <x:c r="N52" s="23"/>
      <x:c r="O52" s="23"/>
      <x:c r="P52" s="20"/>
      <x:c r="Q52" s="20" t="n">
        <x:v>2024</x:v>
      </x:c>
      <x:c r="R52" s="23" t="s">
        <x:v>163</x:v>
      </x:c>
      <x:c r="S52" s="26" t="s">
        <x:v>666</x:v>
      </x:c>
      <x:c r="T52" s="26"/>
      <x:c r="U52" s="23"/>
      <x:c r="V52" s="23"/>
      <x:c r="W52" s="12" t="s">
        <x:v>43</x:v>
      </x:c>
      <x:c r="X52" s="24" t="n">
        <x:f aca="0">0.9*$J52</x:f>
        <x:v>45000</x:v>
      </x:c>
      <x:c r="Y52" s="24" t="n">
        <x:f aca="0">1.5*J52</x:f>
        <x:v>75000</x:v>
      </x:c>
      <x:c r="Z52" s="12" t="s">
        <x:v>44</x:v>
      </x:c>
      <x:c r="AA52" s="13" t="n">
        <x:f aca="0">0.9*K52</x:f>
        <x:v>0</x:v>
      </x:c>
      <x:c r="AB52" s="13" t="n">
        <x:f aca="0">1.3*K52</x:f>
        <x:v>0</x:v>
      </x:c>
      <x:c r="AC52" s="12" t="s">
        <x:v>44</x:v>
      </x:c>
      <x:c r="AD52" s="13" t="s">
        <x:v>45</x:v>
      </x:c>
      <x:c r="AE52" s="13" t="s">
        <x:v>46</x:v>
      </x:c>
      <x:c r="AF52" s="13" t="s">
        <x:v>47</x:v>
      </x:c>
      <x:c r="AG52" s="12" t="s">
        <x:v>48</x:v>
      </x:c>
    </x:row>
    <x:row r="53" ht="13.5" hidden="0" customHeight="1">
      <x:c r="A53" s="6" t="n">
        <x:v>287</x:v>
      </x:c>
      <x:c r="B53" s="9" t="n">
        <x:f aca="0">IF(ISNUMBER(A53),
    IF(AND(A53=INT(A53), MOD(A53, 10) = 0), 0,
        IF(AND(A53=INT(A53), LEN(A53)=2), 1,
            IF(AND(A53=INT(A53), LEN(A53)=3), 2,
                LEN(A53) - FIND(".", A53) + 2)
        )
    ),
"")</x:f>
        <x:v>2</x:v>
      </x:c>
      <x:c r="C53" s="26" t="s">
        <x:v>769</x:v>
      </x:c>
      <x:c r="D53" s="10" t="str">
        <x:f aca="0">REPT("   ", B53*2) &amp; C53</x:f>
        <x:v>            Offsite Transport Equipment</x:v>
      </x:c>
      <x:c r="E53" s="10"/>
      <x:c r="F53" s="10"/>
      <x:c r="G53" s="109"/>
      <x:c r="H53" s="10"/>
      <x:c r="I53" s="10"/>
      <x:c r="J53" s="27"/>
      <x:c r="K53" s="17"/>
      <x:c r="L53" s="23"/>
      <x:c r="M53" s="18"/>
      <x:c r="N53" s="23"/>
      <x:c r="O53" s="23"/>
      <x:c r="P53" s="20"/>
      <x:c r="Q53" s="20"/>
      <x:c r="R53" s="23"/>
      <x:c r="S53" s="26"/>
      <x:c r="T53" s="26"/>
      <x:c r="U53" s="176"/>
      <x:c r="V53" s="23"/>
      <x:c r="W53" s="12"/>
      <x:c r="X53" s="24"/>
      <x:c r="Y53" s="24"/>
      <x:c r="Z53" s="12"/>
      <x:c r="AA53" s="13"/>
      <x:c r="AB53" s="13"/>
      <x:c r="AC53" s="12"/>
      <x:c r="AD53" s="13"/>
      <x:c r="AE53" s="13"/>
      <x:c r="AF53" s="13"/>
      <x:c r="AG53" s="12"/>
    </x:row>
    <x:row r="54" ht="23.25" hidden="0" customHeight="1">
      <x:c r="A54" s="6" t="n">
        <x:v>287.1</x:v>
      </x:c>
      <x:c r="B54" s="9" t="n">
        <x:f aca="0">IF(ISNUMBER(A54),
    IF(AND(A54=INT(A54), MOD(A54, 10) = 0), 0,
        IF(AND(A54=INT(A54), LEN(A54)=2), 1,
            IF(AND(A54=INT(A54), LEN(A54)=3), 2,
                LEN(A54) - FIND(".", A54) + 2)
        )
    ),
"")</x:f>
        <x:v>3</x:v>
      </x:c>
      <x:c r="C54" s="26" t="s">
        <x:v>770</x:v>
      </x:c>
      <x:c r="D54" s="10" t="str">
        <x:f aca="0">REPT("   ", B54*2) &amp; C54</x:f>
        <x:v>                  Reactor Transport Vehicles</x:v>
      </x:c>
      <x:c r="E54" s="10" t="s">
        <x:v>35</x:v>
      </x:c>
      <x:c r="F54" s="10" t="s">
        <x:v>771</x:v>
      </x:c>
      <x:c r="G54" s="109" t="n">
        <x:v>1</x:v>
      </x:c>
      <x:c r="H54" s="10"/>
      <x:c r="I54" s="10"/>
      <x:c r="J54" s="27" t="n">
        <x:v>1000000</x:v>
      </x:c>
      <x:c r="K54" s="17"/>
      <x:c r="L54" s="23"/>
      <x:c r="M54" s="18"/>
      <x:c r="N54" s="23"/>
      <x:c r="O54" s="23"/>
      <x:c r="P54" s="20"/>
      <x:c r="Q54" s="20" t="n">
        <x:v>2024</x:v>
      </x:c>
      <x:c r="R54" s="23" t="s">
        <x:v>163</x:v>
      </x:c>
      <x:c r="S54" s="26" t="s">
        <x:v>666</x:v>
      </x:c>
      <x:c r="T54" s="26"/>
      <x:c r="U54" s="176"/>
      <x:c r="V54" s="23"/>
      <x:c r="W54" s="12" t="s">
        <x:v>43</x:v>
      </x:c>
      <x:c r="X54" s="24" t="n">
        <x:f aca="0">0.9*$J54</x:f>
        <x:v>900000</x:v>
      </x:c>
      <x:c r="Y54" s="24" t="n">
        <x:f aca="0">1.5*J54</x:f>
        <x:v>1500000</x:v>
      </x:c>
      <x:c r="Z54" s="12" t="s">
        <x:v>44</x:v>
      </x:c>
      <x:c r="AA54" s="13" t="n">
        <x:f aca="0">0.9*K54</x:f>
        <x:v>0</x:v>
      </x:c>
      <x:c r="AB54" s="13" t="n">
        <x:f aca="0">1.3*K54</x:f>
        <x:v>0</x:v>
      </x:c>
      <x:c r="AC54" s="12" t="s">
        <x:v>44</x:v>
      </x:c>
      <x:c r="AD54" s="13" t="s">
        <x:v>45</x:v>
      </x:c>
      <x:c r="AE54" s="13" t="s">
        <x:v>46</x:v>
      </x:c>
      <x:c r="AF54" s="13" t="s">
        <x:v>47</x:v>
      </x:c>
      <x:c r="AG54" s="12" t="s">
        <x:v>48</x:v>
      </x:c>
    </x:row>
    <x:row r="55" ht="23.25" hidden="0" customHeight="1">
      <x:c r="A55" s="6" t="n">
        <x:v>287.2</x:v>
      </x:c>
      <x:c r="B55" s="9" t="n">
        <x:f aca="0">IF(ISNUMBER(A55),
    IF(AND(A55=INT(A55), MOD(A55, 10) = 0), 0,
        IF(AND(A55=INT(A55), LEN(A55)=2), 1,
            IF(AND(A55=INT(A55), LEN(A55)=3), 2,
                LEN(A55) - FIND(".", A55) + 2)
        )
    ),
"")</x:f>
        <x:v>3</x:v>
      </x:c>
      <x:c r="C55" s="26" t="s">
        <x:v>772</x:v>
      </x:c>
      <x:c r="D55" s="10" t="str">
        <x:f aca="0">REPT("   ", B55*2) &amp; C55</x:f>
        <x:v>                  Helium Transport Trucks</x:v>
      </x:c>
      <x:c r="E55" s="10" t="s">
        <x:v>35</x:v>
      </x:c>
      <x:c r="F55" s="10" t="s">
        <x:v>773</x:v>
      </x:c>
      <x:c r="G55" s="109" t="n">
        <x:v>1</x:v>
      </x:c>
      <x:c r="H55" s="10"/>
      <x:c r="I55" s="10"/>
      <x:c r="J55" s="27" t="n">
        <x:v>500000</x:v>
      </x:c>
      <x:c r="K55" s="17"/>
      <x:c r="L55" s="23"/>
      <x:c r="M55" s="18"/>
      <x:c r="N55" s="23"/>
      <x:c r="O55" s="23"/>
      <x:c r="P55" s="20"/>
      <x:c r="Q55" s="20" t="n">
        <x:v>2024</x:v>
      </x:c>
      <x:c r="R55" s="23" t="s">
        <x:v>163</x:v>
      </x:c>
      <x:c r="S55" s="26" t="s">
        <x:v>666</x:v>
      </x:c>
      <x:c r="T55" s="26"/>
      <x:c r="U55" s="176"/>
      <x:c r="V55" s="23"/>
      <x:c r="W55" s="12" t="s">
        <x:v>43</x:v>
      </x:c>
      <x:c r="X55" s="24" t="n">
        <x:f aca="0">0.9*$J55</x:f>
        <x:v>450000</x:v>
      </x:c>
      <x:c r="Y55" s="24" t="n">
        <x:f aca="0">1.5*J55</x:f>
        <x:v>750000</x:v>
      </x:c>
      <x:c r="Z55" s="12" t="s">
        <x:v>44</x:v>
      </x:c>
      <x:c r="AA55" s="13" t="n">
        <x:f aca="0">0.9*K55</x:f>
        <x:v>0</x:v>
      </x:c>
      <x:c r="AB55" s="13" t="n">
        <x:f aca="0">1.3*K55</x:f>
        <x:v>0</x:v>
      </x:c>
      <x:c r="AC55" s="12" t="s">
        <x:v>44</x:v>
      </x:c>
      <x:c r="AD55" s="13" t="s">
        <x:v>45</x:v>
      </x:c>
      <x:c r="AE55" s="13" t="s">
        <x:v>46</x:v>
      </x:c>
      <x:c r="AF55" s="13" t="s">
        <x:v>47</x:v>
      </x:c>
      <x:c r="AG55" s="12" t="s">
        <x:v>48</x:v>
      </x:c>
    </x:row>
    <x:row r="56" ht="23.25" hidden="0" customHeight="1">
      <x:c r="A56" s="6" t="n">
        <x:v>287.3</x:v>
      </x:c>
      <x:c r="B56" s="9" t="n">
        <x:f aca="0">IF(ISNUMBER(A56),
    IF(AND(A56=INT(A56), MOD(A56, 10) = 0), 0,
        IF(AND(A56=INT(A56), LEN(A56)=2), 1,
            IF(AND(A56=INT(A56), LEN(A56)=3), 2,
                LEN(A56) - FIND(".", A56) + 2)
        )
    ),
"")</x:f>
        <x:v>3</x:v>
      </x:c>
      <x:c r="C56" s="26" t="s">
        <x:v>774</x:v>
      </x:c>
      <x:c r="D56" s="10" t="str">
        <x:f aca="0">REPT("   ", B56*2) &amp; C56</x:f>
        <x:v>                  Water Tanker Trucks</x:v>
      </x:c>
      <x:c r="E56" s="10" t="s">
        <x:v>35</x:v>
      </x:c>
      <x:c r="F56" s="10" t="s">
        <x:v>775</x:v>
      </x:c>
      <x:c r="G56" s="109" t="n">
        <x:v>1</x:v>
      </x:c>
      <x:c r="H56" s="10"/>
      <x:c r="I56" s="10"/>
      <x:c r="J56" s="27" t="n">
        <x:v>300000</x:v>
      </x:c>
      <x:c r="K56" s="17"/>
      <x:c r="L56" s="23"/>
      <x:c r="M56" s="18"/>
      <x:c r="N56" s="23"/>
      <x:c r="O56" s="23"/>
      <x:c r="P56" s="20"/>
      <x:c r="Q56" s="20" t="n">
        <x:v>2024</x:v>
      </x:c>
      <x:c r="R56" s="23" t="s">
        <x:v>163</x:v>
      </x:c>
      <x:c r="S56" s="26" t="s">
        <x:v>666</x:v>
      </x:c>
      <x:c r="T56" s="26"/>
      <x:c r="U56" s="176"/>
      <x:c r="V56" s="23"/>
      <x:c r="W56" s="12" t="s">
        <x:v>43</x:v>
      </x:c>
      <x:c r="X56" s="24" t="n">
        <x:f aca="0">0.9*$J56</x:f>
        <x:v>270000</x:v>
      </x:c>
      <x:c r="Y56" s="24" t="n">
        <x:f aca="0">1.5*J56</x:f>
        <x:v>450000</x:v>
      </x:c>
      <x:c r="Z56" s="12" t="s">
        <x:v>44</x:v>
      </x:c>
      <x:c r="AA56" s="13" t="n">
        <x:f aca="0">0.9*K56</x:f>
        <x:v>0</x:v>
      </x:c>
      <x:c r="AB56" s="13" t="n">
        <x:f aca="0">1.3*K56</x:f>
        <x:v>0</x:v>
      </x:c>
      <x:c r="AC56" s="12" t="s">
        <x:v>44</x:v>
      </x:c>
      <x:c r="AD56" s="13" t="s">
        <x:v>45</x:v>
      </x:c>
      <x:c r="AE56" s="13" t="s">
        <x:v>46</x:v>
      </x:c>
      <x:c r="AF56" s="13" t="s">
        <x:v>47</x:v>
      </x:c>
      <x:c r="AG56" s="12" t="s">
        <x:v>48</x:v>
      </x:c>
    </x:row>
    <x:row r="57" ht="23.25" hidden="0" customHeight="1">
      <x:c r="A57" s="6" t="n">
        <x:v>287.4</x:v>
      </x:c>
      <x:c r="B57" s="9" t="n">
        <x:f aca="0">IF(ISNUMBER(A57),
    IF(AND(A57=INT(A57), MOD(A57, 10) = 0), 0,
        IF(AND(A57=INT(A57), LEN(A57)=2), 1,
            IF(AND(A57=INT(A57), LEN(A57)=3), 2,
                LEN(A57) - FIND(".", A57) + 2)
        )
    ),
"")</x:f>
        <x:v>3</x:v>
      </x:c>
      <x:c r="C57" s="26" t="s">
        <x:v>776</x:v>
      </x:c>
      <x:c r="D57" s="10" t="str">
        <x:f aca="0">REPT("   ", B57*2) &amp; C57</x:f>
        <x:v>                  Maintenance Trucks</x:v>
      </x:c>
      <x:c r="E57" s="10" t="s">
        <x:v>35</x:v>
      </x:c>
      <x:c r="F57" s="10" t="s">
        <x:v>777</x:v>
      </x:c>
      <x:c r="G57" s="109" t="n">
        <x:v>1</x:v>
      </x:c>
      <x:c r="H57" s="10"/>
      <x:c r="I57" s="10"/>
      <x:c r="J57" s="27" t="n">
        <x:v>500000</x:v>
      </x:c>
      <x:c r="K57" s="17"/>
      <x:c r="L57" s="23"/>
      <x:c r="M57" s="18"/>
      <x:c r="N57" s="23"/>
      <x:c r="O57" s="23"/>
      <x:c r="P57" s="20"/>
      <x:c r="Q57" s="20" t="n">
        <x:v>2024</x:v>
      </x:c>
      <x:c r="R57" s="23" t="s">
        <x:v>163</x:v>
      </x:c>
      <x:c r="S57" s="26" t="s">
        <x:v>666</x:v>
      </x:c>
      <x:c r="T57" s="26"/>
      <x:c r="U57" s="176"/>
      <x:c r="V57" s="23"/>
      <x:c r="W57" s="12" t="s">
        <x:v>43</x:v>
      </x:c>
      <x:c r="X57" s="24" t="n">
        <x:f aca="0">0.9*$J57</x:f>
        <x:v>450000</x:v>
      </x:c>
      <x:c r="Y57" s="24" t="n">
        <x:f aca="0">1.5*J57</x:f>
        <x:v>750000</x:v>
      </x:c>
      <x:c r="Z57" s="12" t="s">
        <x:v>44</x:v>
      </x:c>
      <x:c r="AA57" s="13" t="n">
        <x:f aca="0">0.9*K57</x:f>
        <x:v>0</x:v>
      </x:c>
      <x:c r="AB57" s="13" t="n">
        <x:f aca="0">1.3*K57</x:f>
        <x:v>0</x:v>
      </x:c>
      <x:c r="AC57" s="12" t="s">
        <x:v>44</x:v>
      </x:c>
      <x:c r="AD57" s="13" t="s">
        <x:v>45</x:v>
      </x:c>
      <x:c r="AE57" s="13" t="s">
        <x:v>46</x:v>
      </x:c>
      <x:c r="AF57" s="13" t="s">
        <x:v>47</x:v>
      </x:c>
      <x:c r="AG57" s="12" t="s">
        <x:v>48</x:v>
      </x:c>
    </x:row>
    <x:row r="58" ht="13.5" hidden="0" customHeight="1">
      <x:c r="A58" s="6" t="n">
        <x:v>287.5</x:v>
      </x:c>
      <x:c r="B58" s="9" t="n">
        <x:f aca="0">IF(ISNUMBER(A58),
    IF(AND(A58=INT(A58), MOD(A58, 10) = 0), 0,
        IF(AND(A58=INT(A58), LEN(A58)=2), 1,
            IF(AND(A58=INT(A58), LEN(A58)=3), 2,
                LEN(A58) - FIND(".", A58) + 2)
        )
    ),
"")</x:f>
        <x:v>3</x:v>
      </x:c>
      <x:c r="C58" s="26" t="s">
        <x:v>778</x:v>
      </x:c>
      <x:c r="D58" s="10" t="str">
        <x:f aca="0">REPT("   ", B58*2) &amp; C58</x:f>
        <x:v>                  Air Transport Equipment</x:v>
      </x:c>
      <x:c r="E58" s="10"/>
      <x:c r="F58" s="10"/>
      <x:c r="G58" s="109"/>
      <x:c r="H58" s="10"/>
      <x:c r="I58" s="10"/>
      <x:c r="J58" s="27"/>
      <x:c r="K58" s="17"/>
      <x:c r="L58" s="23"/>
      <x:c r="M58" s="18"/>
      <x:c r="N58" s="23"/>
      <x:c r="O58" s="23"/>
      <x:c r="P58" s="20"/>
      <x:c r="Q58" s="20"/>
      <x:c r="R58" s="23"/>
      <x:c r="S58" s="26"/>
      <x:c r="T58" s="26"/>
      <x:c r="U58" s="176"/>
      <x:c r="V58" s="23"/>
      <x:c r="W58" s="12"/>
      <x:c r="X58" s="24"/>
      <x:c r="Y58" s="24"/>
      <x:c r="Z58" s="12"/>
      <x:c r="AA58" s="13"/>
      <x:c r="AB58" s="13"/>
      <x:c r="AC58" s="12"/>
      <x:c r="AD58" s="13"/>
      <x:c r="AE58" s="13"/>
      <x:c r="AF58" s="13"/>
      <x:c r="AG58" s="12"/>
    </x:row>
    <x:row r="59" ht="13.5" hidden="0" customHeight="1">
      <x:c r="A59" s="6" t="n">
        <x:v>287.51</x:v>
      </x:c>
      <x:c r="B59" s="9" t="n">
        <x:f aca="0">IF(ISNUMBER(A59),
    IF(AND(A59=INT(A59), MOD(A59, 10) = 0), 0,
        IF(AND(A59=INT(A59), LEN(A59)=2), 1,
            IF(AND(A59=INT(A59), LEN(A59)=3), 2,
                LEN(A59) - FIND(".", A59) + 2)
        )
    ),
"")</x:f>
        <x:v>4</x:v>
      </x:c>
      <x:c r="C59" s="26" t="s">
        <x:v>779</x:v>
      </x:c>
      <x:c r="D59" s="10" t="str">
        <x:f aca="0">REPT("   ", B59*2) &amp; C59</x:f>
        <x:v>                        Heavy Lift Helicopters</x:v>
      </x:c>
      <x:c r="E59" s="10" t="s">
        <x:v>35</x:v>
      </x:c>
      <x:c r="F59" s="10" t="s">
        <x:v>780</x:v>
      </x:c>
      <x:c r="G59" s="109" t="n">
        <x:v>1</x:v>
      </x:c>
      <x:c r="H59" s="10"/>
      <x:c r="I59" s="10"/>
      <x:c r="J59" s="27" t="n">
        <x:v>50000000</x:v>
      </x:c>
      <x:c r="K59" s="17"/>
      <x:c r="L59" s="23"/>
      <x:c r="M59" s="18"/>
      <x:c r="N59" s="23"/>
      <x:c r="O59" s="23"/>
      <x:c r="P59" s="20"/>
      <x:c r="Q59" s="20" t="n">
        <x:v>2024</x:v>
      </x:c>
      <x:c r="R59" s="23" t="s">
        <x:v>163</x:v>
      </x:c>
      <x:c r="S59" s="26" t="s">
        <x:v>739</x:v>
      </x:c>
      <x:c r="T59" s="26"/>
      <x:c r="U59" s="176"/>
      <x:c r="V59" s="23"/>
      <x:c r="W59" s="12" t="s">
        <x:v>43</x:v>
      </x:c>
      <x:c r="X59" s="24" t="n">
        <x:f aca="0">0.9*$J59</x:f>
        <x:v>45000000</x:v>
      </x:c>
      <x:c r="Y59" s="24" t="n">
        <x:f aca="0">1.5*J59</x:f>
        <x:v>75000000</x:v>
      </x:c>
      <x:c r="Z59" s="12" t="s">
        <x:v>44</x:v>
      </x:c>
      <x:c r="AA59" s="13" t="n">
        <x:f aca="0">0.9*K59</x:f>
        <x:v>0</x:v>
      </x:c>
      <x:c r="AB59" s="13" t="n">
        <x:f aca="0">1.3*K59</x:f>
        <x:v>0</x:v>
      </x:c>
      <x:c r="AC59" s="12" t="s">
        <x:v>44</x:v>
      </x:c>
      <x:c r="AD59" s="13" t="s">
        <x:v>45</x:v>
      </x:c>
      <x:c r="AE59" s="13" t="s">
        <x:v>46</x:v>
      </x:c>
      <x:c r="AF59" s="13" t="s">
        <x:v>47</x:v>
      </x:c>
      <x:c r="AG59" s="12" t="s">
        <x:v>48</x:v>
      </x:c>
    </x:row>
    <x:row r="60" ht="13.5" hidden="0" customHeight="1">
      <x:c r="A60" s="6" t="n">
        <x:v>287.52</x:v>
      </x:c>
      <x:c r="B60" s="9" t="n">
        <x:f aca="0">IF(ISNUMBER(A60),
    IF(AND(A60=INT(A60), MOD(A60, 10) = 0), 0,
        IF(AND(A60=INT(A60), LEN(A60)=2), 1,
            IF(AND(A60=INT(A60), LEN(A60)=3), 2,
                LEN(A60) - FIND(".", A60) + 2)
        )
    ),
"")</x:f>
        <x:v>4</x:v>
      </x:c>
      <x:c r="C60" s="26" t="s">
        <x:v>781</x:v>
      </x:c>
      <x:c r="D60" s="10" t="str">
        <x:f aca="0">REPT("   ", B60*2) &amp; C60</x:f>
        <x:v>                        Aircraft Maintenance Equipment</x:v>
      </x:c>
      <x:c r="E60" s="10" t="s">
        <x:v>35</x:v>
      </x:c>
      <x:c r="F60" s="10" t="s">
        <x:v>623</x:v>
      </x:c>
      <x:c r="G60" s="109" t="n">
        <x:v>1</x:v>
      </x:c>
      <x:c r="H60" s="10"/>
      <x:c r="I60" s="10"/>
      <x:c r="J60" s="27" t="n">
        <x:v>1000000</x:v>
      </x:c>
      <x:c r="K60" s="17"/>
      <x:c r="L60" s="23"/>
      <x:c r="M60" s="18"/>
      <x:c r="N60" s="23"/>
      <x:c r="O60" s="23"/>
      <x:c r="P60" s="20"/>
      <x:c r="Q60" s="20" t="n">
        <x:v>2024</x:v>
      </x:c>
      <x:c r="R60" s="23" t="s">
        <x:v>163</x:v>
      </x:c>
      <x:c r="S60" s="26" t="s">
        <x:v>739</x:v>
      </x:c>
      <x:c r="T60" s="26"/>
      <x:c r="U60" s="176"/>
      <x:c r="V60" s="23"/>
      <x:c r="W60" s="12" t="s">
        <x:v>43</x:v>
      </x:c>
      <x:c r="X60" s="24" t="n">
        <x:f aca="0">0.9*$J60</x:f>
        <x:v>900000</x:v>
      </x:c>
      <x:c r="Y60" s="24" t="n">
        <x:f aca="0">1.5*J60</x:f>
        <x:v>1500000</x:v>
      </x:c>
      <x:c r="Z60" s="12" t="s">
        <x:v>44</x:v>
      </x:c>
      <x:c r="AA60" s="13" t="n">
        <x:f aca="0">0.9*K60</x:f>
        <x:v>0</x:v>
      </x:c>
      <x:c r="AB60" s="13" t="n">
        <x:f aca="0">1.3*K60</x:f>
        <x:v>0</x:v>
      </x:c>
      <x:c r="AC60" s="12" t="s">
        <x:v>44</x:v>
      </x:c>
      <x:c r="AD60" s="13" t="s">
        <x:v>45</x:v>
      </x:c>
      <x:c r="AE60" s="13" t="s">
        <x:v>46</x:v>
      </x:c>
      <x:c r="AF60" s="13" t="s">
        <x:v>47</x:v>
      </x:c>
      <x:c r="AG60" s="12" t="s">
        <x:v>48</x:v>
      </x:c>
    </x:row>
    <x:row r="61" ht="13.5" hidden="0" customHeight="1">
      <x:c r="A61" s="6" t="n">
        <x:v>288</x:v>
      </x:c>
      <x:c r="B61" s="9" t="n">
        <x:f aca="0">IF(ISNUMBER(A61),
    IF(AND(A61=INT(A61), MOD(A61, 10) = 0), 0,
        IF(AND(A61=INT(A61), LEN(A61)=2), 1,
            IF(AND(A61=INT(A61), LEN(A61)=3), 2,
                LEN(A61) - FIND(".", A61) + 2)
        )
    ),
"")</x:f>
        <x:v>2</x:v>
      </x:c>
      <x:c r="C61" s="26" t="s">
        <x:v>667</x:v>
      </x:c>
      <x:c r="D61" s="10" t="str">
        <x:f aca="0">REPT("   ", B61*2) &amp; C61</x:f>
        <x:v>            Dispered Infrastructure</x:v>
      </x:c>
      <x:c r="E61" s="10"/>
      <x:c r="F61" s="10"/>
      <x:c r="G61" s="109"/>
      <x:c r="H61" s="10"/>
      <x:c r="I61" s="10"/>
      <x:c r="J61" s="151"/>
      <x:c r="K61" s="17"/>
      <x:c r="L61" s="152"/>
      <x:c r="M61" s="18"/>
      <x:c r="N61" s="23"/>
      <x:c r="O61" s="23"/>
      <x:c r="P61" s="20"/>
      <x:c r="Q61" s="20"/>
      <x:c r="R61" s="23"/>
      <x:c r="S61" s="153" t="s">
        <x:v>668</x:v>
      </x:c>
      <x:c r="T61" s="26"/>
      <x:c r="U61" s="154"/>
      <x:c r="V61" s="155"/>
      <x:c r="W61" s="12"/>
      <x:c r="X61" s="24"/>
      <x:c r="Y61" s="24"/>
      <x:c r="Z61" s="12"/>
      <x:c r="AA61" s="13"/>
      <x:c r="AB61" s="13"/>
      <x:c r="AC61" s="12"/>
      <x:c r="AD61" s="13"/>
      <x:c r="AE61" s="13"/>
      <x:c r="AF61" s="13"/>
      <x:c r="AG61" s="12"/>
    </x:row>
    <x:row r="62" ht="45.75" hidden="0" customHeight="1">
      <x:c r="A62" s="6" t="n">
        <x:v>288.1</x:v>
      </x:c>
      <x:c r="B62" s="9" t="n">
        <x:v>3</x:v>
      </x:c>
      <x:c r="C62" s="26" t="s">
        <x:v>669</x:v>
      </x:c>
      <x:c r="D62" s="10" t="str">
        <x:f aca="0">REPT("   ", B62*2) &amp; C62</x:f>
        <x:v>                  Communication</x:v>
      </x:c>
      <x:c r="E62" s="10" t="s">
        <x:v>35</x:v>
      </x:c>
      <x:c r="F62" s="10"/>
      <x:c r="G62" s="109"/>
      <x:c r="H62" s="10"/>
      <x:c r="I62" s="10"/>
      <x:c r="J62" s="27"/>
      <x:c r="K62" s="156" t="n">
        <x:f aca="0">12575250/N62</x:f>
        <x:v>11774.578651685393</x:v>
      </x:c>
      <x:c r="L62" s="23" t="s">
        <x:v>36</x:v>
      </x:c>
      <x:c r="M62" s="157" t="s">
        <x:v>708</x:v>
      </x:c>
      <x:c r="N62" s="23" t="n">
        <x:v>1068</x:v>
      </x:c>
      <x:c r="O62" s="23" t="s">
        <x:v>38</x:v>
      </x:c>
      <x:c r="P62" s="20"/>
      <x:c r="Q62" s="20" t="n">
        <x:v>2025</x:v>
      </x:c>
      <x:c r="R62" s="23" t="s">
        <x:v>163</x:v>
      </x:c>
      <x:c r="S62" s="33" t="s">
        <x:v>671</x:v>
      </x:c>
      <x:c r="T62" s="26"/>
      <x:c r="U62" s="154"/>
      <x:c r="V62" s="155"/>
      <x:c r="W62" s="12" t="s">
        <x:v>43</x:v>
      </x:c>
      <x:c r="X62" s="24" t="n">
        <x:f aca="0">0.9*$J62</x:f>
        <x:v>0</x:v>
      </x:c>
      <x:c r="Y62" s="24" t="n">
        <x:f aca="0">1.5*J62</x:f>
        <x:v>0</x:v>
      </x:c>
      <x:c r="Z62" s="12" t="s">
        <x:v>44</x:v>
      </x:c>
      <x:c r="AA62" s="13" t="n">
        <x:f aca="0">0.9*K62</x:f>
        <x:v>10597.120786516854</x:v>
      </x:c>
      <x:c r="AB62" s="13" t="n">
        <x:f aca="0">1.3*K62</x:f>
        <x:v>15306.952247191011</x:v>
      </x:c>
      <x:c r="AC62" s="12" t="s">
        <x:v>44</x:v>
      </x:c>
      <x:c r="AD62" s="13" t="s">
        <x:v>45</x:v>
      </x:c>
      <x:c r="AE62" s="13" t="s">
        <x:v>46</x:v>
      </x:c>
      <x:c r="AF62" s="13" t="s">
        <x:v>47</x:v>
      </x:c>
      <x:c r="AG62" s="12" t="s">
        <x:v>48</x:v>
      </x:c>
    </x:row>
    <x:row r="63" ht="34.5" hidden="0" customHeight="1">
      <x:c r="A63" s="6" t="n">
        <x:v>288.2</x:v>
      </x:c>
      <x:c r="B63" s="9" t="n">
        <x:v>3</x:v>
      </x:c>
      <x:c r="C63" s="26" t="s">
        <x:v>672</x:v>
      </x:c>
      <x:c r="D63" s="10" t="str">
        <x:f aca="0">REPT("   ", B63*2) &amp; C63</x:f>
        <x:v>                  Security Cameras</x:v>
      </x:c>
      <x:c r="E63" s="10" t="s">
        <x:v>35</x:v>
      </x:c>
      <x:c r="F63" s="10" t="s">
        <x:v>782</x:v>
      </x:c>
      <x:c r="G63" s="109" t="n">
        <x:v>1</x:v>
      </x:c>
      <x:c r="H63" s="10"/>
      <x:c r="I63" s="10"/>
      <x:c r="J63" s="158" t="n">
        <x:v>28431</x:v>
      </x:c>
      <x:c r="K63" s="17"/>
      <x:c r="L63" s="23"/>
      <x:c r="M63" s="18"/>
      <x:c r="N63" s="23"/>
      <x:c r="O63" s="23"/>
      <x:c r="P63" s="20"/>
      <x:c r="Q63" s="20" t="n">
        <x:v>2025</x:v>
      </x:c>
      <x:c r="R63" s="23" t="s">
        <x:v>163</x:v>
      </x:c>
      <x:c r="S63" s="33" t="s">
        <x:v>674</x:v>
      </x:c>
      <x:c r="T63" s="26"/>
      <x:c r="U63" s="154"/>
      <x:c r="V63" s="155"/>
      <x:c r="W63" s="12" t="s">
        <x:v>43</x:v>
      </x:c>
      <x:c r="X63" s="24" t="n">
        <x:f aca="0">0.9*$J63</x:f>
        <x:v>25587.9</x:v>
      </x:c>
      <x:c r="Y63" s="24" t="n">
        <x:f aca="0">1.5*J63</x:f>
        <x:v>42646.5</x:v>
      </x:c>
      <x:c r="Z63" s="12" t="s">
        <x:v>44</x:v>
      </x:c>
      <x:c r="AA63" s="13" t="n">
        <x:f aca="0">0.9*K63</x:f>
        <x:v>0</x:v>
      </x:c>
      <x:c r="AB63" s="13" t="n">
        <x:f aca="0">1.3*K63</x:f>
        <x:v>0</x:v>
      </x:c>
      <x:c r="AC63" s="12" t="s">
        <x:v>44</x:v>
      </x:c>
      <x:c r="AD63" s="13" t="s">
        <x:v>45</x:v>
      </x:c>
      <x:c r="AE63" s="13" t="s">
        <x:v>46</x:v>
      </x:c>
      <x:c r="AF63" s="13" t="s">
        <x:v>47</x:v>
      </x:c>
      <x:c r="AG63" s="12" t="s">
        <x:v>48</x:v>
      </x:c>
    </x:row>
    <x:row r="64" ht="34.5" hidden="0" customHeight="1">
      <x:c r="A64" s="6" t="n">
        <x:v>288.3</x:v>
      </x:c>
      <x:c r="B64" s="9" t="n">
        <x:v>3</x:v>
      </x:c>
      <x:c r="C64" s="26" t="s">
        <x:v>675</x:v>
      </x:c>
      <x:c r="D64" s="10" t="str">
        <x:f aca="0">REPT("   ", B64*2) &amp; C64</x:f>
        <x:v>                  Motion Detectors</x:v>
      </x:c>
      <x:c r="E64" s="10" t="s">
        <x:v>35</x:v>
      </x:c>
      <x:c r="F64" s="10" t="s">
        <x:v>783</x:v>
      </x:c>
      <x:c r="G64" s="109" t="n">
        <x:v>1</x:v>
      </x:c>
      <x:c r="H64" s="10"/>
      <x:c r="I64" s="10"/>
      <x:c r="J64" s="158" t="n">
        <x:v>24057</x:v>
      </x:c>
      <x:c r="K64" s="17"/>
      <x:c r="L64" s="23"/>
      <x:c r="M64" s="18"/>
      <x:c r="N64" s="23"/>
      <x:c r="O64" s="23"/>
      <x:c r="P64" s="20"/>
      <x:c r="Q64" s="20" t="n">
        <x:v>2025</x:v>
      </x:c>
      <x:c r="R64" s="23" t="s">
        <x:v>163</x:v>
      </x:c>
      <x:c r="S64" s="33" t="s">
        <x:v>674</x:v>
      </x:c>
      <x:c r="T64" s="26"/>
      <x:c r="U64" s="154"/>
      <x:c r="V64" s="155"/>
      <x:c r="W64" s="12" t="s">
        <x:v>43</x:v>
      </x:c>
      <x:c r="X64" s="24" t="n">
        <x:f aca="0">0.9*$J64</x:f>
        <x:v>21651.3</x:v>
      </x:c>
      <x:c r="Y64" s="24" t="n">
        <x:f aca="0">1.5*J64</x:f>
        <x:v>36085.5</x:v>
      </x:c>
      <x:c r="Z64" s="12" t="s">
        <x:v>44</x:v>
      </x:c>
      <x:c r="AA64" s="13" t="n">
        <x:f aca="0">0.9*K64</x:f>
        <x:v>0</x:v>
      </x:c>
      <x:c r="AB64" s="13" t="n">
        <x:f aca="0">1.3*K64</x:f>
        <x:v>0</x:v>
      </x:c>
      <x:c r="AC64" s="12" t="s">
        <x:v>44</x:v>
      </x:c>
      <x:c r="AD64" s="13" t="s">
        <x:v>45</x:v>
      </x:c>
      <x:c r="AE64" s="13" t="s">
        <x:v>46</x:v>
      </x:c>
      <x:c r="AF64" s="13" t="s">
        <x:v>47</x:v>
      </x:c>
      <x:c r="AG64" s="12" t="s">
        <x:v>48</x:v>
      </x:c>
    </x:row>
    <x:row r="65" ht="34.5" hidden="0" customHeight="1">
      <x:c r="A65" s="6" t="n">
        <x:v>288.4</x:v>
      </x:c>
      <x:c r="B65" s="9" t="n">
        <x:v>3</x:v>
      </x:c>
      <x:c r="C65" s="26" t="s">
        <x:v>677</x:v>
      </x:c>
      <x:c r="D65" s="10" t="str">
        <x:f aca="0">REPT("   ", B65*2) &amp; C65</x:f>
        <x:v>                  Guard Station</x:v>
      </x:c>
      <x:c r="E65" s="10" t="s">
        <x:v>35</x:v>
      </x:c>
      <x:c r="F65" s="10" t="s">
        <x:v>784</x:v>
      </x:c>
      <x:c r="G65" s="109" t="n">
        <x:v>1</x:v>
      </x:c>
      <x:c r="H65" s="10"/>
      <x:c r="I65" s="10"/>
      <x:c r="J65" s="159" t="n">
        <x:v>6774250</x:v>
      </x:c>
      <x:c r="K65" s="17"/>
      <x:c r="L65" s="23"/>
      <x:c r="M65" s="18"/>
      <x:c r="N65" s="23"/>
      <x:c r="O65" s="23"/>
      <x:c r="P65" s="20"/>
      <x:c r="Q65" s="20" t="n">
        <x:v>2025</x:v>
      </x:c>
      <x:c r="R65" s="23" t="s">
        <x:v>163</x:v>
      </x:c>
      <x:c r="S65" s="33" t="s">
        <x:v>674</x:v>
      </x:c>
      <x:c r="T65" s="26"/>
      <x:c r="U65" s="154"/>
      <x:c r="V65" s="155"/>
      <x:c r="W65" s="12" t="s">
        <x:v>43</x:v>
      </x:c>
      <x:c r="X65" s="24" t="n">
        <x:f aca="0">0.9*$J65</x:f>
        <x:v>6096825</x:v>
      </x:c>
      <x:c r="Y65" s="24" t="n">
        <x:f aca="0">1.5*J65</x:f>
        <x:v>10161375</x:v>
      </x:c>
      <x:c r="Z65" s="12" t="s">
        <x:v>44</x:v>
      </x:c>
      <x:c r="AA65" s="13" t="n">
        <x:f aca="0">0.9*K65</x:f>
        <x:v>0</x:v>
      </x:c>
      <x:c r="AB65" s="13" t="n">
        <x:f aca="0">1.3*K65</x:f>
        <x:v>0</x:v>
      </x:c>
      <x:c r="AC65" s="12" t="s">
        <x:v>44</x:v>
      </x:c>
      <x:c r="AD65" s="13" t="s">
        <x:v>45</x:v>
      </x:c>
      <x:c r="AE65" s="13" t="s">
        <x:v>46</x:v>
      </x:c>
      <x:c r="AF65" s="13" t="s">
        <x:v>47</x:v>
      </x:c>
      <x:c r="AG65" s="12" t="s">
        <x:v>48</x:v>
      </x:c>
    </x:row>
    <x:row r="66" ht="34.5" hidden="0" customHeight="1">
      <x:c r="A66" s="6" t="n">
        <x:v>288.5</x:v>
      </x:c>
      <x:c r="B66" s="9" t="n">
        <x:v>3</x:v>
      </x:c>
      <x:c r="C66" s="26" t="s">
        <x:v>785</x:v>
      </x:c>
      <x:c r="D66" s="10" t="str">
        <x:f aca="0">REPT("   ", B66*2) &amp; C66</x:f>
        <x:v>                  Radiation Monitors</x:v>
      </x:c>
      <x:c r="E66" s="10" t="s">
        <x:v>35</x:v>
      </x:c>
      <x:c r="F66" s="10" t="s">
        <x:v>786</x:v>
      </x:c>
      <x:c r="G66" s="109" t="n">
        <x:v>1</x:v>
      </x:c>
      <x:c r="H66" s="10"/>
      <x:c r="I66" s="10"/>
      <x:c r="J66" s="27" t="n">
        <x:v>656100</x:v>
      </x:c>
      <x:c r="K66" s="17"/>
      <x:c r="L66" s="23"/>
      <x:c r="M66" s="18"/>
      <x:c r="N66" s="23"/>
      <x:c r="O66" s="23"/>
      <x:c r="P66" s="20"/>
      <x:c r="Q66" s="20" t="n">
        <x:v>2025</x:v>
      </x:c>
      <x:c r="R66" s="23" t="s">
        <x:v>163</x:v>
      </x:c>
      <x:c r="S66" s="33" t="s">
        <x:v>674</x:v>
      </x:c>
      <x:c r="T66" s="26"/>
      <x:c r="U66" s="154"/>
      <x:c r="V66" s="155"/>
      <x:c r="W66" s="12" t="s">
        <x:v>43</x:v>
      </x:c>
      <x:c r="X66" s="24" t="n">
        <x:f aca="0">0.9*$J66</x:f>
        <x:v>590490</x:v>
      </x:c>
      <x:c r="Y66" s="24" t="n">
        <x:f aca="0">1.5*J66</x:f>
        <x:v>984150</x:v>
      </x:c>
      <x:c r="Z66" s="12" t="s">
        <x:v>44</x:v>
      </x:c>
      <x:c r="AA66" s="13" t="n">
        <x:f aca="0">0.9*K66</x:f>
        <x:v>0</x:v>
      </x:c>
      <x:c r="AB66" s="13" t="n">
        <x:f aca="0">1.3*K66</x:f>
        <x:v>0</x:v>
      </x:c>
      <x:c r="AC66" s="12" t="s">
        <x:v>44</x:v>
      </x:c>
      <x:c r="AD66" s="13" t="s">
        <x:v>45</x:v>
      </x:c>
      <x:c r="AE66" s="13" t="s">
        <x:v>46</x:v>
      </x:c>
      <x:c r="AF66" s="13" t="s">
        <x:v>47</x:v>
      </x:c>
      <x:c r="AG66" s="12" t="s">
        <x:v>48</x:v>
      </x:c>
    </x:row>
    <x:row r="67" ht="13.5" hidden="0" customHeight="1">
      <x:c r="A67" s="4" t="n">
        <x:v>30</x:v>
      </x:c>
      <x:c r="B67" s="9" t="n">
        <x:f aca="0">IF(ISNUMBER(A67),
    IF(AND(A67=INT(A67), MOD(A67, 10) = 0), 0,
        IF(AND(A67=INT(A67), LEN(A67)=2), 1,
            IF(AND(A67=INT(A67), LEN(A67)=3), 2,
                LEN(A67) - FIND(".", A67) + 2)
        )
    ),
"")</x:f>
        <x:v>0</x:v>
      </x:c>
      <x:c r="C67" s="37" t="s">
        <x:v>388</x:v>
      </x:c>
      <x:c r="D67" s="10" t="str">
        <x:f aca="0">REPT("   ", B67*2) &amp; C67</x:f>
        <x:v>Capitalized Indirect Services Cost</x:v>
      </x:c>
      <x:c r="E67" s="10"/>
      <x:c r="F67" s="10"/>
      <x:c r="G67" s="109"/>
      <x:c r="H67" s="10"/>
      <x:c r="I67" s="10"/>
      <x:c r="J67" s="160"/>
      <x:c r="K67" s="27"/>
      <x:c r="L67" s="4"/>
      <x:c r="M67" s="4"/>
      <x:c r="N67" s="4"/>
      <x:c r="O67" s="4"/>
      <x:c r="P67" s="28"/>
      <x:c r="Q67" s="20"/>
      <x:c r="R67" s="23"/>
      <x:c r="S67" s="4"/>
      <x:c r="T67" s="4"/>
      <x:c r="U67" s="4"/>
      <x:c r="V67" s="4"/>
      <x:c r="W67" s="12"/>
      <x:c r="X67" s="24"/>
      <x:c r="Y67" s="24"/>
      <x:c r="Z67" s="12"/>
      <x:c r="AA67" s="13"/>
      <x:c r="AB67" s="13"/>
      <x:c r="AC67" s="12"/>
      <x:c r="AD67" s="13"/>
      <x:c r="AE67" s="13"/>
      <x:c r="AF67" s="13"/>
      <x:c r="AG67" s="12"/>
    </x:row>
    <x:row r="68" ht="13.5" hidden="0" customHeight="1">
      <x:c r="A68" s="6" t="n">
        <x:v>40</x:v>
      </x:c>
      <x:c r="B68" s="9" t="n">
        <x:f aca="0">IF(ISNUMBER(A68),
    IF(AND(A68=INT(A68), MOD(A68, 10) = 0), 0,
        IF(AND(A68=INT(A68), LEN(A68)=2), 1,
            IF(AND(A68=INT(A68), LEN(A68)=3), 2,
                LEN(A68) - FIND(".", A68) + 2)
        )
    ),
"")</x:f>
        <x:v>0</x:v>
      </x:c>
      <x:c r="C68" s="37" t="s">
        <x:v>395</x:v>
      </x:c>
      <x:c r="D68" s="10" t="str">
        <x:f aca="0">REPT("   ", B68*2) &amp; C68</x:f>
        <x:v>Capitalized training costs</x:v>
      </x:c>
      <x:c r="E68" s="10"/>
      <x:c r="F68" s="10"/>
      <x:c r="G68" s="109"/>
      <x:c r="H68" s="10"/>
      <x:c r="I68" s="10"/>
      <x:c r="J68" s="27"/>
      <x:c r="K68" s="27"/>
      <x:c r="L68" s="4"/>
      <x:c r="M68" s="4"/>
      <x:c r="N68" s="4"/>
      <x:c r="O68" s="4"/>
      <x:c r="P68" s="28"/>
      <x:c r="Q68" s="28"/>
      <x:c r="R68" s="4"/>
      <x:c r="S68" s="4"/>
      <x:c r="T68" s="4"/>
      <x:c r="U68" s="4"/>
      <x:c r="V68" s="4"/>
      <x:c r="W68" s="12"/>
      <x:c r="X68" s="24"/>
      <x:c r="Y68" s="24"/>
      <x:c r="Z68" s="12"/>
      <x:c r="AA68" s="13"/>
      <x:c r="AB68" s="13"/>
      <x:c r="AC68" s="12"/>
      <x:c r="AD68" s="13"/>
      <x:c r="AE68" s="13"/>
      <x:c r="AF68" s="13"/>
      <x:c r="AG68" s="12"/>
    </x:row>
    <x:row r="69" ht="13.5" hidden="0" customHeight="1">
      <x:c r="A69" s="6" t="n">
        <x:v>41</x:v>
      </x:c>
      <x:c r="B69" s="9" t="n">
        <x:f aca="0">IF(ISNUMBER(A69),
    IF(AND(A69=INT(A69), MOD(A69, 10) = 0), 0,
        IF(AND(A69=INT(A69), LEN(A69)=2), 1,
            IF(AND(A69=INT(A69), LEN(A69)=3), 2,
                LEN(A69) - FIND(".", A69) + 2)
        )
    ),
"")</x:f>
        <x:v>1</x:v>
      </x:c>
      <x:c r="C69" s="37" t="s">
        <x:v>396</x:v>
      </x:c>
      <x:c r="D69" s="10" t="str">
        <x:f aca="0">REPT("   ", B69*2) &amp; C69</x:f>
        <x:v>      staff recruitment and training</x:v>
      </x:c>
      <x:c r="E69" s="10" t="s">
        <x:v>35</x:v>
      </x:c>
      <x:c r="F69" s="10" t="s">
        <x:v>623</x:v>
      </x:c>
      <x:c r="G69" s="109" t="n">
        <x:v>1</x:v>
      </x:c>
      <x:c r="H69" s="10"/>
      <x:c r="I69" s="10"/>
      <x:c r="J69" s="17" t="n">
        <x:v>300000</x:v>
      </x:c>
      <x:c r="K69" s="17"/>
      <x:c r="L69" s="23"/>
      <x:c r="M69" s="26"/>
      <x:c r="N69" s="23"/>
      <x:c r="O69" s="23"/>
      <x:c r="P69" s="20"/>
      <x:c r="Q69" s="20" t="n">
        <x:v>2024</x:v>
      </x:c>
      <x:c r="R69" s="23" t="s">
        <x:v>53</x:v>
      </x:c>
      <x:c r="S69" s="26"/>
      <x:c r="T69" s="23"/>
      <x:c r="U69" s="23"/>
      <x:c r="V69" s="23"/>
      <x:c r="W69" s="12" t="s">
        <x:v>43</x:v>
      </x:c>
      <x:c r="X69" s="24" t="n">
        <x:f aca="0">0.9*$J69</x:f>
        <x:v>270000</x:v>
      </x:c>
      <x:c r="Y69" s="24" t="n">
        <x:f aca="0">1.5*J69</x:f>
        <x:v>450000</x:v>
      </x:c>
      <x:c r="Z69" s="12" t="s">
        <x:v>44</x:v>
      </x:c>
      <x:c r="AA69" s="13" t="n">
        <x:f aca="0">0.9*K69</x:f>
        <x:v>0</x:v>
      </x:c>
      <x:c r="AB69" s="13" t="n">
        <x:f aca="0">1.3*K69</x:f>
        <x:v>0</x:v>
      </x:c>
      <x:c r="AC69" s="12" t="s">
        <x:v>44</x:v>
      </x:c>
      <x:c r="AD69" s="13" t="s">
        <x:v>45</x:v>
      </x:c>
      <x:c r="AE69" s="13" t="s">
        <x:v>46</x:v>
      </x:c>
      <x:c r="AF69" s="13" t="s">
        <x:v>47</x:v>
      </x:c>
      <x:c r="AG69" s="12" t="s">
        <x:v>48</x:v>
      </x:c>
    </x:row>
    <x:row r="70" ht="13.5" hidden="0" customHeight="1">
      <x:c r="A70" s="4" t="n">
        <x:v>60</x:v>
      </x:c>
      <x:c r="B70" s="9" t="n">
        <x:f aca="0">IF(ISNUMBER(A70),
    IF(AND(A70=INT(A70), MOD(A70, 10) = 0), 0,
        IF(AND(A70=INT(A70), LEN(A70)=2), 1,
            IF(AND(A70=INT(A70), LEN(A70)=3), 2,
                LEN(A70) - FIND(".", A70) + 2)
        )
    ),
"")</x:f>
        <x:v>0</x:v>
      </x:c>
      <x:c r="C70" s="37" t="s">
        <x:v>399</x:v>
      </x:c>
      <x:c r="D70" s="10" t="str">
        <x:f aca="0">REPT("   ", B70*2) &amp; C70</x:f>
        <x:v>Capitalized Financial Costs </x:v>
      </x:c>
      <x:c r="E70" s="10"/>
      <x:c r="F70" s="10"/>
      <x:c r="G70" s="109"/>
      <x:c r="H70" s="10"/>
      <x:c r="I70" s="10"/>
      <x:c r="J70" s="11"/>
      <x:c r="K70" s="11"/>
      <x:c r="L70" s="9"/>
      <x:c r="M70" s="5"/>
      <x:c r="N70" s="9"/>
      <x:c r="O70" s="9"/>
      <x:c r="P70" s="11"/>
      <x:c r="Q70" s="11"/>
      <x:c r="R70" s="9"/>
      <x:c r="S70" s="5"/>
      <x:c r="T70" s="9"/>
      <x:c r="U70" s="9"/>
      <x:c r="V70" s="9"/>
      <x:c r="W70" s="12"/>
      <x:c r="X70" s="24"/>
      <x:c r="Y70" s="24"/>
      <x:c r="Z70" s="12"/>
      <x:c r="AA70" s="13"/>
      <x:c r="AB70" s="13"/>
      <x:c r="AC70" s="12"/>
      <x:c r="AD70" s="13"/>
      <x:c r="AE70" s="13"/>
      <x:c r="AF70" s="13"/>
      <x:c r="AG70" s="12"/>
    </x:row>
    <x:row r="71" ht="13.5" hidden="0" customHeight="1">
      <x:c r="A71" s="6" t="n">
        <x:v>62</x:v>
      </x:c>
      <x:c r="B71" s="9" t="n">
        <x:f aca="0">IF(ISNUMBER(A71),
    IF(AND(A71=INT(A71), MOD(A71, 10) = 0), 0,
        IF(AND(A71=INT(A71), LEN(A71)=2), 1,
            IF(AND(A71=INT(A71), LEN(A71)=3), 2,
                LEN(A71) - FIND(".", A71) + 2)
        )
    ),
"")</x:f>
        <x:v>1</x:v>
      </x:c>
      <x:c r="C71" s="37" t="s">
        <x:v>400</x:v>
      </x:c>
      <x:c r="D71" s="10" t="str">
        <x:f aca="0">REPT("   ", B71*2) &amp; C71</x:f>
        <x:v>      Interest</x:v>
      </x:c>
      <x:c r="E71" s="10"/>
      <x:c r="F71" s="10"/>
      <x:c r="G71" s="109"/>
      <x:c r="H71" s="10"/>
      <x:c r="I71" s="10"/>
      <x:c r="J71" s="17"/>
      <x:c r="K71" s="17"/>
      <x:c r="L71" s="23"/>
      <x:c r="M71" s="26"/>
      <x:c r="N71" s="23"/>
      <x:c r="O71" s="23"/>
      <x:c r="P71" s="20"/>
      <x:c r="Q71" s="20"/>
      <x:c r="R71" s="23"/>
      <x:c r="S71" s="26"/>
      <x:c r="T71" s="23"/>
      <x:c r="U71" s="23"/>
      <x:c r="V71" s="23"/>
      <x:c r="W71" s="12"/>
      <x:c r="X71" s="24"/>
      <x:c r="Y71" s="24"/>
      <x:c r="Z71" s="12"/>
      <x:c r="AA71" s="13"/>
      <x:c r="AB71" s="13"/>
      <x:c r="AC71" s="12"/>
      <x:c r="AD71" s="13"/>
      <x:c r="AE71" s="13"/>
      <x:c r="AF71" s="13"/>
      <x:c r="AG71" s="12"/>
    </x:row>
    <x:row r="72" ht="13.5" hidden="0" customHeight="1">
      <x:c r="A72" s="6" t="n">
        <x:v>70</x:v>
      </x:c>
      <x:c r="B72" s="9" t="n">
        <x:f aca="0">IF(ISNUMBER(A72),
    IF(AND(A72=INT(A72), MOD(A72, 10) = 0), 0,
        IF(AND(A72=INT(A72), LEN(A72)=2), 1,
            IF(AND(A72=INT(A72), LEN(A72)=3), 2,
                LEN(A72) - FIND(".", A72) + 2)
        )
    ),
"")</x:f>
        <x:v>0</x:v>
      </x:c>
      <x:c r="C72" s="60" t="s">
        <x:v>401</x:v>
      </x:c>
      <x:c r="D72" s="10" t="str">
        <x:f aca="0">REPT("   ", B72*2) &amp; C72</x:f>
        <x:v>Annualized O&amp;M Cost </x:v>
      </x:c>
      <x:c r="E72" s="10"/>
      <x:c r="F72" s="10"/>
      <x:c r="G72" s="109"/>
      <x:c r="H72" s="10"/>
      <x:c r="I72" s="10"/>
      <x:c r="J72" s="17"/>
      <x:c r="K72" s="17"/>
      <x:c r="L72" s="23"/>
      <x:c r="M72" s="26"/>
      <x:c r="N72" s="23"/>
      <x:c r="O72" s="23"/>
      <x:c r="P72" s="20"/>
      <x:c r="Q72" s="20"/>
      <x:c r="R72" s="23"/>
      <x:c r="S72" s="26"/>
      <x:c r="T72" s="26"/>
      <x:c r="U72" s="23"/>
      <x:c r="V72" s="23"/>
      <x:c r="W72" s="12"/>
      <x:c r="X72" s="24"/>
      <x:c r="Y72" s="24"/>
      <x:c r="Z72" s="12"/>
      <x:c r="AA72" s="13"/>
      <x:c r="AB72" s="13"/>
      <x:c r="AC72" s="12"/>
      <x:c r="AD72" s="13"/>
      <x:c r="AE72" s="13"/>
      <x:c r="AF72" s="13"/>
      <x:c r="AG72" s="12"/>
    </x:row>
    <x:row r="73" ht="13.5" hidden="0" customHeight="1">
      <x:c r="A73" s="6" t="n">
        <x:v>71</x:v>
      </x:c>
      <x:c r="B73" s="9" t="n">
        <x:f aca="0">IF(ISNUMBER(A73),
    IF(AND(A73=INT(A73), MOD(A73, 10) = 0), 0,
        IF(AND(A73=INT(A73), LEN(A73)=2), 1,
            IF(AND(A73=INT(A73), LEN(A73)=3), 2,
                LEN(A73) - FIND(".", A73) + 2)
        )
    ),
"")</x:f>
        <x:v>1</x:v>
      </x:c>
      <x:c r="C73" s="37" t="s">
        <x:v>402</x:v>
      </x:c>
      <x:c r="D73" s="10" t="str">
        <x:f aca="0">REPT("   ", B73*2) &amp; C73</x:f>
        <x:v>      O&amp;M Staff</x:v>
      </x:c>
      <x:c r="E73" s="10"/>
      <x:c r="F73" s="10"/>
      <x:c r="G73" s="109"/>
      <x:c r="H73" s="10"/>
      <x:c r="I73" s="10"/>
      <x:c r="J73" s="17"/>
      <x:c r="K73" s="17"/>
      <x:c r="L73" s="23"/>
      <x:c r="M73" s="26"/>
      <x:c r="N73" s="23"/>
      <x:c r="O73" s="23"/>
      <x:c r="P73" s="20"/>
      <x:c r="Q73" s="20"/>
      <x:c r="R73" s="23"/>
      <x:c r="S73" s="26"/>
      <x:c r="T73" s="26"/>
      <x:c r="U73" s="23"/>
      <x:c r="V73" s="23"/>
      <x:c r="W73" s="12"/>
      <x:c r="X73" s="24"/>
      <x:c r="Y73" s="24"/>
      <x:c r="Z73" s="12"/>
      <x:c r="AA73" s="13"/>
      <x:c r="AB73" s="13"/>
      <x:c r="AC73" s="12"/>
      <x:c r="AD73" s="13"/>
      <x:c r="AE73" s="13"/>
      <x:c r="AF73" s="13"/>
      <x:c r="AG73" s="12"/>
    </x:row>
    <x:row r="74" ht="68.25" hidden="0" customHeight="1">
      <x:c r="A74" s="30" t="n">
        <x:v>711</x:v>
      </x:c>
      <x:c r="B74" s="9" t="n">
        <x:f aca="0">IF(ISNUMBER(A74),
    IF(AND(A74=INT(A74), MOD(A74, 10) = 0), 0,
        IF(AND(A74=INT(A74), LEN(A74)=2), 1,
            IF(AND(A74=INT(A74), LEN(A74)=3), 2,
                LEN(A74) - FIND(".", A74) + 2)
        )
    ),
"")</x:f>
        <x:v>2</x:v>
      </x:c>
      <x:c r="C74" s="37" t="s">
        <x:v>403</x:v>
      </x:c>
      <x:c r="D74" s="10" t="str">
        <x:f aca="0">REPT("   ", B74*2) &amp; C74</x:f>
        <x:v>            Operators </x:v>
      </x:c>
      <x:c r="E74" s="10" t="s">
        <x:v>290</x:v>
      </x:c>
      <x:c r="F74" s="10"/>
      <x:c r="G74" s="109" t="n">
        <x:v>1</x:v>
      </x:c>
      <x:c r="H74" s="10"/>
      <x:c r="I74" s="10"/>
      <x:c r="J74" s="17"/>
      <x:c r="K74" s="17" t="n">
        <x:v>178500</x:v>
      </x:c>
      <x:c r="L74" s="23" t="s">
        <x:v>787</x:v>
      </x:c>
      <x:c r="M74" s="26" t="s">
        <x:v>788</x:v>
      </x:c>
      <x:c r="N74" s="23"/>
      <x:c r="O74" s="23"/>
      <x:c r="P74" s="20" t="n">
        <x:v>1</x:v>
      </x:c>
      <x:c r="Q74" s="20" t="n">
        <x:v>2024</x:v>
      </x:c>
      <x:c r="R74" s="23" t="s">
        <x:v>53</x:v>
      </x:c>
      <x:c r="S74" s="26"/>
      <x:c r="T74" s="26" t="s">
        <x:v>406</x:v>
      </x:c>
      <x:c r="U74" s="23"/>
      <x:c r="V74" s="23"/>
      <x:c r="W74" s="12" t="s">
        <x:v>43</x:v>
      </x:c>
      <x:c r="X74" s="24" t="n">
        <x:f aca="0">0.9*$J74</x:f>
        <x:v>0</x:v>
      </x:c>
      <x:c r="Y74" s="24" t="n">
        <x:f aca="0">1.5*J74</x:f>
        <x:v>0</x:v>
      </x:c>
      <x:c r="Z74" s="12" t="s">
        <x:v>44</x:v>
      </x:c>
      <x:c r="AA74" s="13" t="n">
        <x:f aca="0">0.9*K74</x:f>
        <x:v>160650</x:v>
      </x:c>
      <x:c r="AB74" s="13" t="n">
        <x:f aca="0">1.3*K74</x:f>
        <x:v>232050</x:v>
      </x:c>
      <x:c r="AC74" s="12" t="s">
        <x:v>44</x:v>
      </x:c>
      <x:c r="AD74" s="13" t="s">
        <x:v>45</x:v>
      </x:c>
      <x:c r="AE74" s="13" t="s">
        <x:v>46</x:v>
      </x:c>
      <x:c r="AF74" s="13" t="s">
        <x:v>47</x:v>
      </x:c>
      <x:c r="AG74" s="12" t="s">
        <x:v>48</x:v>
      </x:c>
    </x:row>
    <x:row r="75" ht="68.25" hidden="0" customHeight="1">
      <x:c r="A75" s="30" t="n">
        <x:v>712</x:v>
      </x:c>
      <x:c r="B75" s="9" t="n">
        <x:f aca="0">IF(ISNUMBER(A75),
    IF(AND(A75=INT(A75), MOD(A75, 10) = 0), 0,
        IF(AND(A75=INT(A75), LEN(A75)=2), 1,
            IF(AND(A75=INT(A75), LEN(A75)=3), 2,
                LEN(A75) - FIND(".", A75) + 2)
        )
    ),
"")</x:f>
        <x:v>2</x:v>
      </x:c>
      <x:c r="C75" s="37" t="s">
        <x:v>407</x:v>
      </x:c>
      <x:c r="D75" s="10" t="str">
        <x:f aca="0">REPT("   ", B75*2) &amp; C75</x:f>
        <x:v>            Remote Monitoring Technicians </x:v>
      </x:c>
      <x:c r="E75" s="10" t="s">
        <x:v>290</x:v>
      </x:c>
      <x:c r="F75" s="10" t="s">
        <x:v>410</x:v>
      </x:c>
      <x:c r="G75" s="109" t="n">
        <x:v>1</x:v>
      </x:c>
      <x:c r="H75" s="10"/>
      <x:c r="I75" s="10"/>
      <x:c r="J75" s="17"/>
      <x:c r="K75" s="17" t="n">
        <x:v>178500</x:v>
      </x:c>
      <x:c r="L75" s="23" t="s">
        <x:v>404</x:v>
      </x:c>
      <x:c r="M75" s="10" t="s">
        <x:v>758</x:v>
      </x:c>
      <x:c r="N75" s="23"/>
      <x:c r="O75" s="23"/>
      <x:c r="P75" s="23" t="n">
        <x:v>1</x:v>
      </x:c>
      <x:c r="Q75" s="20" t="n">
        <x:v>2024</x:v>
      </x:c>
      <x:c r="R75" s="23" t="s">
        <x:v>53</x:v>
      </x:c>
      <x:c r="S75" s="26"/>
      <x:c r="T75" s="26" t="s">
        <x:v>406</x:v>
      </x:c>
      <x:c r="U75" s="23"/>
      <x:c r="V75" s="23"/>
      <x:c r="W75" s="12" t="s">
        <x:v>43</x:v>
      </x:c>
      <x:c r="X75" s="24" t="n">
        <x:f aca="0">0.9*$J75</x:f>
        <x:v>0</x:v>
      </x:c>
      <x:c r="Y75" s="24" t="n">
        <x:f aca="0">1.5*J75</x:f>
        <x:v>0</x:v>
      </x:c>
      <x:c r="Z75" s="12" t="s">
        <x:v>44</x:v>
      </x:c>
      <x:c r="AA75" s="13" t="n">
        <x:f aca="0">0.9*K75</x:f>
        <x:v>160650</x:v>
      </x:c>
      <x:c r="AB75" s="13" t="n">
        <x:f aca="0">1.3*K75</x:f>
        <x:v>232050</x:v>
      </x:c>
      <x:c r="AC75" s="12" t="s">
        <x:v>44</x:v>
      </x:c>
      <x:c r="AD75" s="13" t="s">
        <x:v>45</x:v>
      </x:c>
      <x:c r="AE75" s="13" t="s">
        <x:v>46</x:v>
      </x:c>
      <x:c r="AF75" s="13" t="s">
        <x:v>47</x:v>
      </x:c>
      <x:c r="AG75" s="12" t="s">
        <x:v>48</x:v>
      </x:c>
    </x:row>
    <x:row r="76" ht="68.25" hidden="0" customHeight="1">
      <x:c r="A76" s="30" t="n">
        <x:v>713</x:v>
      </x:c>
      <x:c r="B76" s="9" t="n">
        <x:f aca="0">IF(ISNUMBER(A76),
    IF(AND(A76=INT(A76), MOD(A76, 10) = 0), 0,
        IF(AND(A76=INT(A76), LEN(A76)=2), 1,
            IF(AND(A76=INT(A76), LEN(A76)=3), 2,
                LEN(A76) - FIND(".", A76) + 2)
        )
    ),
"")</x:f>
        <x:v>2</x:v>
      </x:c>
      <x:c r="C76" s="37" t="s">
        <x:v>411</x:v>
      </x:c>
      <x:c r="D76" s="10" t="str">
        <x:f aca="0">REPT("   ", B76*2) &amp; C76</x:f>
        <x:v>            Security Staff </x:v>
      </x:c>
      <x:c r="E76" s="10" t="s">
        <x:v>290</x:v>
      </x:c>
      <x:c r="F76" s="10" t="s">
        <x:v>789</x:v>
      </x:c>
      <x:c r="G76" s="109" t="n">
        <x:v>1</x:v>
      </x:c>
      <x:c r="H76" s="10"/>
      <x:c r="I76" s="10"/>
      <x:c r="J76" s="17"/>
      <x:c r="K76" s="17" t="n">
        <x:v>178500</x:v>
      </x:c>
      <x:c r="L76" s="23" t="s">
        <x:v>404</x:v>
      </x:c>
      <x:c r="M76" s="26" t="s">
        <x:v>790</x:v>
      </x:c>
      <x:c r="N76" s="23"/>
      <x:c r="O76" s="23"/>
      <x:c r="P76" s="23" t="n">
        <x:v>1</x:v>
      </x:c>
      <x:c r="Q76" s="20" t="n">
        <x:v>2024</x:v>
      </x:c>
      <x:c r="R76" s="23" t="s">
        <x:v>53</x:v>
      </x:c>
      <x:c r="S76" s="26"/>
      <x:c r="T76" s="26" t="s">
        <x:v>406</x:v>
      </x:c>
      <x:c r="U76" s="56"/>
      <x:c r="V76" s="23"/>
      <x:c r="W76" s="12" t="s">
        <x:v>43</x:v>
      </x:c>
      <x:c r="X76" s="24" t="n">
        <x:f aca="0">0.9*$J76</x:f>
        <x:v>0</x:v>
      </x:c>
      <x:c r="Y76" s="24" t="n">
        <x:f aca="0">1.5*J76</x:f>
        <x:v>0</x:v>
      </x:c>
      <x:c r="Z76" s="12" t="s">
        <x:v>44</x:v>
      </x:c>
      <x:c r="AA76" s="13" t="n">
        <x:f aca="0">0.9*K76</x:f>
        <x:v>160650</x:v>
      </x:c>
      <x:c r="AB76" s="13" t="n">
        <x:f aca="0">1.3*K76</x:f>
        <x:v>232050</x:v>
      </x:c>
      <x:c r="AC76" s="12" t="s">
        <x:v>44</x:v>
      </x:c>
      <x:c r="AD76" s="13" t="s">
        <x:v>45</x:v>
      </x:c>
      <x:c r="AE76" s="13" t="s">
        <x:v>46</x:v>
      </x:c>
      <x:c r="AF76" s="13" t="s">
        <x:v>47</x:v>
      </x:c>
      <x:c r="AG76" s="12" t="s">
        <x:v>48</x:v>
      </x:c>
    </x:row>
    <x:row r="77" ht="68.25" hidden="0" customHeight="1">
      <x:c r="A77" s="30" t="n">
        <x:v>714</x:v>
      </x:c>
      <x:c r="B77" s="9" t="n">
        <x:f aca="0">IF(ISNUMBER(A77),
    IF(AND(A77=INT(A77), MOD(A77, 10) = 0), 0,
        IF(AND(A77=INT(A77), LEN(A77)=2), 1,
            IF(AND(A77=INT(A77), LEN(A77)=3), 2,
                LEN(A77) - FIND(".", A77) + 2)
        )
    ),
"")</x:f>
        <x:v>2</x:v>
      </x:c>
      <x:c r="C77" s="37" t="s">
        <x:v>686</x:v>
      </x:c>
      <x:c r="D77" s="10" t="str">
        <x:f aca="0">REPT("   ", B77*2) &amp; C77</x:f>
        <x:v>            Maintenance Staff</x:v>
      </x:c>
      <x:c r="E77" s="10" t="s">
        <x:v>290</x:v>
      </x:c>
      <x:c r="F77" s="10" t="s">
        <x:v>789</x:v>
      </x:c>
      <x:c r="G77" s="109" t="n">
        <x:v>1</x:v>
      </x:c>
      <x:c r="H77" s="10"/>
      <x:c r="I77" s="10"/>
      <x:c r="J77" s="17"/>
      <x:c r="K77" s="17" t="n">
        <x:v>178500</x:v>
      </x:c>
      <x:c r="L77" s="23" t="s">
        <x:v>404</x:v>
      </x:c>
      <x:c r="M77" s="26" t="s">
        <x:v>791</x:v>
      </x:c>
      <x:c r="N77" s="23"/>
      <x:c r="O77" s="23"/>
      <x:c r="P77" s="23" t="n">
        <x:v>1</x:v>
      </x:c>
      <x:c r="Q77" s="20" t="n">
        <x:v>2024</x:v>
      </x:c>
      <x:c r="R77" s="23" t="s">
        <x:v>53</x:v>
      </x:c>
      <x:c r="S77" s="26"/>
      <x:c r="T77" s="26" t="s">
        <x:v>406</x:v>
      </x:c>
      <x:c r="U77" s="56"/>
      <x:c r="V77" s="23"/>
      <x:c r="W77" s="12" t="s">
        <x:v>43</x:v>
      </x:c>
      <x:c r="X77" s="24" t="n">
        <x:f aca="0">0.9*$J77</x:f>
        <x:v>0</x:v>
      </x:c>
      <x:c r="Y77" s="24" t="n">
        <x:f aca="0">1.5*J77</x:f>
        <x:v>0</x:v>
      </x:c>
      <x:c r="Z77" s="12" t="s">
        <x:v>44</x:v>
      </x:c>
      <x:c r="AA77" s="13" t="n">
        <x:f aca="0">0.9*K77</x:f>
        <x:v>160650</x:v>
      </x:c>
      <x:c r="AB77" s="13" t="n">
        <x:f aca="0">1.3*K77</x:f>
        <x:v>232050</x:v>
      </x:c>
      <x:c r="AC77" s="12" t="s">
        <x:v>44</x:v>
      </x:c>
      <x:c r="AD77" s="13" t="s">
        <x:v>45</x:v>
      </x:c>
      <x:c r="AE77" s="13" t="s">
        <x:v>46</x:v>
      </x:c>
      <x:c r="AF77" s="13" t="s">
        <x:v>47</x:v>
      </x:c>
      <x:c r="AG77" s="12" t="s">
        <x:v>48</x:v>
      </x:c>
    </x:row>
    <x:row r="78" ht="23.25" hidden="0" customHeight="1">
      <x:c r="A78" s="30" t="n">
        <x:v>715</x:v>
      </x:c>
      <x:c r="B78" s="9" t="n">
        <x:f aca="0">IF(ISNUMBER(A78),
    IF(AND(A78=INT(A78), MOD(A78, 10) = 0), 0,
        IF(AND(A78=INT(A78), LEN(A78)=2), 1,
            IF(AND(A78=INT(A78), LEN(A78)=3), 2,
                LEN(A78) - FIND(".", A78) + 2)
        )
    ),
"")</x:f>
        <x:v>2</x:v>
      </x:c>
      <x:c r="C78" s="37" t="s">
        <x:v>792</x:v>
      </x:c>
      <x:c r="D78" s="10" t="str">
        <x:f aca="0">REPT("   ", B78*2) &amp; C78</x:f>
        <x:v>            Engineering Staff</x:v>
      </x:c>
      <x:c r="E78" s="10" t="s">
        <x:v>290</x:v>
      </x:c>
      <x:c r="F78" s="10"/>
      <x:c r="G78" s="109"/>
      <x:c r="H78" s="10"/>
      <x:c r="I78" s="10"/>
      <x:c r="J78" s="17"/>
      <x:c r="K78" s="17" t="n">
        <x:v>200000</x:v>
      </x:c>
      <x:c r="L78" s="23" t="s">
        <x:v>404</x:v>
      </x:c>
      <x:c r="M78" s="161" t="s">
        <x:v>793</x:v>
      </x:c>
      <x:c r="N78" s="23"/>
      <x:c r="O78" s="23"/>
      <x:c r="P78" s="23"/>
      <x:c r="Q78" s="20" t="n">
        <x:v>2024</x:v>
      </x:c>
      <x:c r="R78" s="23" t="s">
        <x:v>53</x:v>
      </x:c>
      <x:c r="S78" s="26"/>
      <x:c r="T78" s="26"/>
      <x:c r="U78" s="56"/>
      <x:c r="V78" s="23"/>
      <x:c r="W78" s="12" t="s">
        <x:v>43</x:v>
      </x:c>
      <x:c r="X78" s="24" t="n">
        <x:f aca="0">0.9*$J78</x:f>
        <x:v>0</x:v>
      </x:c>
      <x:c r="Y78" s="24" t="n">
        <x:f aca="0">1.5*J78</x:f>
        <x:v>0</x:v>
      </x:c>
      <x:c r="Z78" s="12" t="s">
        <x:v>44</x:v>
      </x:c>
      <x:c r="AA78" s="13" t="n">
        <x:f aca="0">0.9*K78</x:f>
        <x:v>180000</x:v>
      </x:c>
      <x:c r="AB78" s="13" t="n">
        <x:f aca="0">1.3*K78</x:f>
        <x:v>260000</x:v>
      </x:c>
      <x:c r="AC78" s="12" t="s">
        <x:v>44</x:v>
      </x:c>
      <x:c r="AD78" s="13" t="s">
        <x:v>45</x:v>
      </x:c>
      <x:c r="AE78" s="13" t="s">
        <x:v>46</x:v>
      </x:c>
      <x:c r="AF78" s="13" t="s">
        <x:v>47</x:v>
      </x:c>
      <x:c r="AG78" s="12" t="s">
        <x:v>48</x:v>
      </x:c>
    </x:row>
    <x:row r="79" ht="13.5" hidden="0" customHeight="1">
      <x:c r="A79" s="30" t="n">
        <x:v>716</x:v>
      </x:c>
      <x:c r="B79" s="9" t="n">
        <x:f aca="0">IF(ISNUMBER(A79),
    IF(AND(A79=INT(A79), MOD(A79, 10) = 0), 0,
        IF(AND(A79=INT(A79), LEN(A79)=2), 1,
            IF(AND(A79=INT(A79), LEN(A79)=3), 2,
                LEN(A79) - FIND(".", A79) + 2)
        )
    ),
"")</x:f>
        <x:v>2</x:v>
      </x:c>
      <x:c r="C79" s="37" t="s">
        <x:v>690</x:v>
      </x:c>
      <x:c r="D79" s="10" t="str">
        <x:f aca="0">REPT("   ", B79*2) &amp; C79</x:f>
        <x:v>            Continuing Education and Staff Retraining</x:v>
      </x:c>
      <x:c r="E79" s="10"/>
      <x:c r="F79" s="10"/>
      <x:c r="G79" s="109"/>
      <x:c r="H79" s="10"/>
      <x:c r="I79" s="10"/>
      <x:c r="J79" s="160"/>
      <x:c r="K79" s="17"/>
      <x:c r="L79" s="23"/>
      <x:c r="M79" s="26"/>
      <x:c r="N79" s="23"/>
      <x:c r="O79" s="23"/>
      <x:c r="P79" s="23"/>
      <x:c r="Q79" s="20"/>
      <x:c r="R79" s="23" t="s">
        <x:v>53</x:v>
      </x:c>
      <x:c r="S79" s="26"/>
      <x:c r="T79" s="26"/>
      <x:c r="U79" s="56"/>
      <x:c r="V79" s="23"/>
      <x:c r="W79" s="12" t="s">
        <x:v>43</x:v>
      </x:c>
      <x:c r="X79" s="24" t="n">
        <x:f aca="0">0.9*$J79</x:f>
        <x:v>0</x:v>
      </x:c>
      <x:c r="Y79" s="24" t="n">
        <x:f aca="0">1.5*J79</x:f>
        <x:v>0</x:v>
      </x:c>
      <x:c r="Z79" s="12"/>
      <x:c r="AA79" s="13" t="n">
        <x:f aca="0">0.9*K79</x:f>
        <x:v>0</x:v>
      </x:c>
      <x:c r="AB79" s="13" t="n">
        <x:f aca="0">1.3*K79</x:f>
        <x:v>0</x:v>
      </x:c>
      <x:c r="AC79" s="12"/>
      <x:c r="AD79" s="13"/>
      <x:c r="AE79" s="13"/>
      <x:c r="AF79" s="13"/>
      <x:c r="AG79" s="12"/>
    </x:row>
    <x:row r="80" ht="13.5" hidden="0" customHeight="1">
      <x:c r="A80" s="30" t="n">
        <x:v>717</x:v>
      </x:c>
      <x:c r="B80" s="9" t="n">
        <x:f aca="0">IF(ISNUMBER(A80),
    IF(AND(A80=INT(A80), MOD(A80, 10) = 0), 0,
        IF(AND(A80=INT(A80), LEN(A80)=2), 1,
            IF(AND(A80=INT(A80), LEN(A80)=3), 2,
                LEN(A80) - FIND(".", A80) + 2)
        )
    ),
"")</x:f>
        <x:v>2</x:v>
      </x:c>
      <x:c r="C80" s="37" t="s">
        <x:v>691</x:v>
      </x:c>
      <x:c r="D80" s="10" t="str">
        <x:f aca="0">REPT("   ", B80*2) &amp; C80</x:f>
        <x:v>            Management Staff</x:v>
      </x:c>
      <x:c r="E80" s="10"/>
      <x:c r="F80" s="10"/>
      <x:c r="G80" s="109"/>
      <x:c r="H80" s="10"/>
      <x:c r="I80" s="10"/>
      <x:c r="J80" s="160"/>
      <x:c r="K80" s="17"/>
      <x:c r="L80" s="23"/>
      <x:c r="M80" s="26"/>
      <x:c r="N80" s="23"/>
      <x:c r="O80" s="23"/>
      <x:c r="P80" s="23"/>
      <x:c r="Q80" s="20"/>
      <x:c r="R80" s="23" t="s">
        <x:v>53</x:v>
      </x:c>
      <x:c r="S80" s="26"/>
      <x:c r="T80" s="26"/>
      <x:c r="U80" s="56"/>
      <x:c r="V80" s="23"/>
      <x:c r="W80" s="12" t="s">
        <x:v>43</x:v>
      </x:c>
      <x:c r="X80" s="24" t="n">
        <x:f aca="0">0.9*$J80</x:f>
        <x:v>0</x:v>
      </x:c>
      <x:c r="Y80" s="24" t="n">
        <x:f aca="0">1.5*J80</x:f>
        <x:v>0</x:v>
      </x:c>
      <x:c r="Z80" s="12"/>
      <x:c r="AA80" s="13" t="n">
        <x:f aca="0">0.9*K80</x:f>
        <x:v>0</x:v>
      </x:c>
      <x:c r="AB80" s="13" t="n">
        <x:f aca="0">1.3*K80</x:f>
        <x:v>0</x:v>
      </x:c>
      <x:c r="AC80" s="12"/>
      <x:c r="AD80" s="13"/>
      <x:c r="AE80" s="13"/>
      <x:c r="AF80" s="13"/>
      <x:c r="AG80" s="12"/>
    </x:row>
    <x:row r="81" ht="13.5" hidden="0" customHeight="1">
      <x:c r="A81" s="6" t="n">
        <x:v>74</x:v>
      </x:c>
      <x:c r="B81" s="9" t="n">
        <x:f aca="0">IF(ISNUMBER(A81),
    IF(AND(A81=INT(A81), MOD(A81, 10) = 0), 0,
        IF(AND(A81=INT(A81), LEN(A81)=2), 1,
            IF(AND(A81=INT(A81), LEN(A81)=3), 2,
                LEN(A81) - FIND(".", A81) + 2)
        )
    ),
"")</x:f>
        <x:v>1</x:v>
      </x:c>
      <x:c r="C81" s="37" t="s">
        <x:v>694</x:v>
      </x:c>
      <x:c r="D81" s="10" t="str">
        <x:f aca="0">REPT("   ", B81*2) &amp; C81</x:f>
        <x:v>      Fixed O&amp;M Utilities and Materials </x:v>
      </x:c>
      <x:c r="E81" s="10"/>
      <x:c r="F81" s="10"/>
      <x:c r="G81" s="109"/>
      <x:c r="H81" s="10"/>
      <x:c r="I81" s="10"/>
      <x:c r="J81" s="17"/>
      <x:c r="K81" s="17"/>
      <x:c r="L81" s="23"/>
      <x:c r="M81" s="26"/>
      <x:c r="N81" s="23"/>
      <x:c r="O81" s="23"/>
      <x:c r="P81" s="20"/>
      <x:c r="Q81" s="20"/>
      <x:c r="R81" s="23"/>
      <x:c r="S81" s="26"/>
      <x:c r="T81" s="43"/>
      <x:c r="U81" s="56"/>
      <x:c r="V81" s="23"/>
      <x:c r="W81" s="12"/>
      <x:c r="X81" s="24"/>
      <x:c r="Y81" s="24"/>
      <x:c r="Z81" s="12"/>
      <x:c r="AA81" s="13"/>
      <x:c r="AB81" s="13"/>
      <x:c r="AC81" s="12"/>
      <x:c r="AD81" s="13"/>
      <x:c r="AE81" s="13"/>
      <x:c r="AF81" s="13"/>
      <x:c r="AG81" s="12"/>
    </x:row>
    <x:row r="82" ht="13.5" hidden="0" customHeight="1">
      <x:c r="A82" s="6" t="n">
        <x:v>741</x:v>
      </x:c>
      <x:c r="B82" s="9" t="n">
        <x:f aca="0">IF(ISNUMBER(A82),
    IF(AND(A82=INT(A82), MOD(A82, 10) = 0), 0,
        IF(AND(A82=INT(A82), LEN(A82)=2), 1,
            IF(AND(A82=INT(A82), LEN(A82)=3), 2,
                LEN(A82) - FIND(".", A82) + 2)
        )
    ),
"")</x:f>
        <x:v>2</x:v>
      </x:c>
      <x:c r="C82" s="37" t="s">
        <x:v>794</x:v>
      </x:c>
      <x:c r="D82" s="10" t="str">
        <x:f aca="0">REPT("   ", B82*2) &amp; C82</x:f>
        <x:v>            Operating Chemicals and Lubricants</x:v>
      </x:c>
      <x:c r="E82" s="10"/>
      <x:c r="F82" s="10"/>
      <x:c r="G82" s="109"/>
      <x:c r="H82" s="10"/>
      <x:c r="I82" s="10"/>
      <x:c r="J82" s="160"/>
      <x:c r="K82" s="17"/>
      <x:c r="L82" s="23"/>
      <x:c r="M82" s="26"/>
      <x:c r="N82" s="23"/>
      <x:c r="O82" s="23"/>
      <x:c r="P82" s="20"/>
      <x:c r="Q82" s="20"/>
      <x:c r="R82" s="23"/>
      <x:c r="S82" s="26"/>
      <x:c r="T82" s="43"/>
      <x:c r="U82" s="56"/>
      <x:c r="V82" s="23"/>
      <x:c r="W82" s="12" t="s">
        <x:v>43</x:v>
      </x:c>
      <x:c r="X82" s="24" t="n">
        <x:f aca="0">0.9*$J82</x:f>
        <x:v>0</x:v>
      </x:c>
      <x:c r="Y82" s="24" t="n">
        <x:f aca="0">1.5*J82</x:f>
        <x:v>0</x:v>
      </x:c>
      <x:c r="Z82" s="12"/>
      <x:c r="AA82" s="13" t="n">
        <x:f aca="0">0.9*K82</x:f>
        <x:v>0</x:v>
      </x:c>
      <x:c r="AB82" s="13" t="n">
        <x:f aca="0">1.3*K82</x:f>
        <x:v>0</x:v>
      </x:c>
      <x:c r="AC82" s="12"/>
      <x:c r="AD82" s="13"/>
      <x:c r="AE82" s="13"/>
      <x:c r="AF82" s="13"/>
      <x:c r="AG82" s="12"/>
    </x:row>
    <x:row r="83" ht="13.5" hidden="0" customHeight="1">
      <x:c r="A83" s="6" t="n">
        <x:v>742</x:v>
      </x:c>
      <x:c r="B83" s="9" t="n">
        <x:f aca="0">IF(ISNUMBER(A83),
    IF(AND(A83=INT(A83), MOD(A83, 10) = 0), 0,
        IF(AND(A83=INT(A83), LEN(A83)=2), 1,
            IF(AND(A83=INT(A83), LEN(A83)=3), 2,
                LEN(A83) - FIND(".", A83) + 2)
        )
    ),
"")</x:f>
        <x:v>2</x:v>
      </x:c>
      <x:c r="C83" s="37" t="s">
        <x:v>795</x:v>
      </x:c>
      <x:c r="D83" s="10" t="str">
        <x:f aca="0">REPT("   ", B83*2) &amp; C83</x:f>
        <x:v>            Spare Parts</x:v>
      </x:c>
      <x:c r="E83" s="10"/>
      <x:c r="F83" s="10"/>
      <x:c r="G83" s="109"/>
      <x:c r="H83" s="10"/>
      <x:c r="I83" s="10"/>
      <x:c r="J83" s="160"/>
      <x:c r="K83" s="17"/>
      <x:c r="L83" s="23"/>
      <x:c r="M83" s="26"/>
      <x:c r="N83" s="23"/>
      <x:c r="O83" s="23"/>
      <x:c r="P83" s="20"/>
      <x:c r="Q83" s="20"/>
      <x:c r="R83" s="23"/>
      <x:c r="S83" s="26"/>
      <x:c r="T83" s="43"/>
      <x:c r="U83" s="56"/>
      <x:c r="V83" s="23"/>
      <x:c r="W83" s="12" t="s">
        <x:v>43</x:v>
      </x:c>
      <x:c r="X83" s="24" t="n">
        <x:f aca="0">0.9*$J83</x:f>
        <x:v>0</x:v>
      </x:c>
      <x:c r="Y83" s="24" t="n">
        <x:f aca="0">1.5*J83</x:f>
        <x:v>0</x:v>
      </x:c>
      <x:c r="Z83" s="12"/>
      <x:c r="AA83" s="13" t="n">
        <x:f aca="0">0.9*K83</x:f>
        <x:v>0</x:v>
      </x:c>
      <x:c r="AB83" s="13" t="n">
        <x:f aca="0">1.3*K83</x:f>
        <x:v>0</x:v>
      </x:c>
      <x:c r="AC83" s="12"/>
      <x:c r="AD83" s="13"/>
      <x:c r="AE83" s="13"/>
      <x:c r="AF83" s="13"/>
      <x:c r="AG83" s="12"/>
    </x:row>
    <x:row r="84" ht="23.25" hidden="0" customHeight="1">
      <x:c r="A84" s="6" t="n">
        <x:v>743</x:v>
      </x:c>
      <x:c r="B84" s="9" t="n">
        <x:f aca="0">IF(ISNUMBER(A84),
    IF(AND(A84=INT(A84), MOD(A84, 10) = 0), 0,
        IF(AND(A84=INT(A84), LEN(A84)=2), 1,
            IF(AND(A84=INT(A84), LEN(A84)=3), 2,
                LEN(A84) - FIND(".", A84) + 2)
        )
    ),
"")</x:f>
        <x:v>2</x:v>
      </x:c>
      <x:c r="C84" s="37" t="s">
        <x:v>697</x:v>
      </x:c>
      <x:c r="D84" s="10" t="str">
        <x:f aca="0">REPT("   ", B84*2) &amp; C84</x:f>
        <x:v>            Utilities except electricity, Supplies, and Consumables</x:v>
      </x:c>
      <x:c r="E84" s="10"/>
      <x:c r="F84" s="10"/>
      <x:c r="G84" s="109"/>
      <x:c r="H84" s="10"/>
      <x:c r="I84" s="10"/>
      <x:c r="J84" s="160"/>
      <x:c r="K84" s="17"/>
      <x:c r="L84" s="23"/>
      <x:c r="M84" s="26"/>
      <x:c r="N84" s="23"/>
      <x:c r="O84" s="23"/>
      <x:c r="P84" s="20"/>
      <x:c r="Q84" s="20"/>
      <x:c r="R84" s="23"/>
      <x:c r="S84" s="26"/>
      <x:c r="T84" s="43"/>
      <x:c r="U84" s="56"/>
      <x:c r="V84" s="23"/>
      <x:c r="W84" s="12" t="s">
        <x:v>43</x:v>
      </x:c>
      <x:c r="X84" s="24" t="n">
        <x:f aca="0">0.9*$J84</x:f>
        <x:v>0</x:v>
      </x:c>
      <x:c r="Y84" s="24" t="n">
        <x:f aca="0">1.5*J84</x:f>
        <x:v>0</x:v>
      </x:c>
      <x:c r="Z84" s="12"/>
      <x:c r="AA84" s="13" t="n">
        <x:f aca="0">0.9*K84</x:f>
        <x:v>0</x:v>
      </x:c>
      <x:c r="AB84" s="13" t="n">
        <x:f aca="0">1.3*K84</x:f>
        <x:v>0</x:v>
      </x:c>
      <x:c r="AC84" s="12"/>
      <x:c r="AD84" s="13"/>
      <x:c r="AE84" s="13"/>
      <x:c r="AF84" s="13"/>
      <x:c r="AG84" s="12"/>
    </x:row>
    <x:row r="85" ht="23.25" hidden="0" customHeight="1">
      <x:c r="A85" s="6" t="n">
        <x:v>744</x:v>
      </x:c>
      <x:c r="B85" s="9" t="n">
        <x:f aca="0">IF(ISNUMBER(A85),
    IF(AND(A85=INT(A85), MOD(A85, 10) = 0), 0,
        IF(AND(A85=INT(A85), LEN(A85)=2), 1,
            IF(AND(A85=INT(A85), LEN(A85)=3), 2,
                LEN(A85) - FIND(".", A85) + 2)
        )
    ),
"")</x:f>
        <x:v>2</x:v>
      </x:c>
      <x:c r="C85" s="37" t="s">
        <x:v>698</x:v>
      </x:c>
      <x:c r="D85" s="10" t="str">
        <x:f aca="0">REPT("   ", B85*2) &amp; C85</x:f>
        <x:v>            Electricity</x:v>
      </x:c>
      <x:c r="E85" s="10" t="s">
        <x:v>290</x:v>
      </x:c>
      <x:c r="F85" s="10" t="s">
        <x:v>623</x:v>
      </x:c>
      <x:c r="G85" s="109" t="n">
        <x:v>1</x:v>
      </x:c>
      <x:c r="H85" s="10"/>
      <x:c r="I85" s="10"/>
      <x:c r="J85" s="17"/>
      <x:c r="K85" s="17" t="n">
        <x:v>90</x:v>
      </x:c>
      <x:c r="L85" s="23" t="s">
        <x:v>443</x:v>
      </x:c>
      <x:c r="M85" s="10" t="s">
        <x:v>796</x:v>
      </x:c>
      <x:c r="N85" s="23"/>
      <x:c r="O85" s="23"/>
      <x:c r="P85" s="20" t="n">
        <x:v>1</x:v>
      </x:c>
      <x:c r="Q85" s="20" t="n">
        <x:v>2025</x:v>
      </x:c>
      <x:c r="R85" s="23" t="s">
        <x:v>39</x:v>
      </x:c>
      <x:c r="S85" s="26"/>
      <x:c r="T85" s="43"/>
      <x:c r="U85" s="56"/>
      <x:c r="V85" s="23"/>
      <x:c r="W85" s="12" t="s">
        <x:v>43</x:v>
      </x:c>
      <x:c r="X85" s="24" t="n">
        <x:f aca="0">0.9*$J85</x:f>
        <x:v>0</x:v>
      </x:c>
      <x:c r="Y85" s="24" t="n">
        <x:f aca="0">1.5*J85</x:f>
        <x:v>0</x:v>
      </x:c>
      <x:c r="Z85" s="12" t="s">
        <x:v>44</x:v>
      </x:c>
      <x:c r="AA85" s="13" t="n">
        <x:f aca="0">0.9*K85</x:f>
        <x:v>81</x:v>
      </x:c>
      <x:c r="AB85" s="13" t="n">
        <x:f aca="0">1.3*K85</x:f>
        <x:v>117</x:v>
      </x:c>
      <x:c r="AC85" s="12" t="s">
        <x:v>44</x:v>
      </x:c>
      <x:c r="AD85" s="13" t="s">
        <x:v>45</x:v>
      </x:c>
      <x:c r="AE85" s="13" t="s">
        <x:v>46</x:v>
      </x:c>
      <x:c r="AF85" s="13" t="s">
        <x:v>47</x:v>
      </x:c>
      <x:c r="AG85" s="12" t="s">
        <x:v>48</x:v>
      </x:c>
    </x:row>
    <x:row r="86" ht="13.5" hidden="0" customHeight="1">
      <x:c r="A86" s="6" t="n">
        <x:v>747.1</x:v>
      </x:c>
      <x:c r="B86" s="9" t="n">
        <x:f aca="0">IF(ISNUMBER(A86),
    IF(AND(A86=INT(A86), MOD(A86, 10) = 0), 0,
        IF(AND(A86=INT(A86), LEN(A86)=2), 1,
            IF(AND(A86=INT(A86), LEN(A86)=3), 2,
                LEN(A86) - FIND(".", A86) + 2)
        )
    ),
"")</x:f>
        <x:v>3</x:v>
      </x:c>
      <x:c r="C86" s="37" t="s">
        <x:v>702</x:v>
      </x:c>
      <x:c r="D86" s="10" t="str">
        <x:f aca="0">REPT("   ", B86*2) &amp; C86</x:f>
        <x:v>                  Annualized Transportation Costs</x:v>
      </x:c>
      <x:c r="E86" s="10"/>
      <x:c r="F86" s="10"/>
      <x:c r="G86" s="109"/>
      <x:c r="H86" s="10"/>
      <x:c r="I86" s="10"/>
      <x:c r="J86" s="160"/>
      <x:c r="K86" s="17"/>
      <x:c r="L86" s="23"/>
      <x:c r="M86" s="26"/>
      <x:c r="N86" s="23"/>
      <x:c r="O86" s="23"/>
      <x:c r="P86" s="20"/>
      <x:c r="Q86" s="20"/>
      <x:c r="R86" s="23"/>
      <x:c r="S86" s="26"/>
      <x:c r="T86" s="43"/>
      <x:c r="U86" s="56"/>
      <x:c r="V86" s="23"/>
      <x:c r="W86" s="12" t="s">
        <x:v>43</x:v>
      </x:c>
      <x:c r="X86" s="24" t="n">
        <x:f aca="0">0.8*$I86</x:f>
        <x:v>0</x:v>
      </x:c>
      <x:c r="Y86" s="24" t="n">
        <x:f aca="0">2*J86</x:f>
        <x:v>0</x:v>
      </x:c>
      <x:c r="Z86" s="12"/>
      <x:c r="AA86" s="13" t="n">
        <x:f aca="0">0.8*K86</x:f>
        <x:v>0</x:v>
      </x:c>
      <x:c r="AB86" s="13" t="n">
        <x:f aca="0">2*K86</x:f>
        <x:v>0</x:v>
      </x:c>
      <x:c r="AC86" s="12"/>
      <x:c r="AD86" s="13"/>
      <x:c r="AE86" s="13"/>
      <x:c r="AF86" s="13"/>
      <x:c r="AG86" s="12"/>
    </x:row>
    <x:row r="87" ht="13.5" hidden="0" customHeight="1">
      <x:c r="A87" s="6" t="n">
        <x:v>747.2</x:v>
      </x:c>
      <x:c r="B87" s="9" t="n">
        <x:f aca="0">IF(ISNUMBER(A87),
    IF(AND(A87=INT(A87), MOD(A87, 10) = 0), 0,
        IF(AND(A87=INT(A87), LEN(A87)=2), 1,
            IF(AND(A87=INT(A87), LEN(A87)=3), 2,
                LEN(A87) - FIND(".", A87) + 2)
        )
    ),
"")</x:f>
        <x:v>3</x:v>
      </x:c>
      <x:c r="C87" s="37" t="s">
        <x:v>797</x:v>
      </x:c>
      <x:c r="D87" s="10" t="str">
        <x:f aca="0">REPT("   ", B87*2) &amp; C87</x:f>
        <x:v>                  Annualized Cask Replacements</x:v>
      </x:c>
      <x:c r="E87" s="10"/>
      <x:c r="F87" s="10"/>
      <x:c r="G87" s="109"/>
      <x:c r="H87" s="10"/>
      <x:c r="I87" s="10"/>
      <x:c r="J87" s="17"/>
      <x:c r="K87" s="17"/>
      <x:c r="L87" s="23"/>
      <x:c r="M87" s="26"/>
      <x:c r="N87" s="23"/>
      <x:c r="O87" s="23"/>
      <x:c r="P87" s="20"/>
      <x:c r="Q87" s="20"/>
      <x:c r="R87" s="23"/>
      <x:c r="S87" s="26"/>
      <x:c r="T87" s="43"/>
      <x:c r="U87" s="56"/>
      <x:c r="V87" s="23"/>
      <x:c r="W87" s="12"/>
      <x:c r="X87" s="24"/>
      <x:c r="Y87" s="24"/>
      <x:c r="Z87" s="12"/>
      <x:c r="AA87" s="13"/>
      <x:c r="AB87" s="13"/>
      <x:c r="AC87" s="12"/>
      <x:c r="AD87" s="13"/>
      <x:c r="AE87" s="13"/>
      <x:c r="AF87" s="13"/>
      <x:c r="AG87" s="12"/>
    </x:row>
    <x:row r="88" ht="34.5" hidden="0" customHeight="1">
      <x:c r="A88" s="6" t="n">
        <x:v>747.21</x:v>
      </x:c>
      <x:c r="B88" s="9" t="n">
        <x:f aca="0">IF(ISNUMBER(A88),
    IF(AND(A88=INT(A88), MOD(A88, 10) = 0), 0,
        IF(AND(A88=INT(A88), LEN(A88)=2), 1,
            IF(AND(A88=INT(A88), LEN(A88)=3), 2,
                LEN(A88) - FIND(".", A88) + 2)
        )
    ),
"")</x:f>
        <x:v>4</x:v>
      </x:c>
      <x:c r="C88" s="37" t="s">
        <x:v>798</x:v>
      </x:c>
      <x:c r="D88" s="10" t="str">
        <x:f aca="0">REPT("   ", B88*2) &amp; C88</x:f>
        <x:v>                        Used Fuel Cask</x:v>
      </x:c>
      <x:c r="E88" s="10" t="s">
        <x:v>35</x:v>
      </x:c>
      <x:c r="F88" s="10" t="s">
        <x:v>799</x:v>
      </x:c>
      <x:c r="G88" s="109" t="n">
        <x:v>1</x:v>
      </x:c>
      <x:c r="H88" s="10"/>
      <x:c r="I88" s="10"/>
      <x:c r="J88" s="17" t="n">
        <x:v>1159000</x:v>
      </x:c>
      <x:c r="K88" s="17"/>
      <x:c r="L88" s="23"/>
      <x:c r="M88" s="26"/>
      <x:c r="N88" s="23"/>
      <x:c r="O88" s="23"/>
      <x:c r="P88" s="20"/>
      <x:c r="Q88" s="20" t="n">
        <x:v>2023</x:v>
      </x:c>
      <x:c r="R88" s="23" t="s">
        <x:v>163</x:v>
      </x:c>
      <x:c r="S88" s="26" t="s">
        <x:v>800</x:v>
      </x:c>
      <x:c r="T88" s="43"/>
      <x:c r="U88" s="56"/>
      <x:c r="V88" s="23" t="s">
        <x:v>801</x:v>
      </x:c>
      <x:c r="W88" s="12" t="s">
        <x:v>43</x:v>
      </x:c>
      <x:c r="X88" s="24" t="n">
        <x:v>1008000</x:v>
      </x:c>
      <x:c r="Y88" s="24" t="n">
        <x:v>1310000</x:v>
      </x:c>
      <x:c r="Z88" s="12" t="s">
        <x:v>44</x:v>
      </x:c>
      <x:c r="AA88" s="13" t="n">
        <x:f aca="0">0.8*K88</x:f>
        <x:v>0</x:v>
      </x:c>
      <x:c r="AB88" s="13" t="n">
        <x:f aca="0">2*K88</x:f>
        <x:v>0</x:v>
      </x:c>
      <x:c r="AC88" s="12" t="s">
        <x:v>44</x:v>
      </x:c>
      <x:c r="AD88" s="13" t="s">
        <x:v>45</x:v>
      </x:c>
      <x:c r="AE88" s="13" t="s">
        <x:v>46</x:v>
      </x:c>
      <x:c r="AF88" s="13" t="s">
        <x:v>47</x:v>
      </x:c>
      <x:c r="AG88" s="12" t="s">
        <x:v>48</x:v>
      </x:c>
    </x:row>
    <x:row r="89" ht="34.5" hidden="0" customHeight="1">
      <x:c r="A89" s="6" t="n">
        <x:v>747.22</x:v>
      </x:c>
      <x:c r="B89" s="9" t="n">
        <x:f aca="0">IF(ISNUMBER(A89),
    IF(AND(A89=INT(A89), MOD(A89, 10) = 0), 0,
        IF(AND(A89=INT(A89), LEN(A89)=2), 1,
            IF(AND(A89=INT(A89), LEN(A89)=3), 2,
                LEN(A89) - FIND(".", A89) + 2)
        )
    ),
"")</x:f>
        <x:v>4</x:v>
      </x:c>
      <x:c r="C89" s="37" t="s">
        <x:v>802</x:v>
      </x:c>
      <x:c r="D89" s="10" t="str">
        <x:f aca="0">REPT("   ", B89*2) &amp; C89</x:f>
        <x:v>                        Reactor Transport Cask</x:v>
      </x:c>
      <x:c r="E89" s="10" t="s">
        <x:v>35</x:v>
      </x:c>
      <x:c r="F89" s="10" t="s">
        <x:v>803</x:v>
      </x:c>
      <x:c r="G89" s="109" t="n">
        <x:v>1</x:v>
      </x:c>
      <x:c r="H89" s="10"/>
      <x:c r="I89" s="10"/>
      <x:c r="J89" s="17" t="n">
        <x:f aca="0">J43</x:f>
        <x:v>10000000</x:v>
      </x:c>
      <x:c r="K89" s="17"/>
      <x:c r="L89" s="23"/>
      <x:c r="M89" s="26"/>
      <x:c r="N89" s="23"/>
      <x:c r="O89" s="23"/>
      <x:c r="P89" s="20"/>
      <x:c r="Q89" s="20" t="n">
        <x:f aca="0">Q43</x:f>
        <x:v>2024</x:v>
      </x:c>
      <x:c r="R89" s="20" t="str">
        <x:f aca="0">R43</x:f>
        <x:v>Lab and Mat and Equip</x:v>
      </x:c>
      <x:c r="S89" s="20" t="str">
        <x:f aca="0">S43</x:f>
        <x:v>assumption</x:v>
      </x:c>
      <x:c r="T89" s="20" t="n">
        <x:f aca="0">T43</x:f>
        <x:v>0</x:v>
      </x:c>
      <x:c r="U89" s="20" t="n">
        <x:f aca="0">U43</x:f>
        <x:v>0</x:v>
      </x:c>
      <x:c r="V89" s="20" t="n">
        <x:f aca="0">V43</x:f>
        <x:v>0</x:v>
      </x:c>
      <x:c r="W89" s="20" t="str">
        <x:f aca="0">W43</x:f>
        <x:v>No Learning</x:v>
      </x:c>
      <x:c r="X89" s="177" t="n">
        <x:f aca="0">X43</x:f>
        <x:v>0</x:v>
      </x:c>
      <x:c r="Y89" s="177" t="n">
        <x:f aca="0">Y43</x:f>
        <x:v>15000000</x:v>
      </x:c>
      <x:c r="Z89" s="20" t="str">
        <x:f aca="0">Z43</x:f>
        <x:v>Lognormal</x:v>
      </x:c>
      <x:c r="AA89" s="20" t="n">
        <x:f aca="0">AA43</x:f>
        <x:v>0</x:v>
      </x:c>
      <x:c r="AB89" s="20" t="n">
        <x:f aca="0">AB43</x:f>
        <x:v>0</x:v>
      </x:c>
      <x:c r="AC89" s="20" t="str">
        <x:f aca="0">AC43</x:f>
        <x:v>Lognormal</x:v>
      </x:c>
      <x:c r="AD89" s="20" t="str">
        <x:f aca="0">AD43</x:f>
        <x:v>0.1</x:v>
      </x:c>
      <x:c r="AE89" s="20" t="str">
        <x:f aca="0">AE43</x:f>
        <x:v>1</x:v>
      </x:c>
      <x:c r="AF89" s="20" t="str">
        <x:f aca="0">AF43</x:f>
        <x:v>0</x:v>
      </x:c>
      <x:c r="AG89" s="20" t="str">
        <x:f aca="0">AG43</x:f>
        <x:v>Truncated Normal</x:v>
      </x:c>
    </x:row>
    <x:row r="90" ht="34.5" hidden="0" customHeight="1">
      <x:c r="A90" s="6" t="n">
        <x:v>747.23</x:v>
      </x:c>
      <x:c r="B90" s="9" t="n">
        <x:f aca="0">IF(ISNUMBER(A90),
    IF(AND(A90=INT(A90), MOD(A90, 10) = 0), 0,
        IF(AND(A90=INT(A90), LEN(A90)=2), 1,
            IF(AND(A90=INT(A90), LEN(A90)=3), 2,
                LEN(A90) - FIND(".", A90) + 2)
        )
    ),
"")</x:f>
        <x:v>4</x:v>
      </x:c>
      <x:c r="C90" s="37" t="s">
        <x:v>804</x:v>
      </x:c>
      <x:c r="D90" s="10" t="str">
        <x:f aca="0">REPT("   ", B90*2) &amp; C90</x:f>
        <x:v>                        Radwaste Storage Cask</x:v>
      </x:c>
      <x:c r="E90" s="10" t="s">
        <x:v>35</x:v>
      </x:c>
      <x:c r="F90" s="10" t="s">
        <x:v>805</x:v>
      </x:c>
      <x:c r="G90" s="109" t="n">
        <x:v>1</x:v>
      </x:c>
      <x:c r="H90" s="10"/>
      <x:c r="I90" s="10"/>
      <x:c r="J90" s="17" t="n">
        <x:v>1159000</x:v>
      </x:c>
      <x:c r="K90" s="17"/>
      <x:c r="L90" s="23"/>
      <x:c r="M90" s="26"/>
      <x:c r="N90" s="23"/>
      <x:c r="O90" s="23"/>
      <x:c r="P90" s="20"/>
      <x:c r="Q90" s="20" t="n">
        <x:v>2023</x:v>
      </x:c>
      <x:c r="R90" s="23" t="s">
        <x:v>163</x:v>
      </x:c>
      <x:c r="S90" s="26" t="s">
        <x:v>800</x:v>
      </x:c>
      <x:c r="T90" s="43"/>
      <x:c r="U90" s="56"/>
      <x:c r="V90" s="23" t="s">
        <x:v>801</x:v>
      </x:c>
      <x:c r="W90" s="12" t="s">
        <x:v>43</x:v>
      </x:c>
      <x:c r="X90" s="24" t="n">
        <x:v>1008000</x:v>
      </x:c>
      <x:c r="Y90" s="24" t="n">
        <x:v>1310000</x:v>
      </x:c>
      <x:c r="Z90" s="12" t="s">
        <x:v>44</x:v>
      </x:c>
      <x:c r="AA90" s="13" t="n">
        <x:f aca="0">0.8*K90</x:f>
        <x:v>0</x:v>
      </x:c>
      <x:c r="AB90" s="13" t="n">
        <x:f aca="0">2*K90</x:f>
        <x:v>0</x:v>
      </x:c>
      <x:c r="AC90" s="12" t="s">
        <x:v>44</x:v>
      </x:c>
      <x:c r="AD90" s="13" t="s">
        <x:v>45</x:v>
      </x:c>
      <x:c r="AE90" s="13" t="s">
        <x:v>46</x:v>
      </x:c>
      <x:c r="AF90" s="13" t="s">
        <x:v>47</x:v>
      </x:c>
      <x:c r="AG90" s="12" t="s">
        <x:v>48</x:v>
      </x:c>
    </x:row>
    <x:row r="91" ht="13.5" hidden="0" customHeight="1">
      <x:c r="A91" s="6" t="n">
        <x:v>747.24</x:v>
      </x:c>
      <x:c r="B91" s="9" t="n">
        <x:f aca="0">IF(ISNUMBER(A91),IF(AND(A91=INT(A91),MOD(A91,10)=0),0,IF(AND(A91=INT(A91),LEN(A91)=2),1,IF(AND(A91=INT(A91),LEN(A91)=3),2,LEN(A91)-FIND(".",A91)+2))),"")</x:f>
        <x:v>4</x:v>
      </x:c>
      <x:c r="C91" s="37" t="s">
        <x:v>806</x:v>
      </x:c>
      <x:c r="D91" s="10" t="str">
        <x:f aca="0">REPT("   ",B91*2)&amp;C91</x:f>
        <x:v>                        Used Fuel Storage Additional Overpacks</x:v>
      </x:c>
      <x:c r="E91" s="10" t="s">
        <x:v>35</x:v>
      </x:c>
      <x:c r="F91" s="10"/>
      <x:c r="G91" s="109"/>
      <x:c r="H91" s="10"/>
      <x:c r="I91" s="10"/>
      <x:c r="J91" s="17"/>
      <x:c r="K91" s="17" t="n">
        <x:v>200000</x:v>
      </x:c>
      <x:c r="L91" s="23" t="s">
        <x:v>730</x:v>
      </x:c>
      <x:c r="M91" s="26" t="s">
        <x:v>731</x:v>
      </x:c>
      <x:c r="N91" s="23" t="n">
        <x:v>1</x:v>
      </x:c>
      <x:c r="O91" s="23" t="s">
        <x:v>732</x:v>
      </x:c>
      <x:c r="P91" s="20" t="n">
        <x:v>1</x:v>
      </x:c>
      <x:c r="Q91" s="20" t="n">
        <x:v>2009</x:v>
      </x:c>
      <x:c r="R91" s="23" t="s">
        <x:v>163</x:v>
      </x:c>
      <x:c r="S91" s="26"/>
      <x:c r="T91" s="43"/>
      <x:c r="U91" s="56" t="str">
        <x:v>https://doi.org/10.3929/ethz-b-000709311</x:v>
      </x:c>
      <x:c r="V91" s="23"/>
      <x:c r="W91" s="12" t="s">
        <x:v>43</x:v>
      </x:c>
      <x:c r="X91" s="24" t="n">
        <x:v>0</x:v>
      </x:c>
      <x:c r="Y91" s="24" t="n">
        <x:v>0</x:v>
      </x:c>
      <x:c r="Z91" s="12" t="s">
        <x:v>44</x:v>
      </x:c>
      <x:c r="AA91" s="13" t="n">
        <x:f aca="0">0.8*K91</x:f>
        <x:v>160000</x:v>
      </x:c>
      <x:c r="AB91" s="13" t="n">
        <x:f aca="0">2*K91</x:f>
        <x:v>400000</x:v>
      </x:c>
      <x:c r="AC91" s="12" t="s">
        <x:v>44</x:v>
      </x:c>
      <x:c r="AD91" s="13" t="n">
        <x:v>0.1</x:v>
      </x:c>
      <x:c r="AE91" s="13" t="n">
        <x:v>1</x:v>
      </x:c>
      <x:c r="AF91" s="13" t="n">
        <x:v>0</x:v>
      </x:c>
      <x:c r="AG91" s="12" t="s">
        <x:v>48</x:v>
      </x:c>
    </x:row>
    <x:row r="92" ht="45.75" hidden="0" customHeight="1">
      <x:c r="A92" s="6" t="n">
        <x:v>747.3</x:v>
      </x:c>
      <x:c r="B92" s="9" t="n">
        <x:f aca="0">IF(ISNUMBER(A92),
    IF(AND(A92=INT(A92), MOD(A92, 10) = 0), 0,
        IF(AND(A92=INT(A92), LEN(A92)=2), 1,
            IF(AND(A92=INT(A92), LEN(A92)=3), 2,
                LEN(A92) - FIND(".", A92) + 2)
        )
    ),
"")</x:f>
        <x:v>3</x:v>
      </x:c>
      <x:c r="C92" s="37" t="s">
        <x:v>703</x:v>
      </x:c>
      <x:c r="D92" s="10" t="str">
        <x:f aca="0">REPT("   ", B92*2) &amp; C92</x:f>
        <x:v>                  Annualized Helium Replenishment</x:v>
      </x:c>
      <x:c r="E92" s="10" t="s">
        <x:v>35</x:v>
      </x:c>
      <x:c r="F92" s="161" t="s">
        <x:v>623</x:v>
      </x:c>
      <x:c r="G92" s="109" t="n">
        <x:v>1</x:v>
      </x:c>
      <x:c r="H92" s="10"/>
      <x:c r="I92" s="10"/>
      <x:c r="J92" s="17"/>
      <x:c r="K92" s="17" t="n">
        <x:v>170</x:v>
      </x:c>
      <x:c r="L92" s="23" t="s">
        <x:v>196</x:v>
      </x:c>
      <x:c r="M92" s="26" t="s">
        <x:v>807</x:v>
      </x:c>
      <x:c r="N92" s="23"/>
      <x:c r="O92" s="23" t="s">
        <x:v>198</x:v>
      </x:c>
      <x:c r="P92" s="20"/>
      <x:c r="Q92" s="20" t="n">
        <x:v>2024</x:v>
      </x:c>
      <x:c r="R92" s="23" t="s">
        <x:v>163</x:v>
      </x:c>
      <x:c r="S92" s="26" t="s">
        <x:v>327</x:v>
      </x:c>
      <x:c r="T92" s="43" t="s">
        <x:v>327</x:v>
      </x:c>
      <x:c r="U92" s="56" t="s">
        <x:v>328</x:v>
      </x:c>
      <x:c r="V92" s="23" t="s">
        <x:v>329</x:v>
      </x:c>
      <x:c r="W92" s="12" t="s">
        <x:v>43</x:v>
      </x:c>
      <x:c r="X92" s="24" t="n">
        <x:v>0</x:v>
      </x:c>
      <x:c r="Y92" s="24" t="n">
        <x:v>0</x:v>
      </x:c>
      <x:c r="Z92" s="12" t="s">
        <x:v>44</x:v>
      </x:c>
      <x:c r="AA92" s="13" t="n">
        <x:f aca="0">0.9*K92</x:f>
        <x:v>153</x:v>
      </x:c>
      <x:c r="AB92" s="13" t="n">
        <x:f aca="0">1.3*K92</x:f>
        <x:v>221</x:v>
      </x:c>
      <x:c r="AC92" s="12" t="s">
        <x:v>44</x:v>
      </x:c>
      <x:c r="AD92" s="13" t="s">
        <x:v>45</x:v>
      </x:c>
      <x:c r="AE92" s="13" t="s">
        <x:v>46</x:v>
      </x:c>
      <x:c r="AF92" s="13" t="s">
        <x:v>47</x:v>
      </x:c>
      <x:c r="AG92" s="12" t="s">
        <x:v>48</x:v>
      </x:c>
    </x:row>
    <x:row r="93" ht="13.5" hidden="0" customHeight="1">
      <x:c r="A93" s="6" t="n">
        <x:v>747.4</x:v>
      </x:c>
      <x:c r="B93" s="9" t="n">
        <x:f aca="0">IF(ISNUMBER(A93),
    IF(AND(A93=INT(A93), MOD(A93, 10) = 0), 0,
        IF(AND(A93=INT(A93), LEN(A93)=2), 1,
            IF(AND(A93=INT(A93), LEN(A93)=3), 2,
                LEN(A93) - FIND(".", A93) + 2)
        )
    ),
"")</x:f>
        <x:v>3</x:v>
      </x:c>
      <x:c r="C93" s="37" t="s">
        <x:v>705</x:v>
      </x:c>
      <x:c r="D93" s="10" t="str">
        <x:f aca="0">REPT("   ", B93*2) &amp; C93</x:f>
        <x:v>                  Annualized Other Supplies and Utilities</x:v>
      </x:c>
      <x:c r="E93" s="10"/>
      <x:c r="F93" s="10"/>
      <x:c r="G93" s="109"/>
      <x:c r="H93" s="10"/>
      <x:c r="I93" s="10"/>
      <x:c r="J93" s="160"/>
      <x:c r="K93" s="17"/>
      <x:c r="L93" s="23"/>
      <x:c r="M93" s="26"/>
      <x:c r="N93" s="23"/>
      <x:c r="O93" s="23"/>
      <x:c r="P93" s="20"/>
      <x:c r="Q93" s="20"/>
      <x:c r="R93" s="23"/>
      <x:c r="S93" s="26"/>
      <x:c r="T93" s="43"/>
      <x:c r="U93" s="56"/>
      <x:c r="V93" s="23"/>
      <x:c r="W93" s="12"/>
      <x:c r="X93" s="24"/>
      <x:c r="Y93" s="24"/>
      <x:c r="Z93" s="12"/>
      <x:c r="AA93" s="13"/>
      <x:c r="AB93" s="13"/>
      <x:c r="AC93" s="12"/>
      <x:c r="AD93" s="13"/>
      <x:c r="AE93" s="13"/>
      <x:c r="AF93" s="13"/>
      <x:c r="AG93" s="12"/>
    </x:row>
    <x:row r="94" ht="13.5" hidden="0" customHeight="1">
      <x:c r="A94" s="6" t="n">
        <x:v>747.5</x:v>
      </x:c>
      <x:c r="B94" s="9" t="n">
        <x:f aca="0">IF(ISNUMBER(A94),
    IF(AND(A94=INT(A94), MOD(A94, 10) = 0), 0,
        IF(AND(A94=INT(A94), LEN(A94)=2), 1,
            IF(AND(A94=INT(A94), LEN(A94)=3), 2,
                LEN(A94) - FIND(".", A94) + 2)
        )
    ),
"")</x:f>
        <x:v>3</x:v>
      </x:c>
      <x:c r="C94" s="37" t="s">
        <x:v>808</x:v>
      </x:c>
      <x:c r="D94" s="10" t="str">
        <x:f aca="0">REPT("   ", B94*2) &amp; C94</x:f>
        <x:v>                  Servicing Vehicle O&amp;M</x:v>
      </x:c>
      <x:c r="E94" s="10"/>
      <x:c r="F94" s="10"/>
      <x:c r="G94" s="109"/>
      <x:c r="H94" s="10"/>
      <x:c r="I94" s="10"/>
      <x:c r="J94" s="160"/>
      <x:c r="K94" s="17"/>
      <x:c r="L94" s="23"/>
      <x:c r="M94" s="26"/>
      <x:c r="N94" s="23"/>
      <x:c r="O94" s="23"/>
      <x:c r="P94" s="20"/>
      <x:c r="Q94" s="20"/>
      <x:c r="R94" s="23"/>
      <x:c r="S94" s="26"/>
      <x:c r="T94" s="43"/>
      <x:c r="U94" s="56"/>
      <x:c r="V94" s="23"/>
      <x:c r="W94" s="12"/>
      <x:c r="X94" s="24"/>
      <x:c r="Y94" s="24"/>
      <x:c r="Z94" s="12"/>
      <x:c r="AA94" s="13"/>
      <x:c r="AB94" s="13"/>
      <x:c r="AC94" s="12"/>
      <x:c r="AD94" s="13"/>
      <x:c r="AE94" s="13"/>
      <x:c r="AF94" s="13"/>
      <x:c r="AG94" s="12"/>
    </x:row>
    <x:row r="95" ht="23.25" hidden="0" customHeight="1">
      <x:c r="A95" s="6" t="n">
        <x:v>747.51</x:v>
      </x:c>
      <x:c r="B95" s="9" t="n">
        <x:f aca="0">IF(ISNUMBER(A95),
    IF(AND(A95=INT(A95), MOD(A95, 10) = 0), 0,
        IF(AND(A95=INT(A95), LEN(A95)=2), 1,
            IF(AND(A95=INT(A95), LEN(A95)=3), 2,
                LEN(A95) - FIND(".", A95) + 2)
        )
    ),
"")</x:f>
        <x:v>4</x:v>
      </x:c>
      <x:c r="C95" s="26" t="s">
        <x:v>809</x:v>
      </x:c>
      <x:c r="D95" s="10" t="str">
        <x:f aca="0">REPT("   ", B95*2) &amp; C95</x:f>
        <x:v>                        Reactor Transport Vehicles O&amp;M</x:v>
      </x:c>
      <x:c r="E95" s="10" t="s">
        <x:v>35</x:v>
      </x:c>
      <x:c r="F95" s="10" t="s">
        <x:v>771</x:v>
      </x:c>
      <x:c r="G95" s="109" t="n">
        <x:v>1</x:v>
      </x:c>
      <x:c r="H95" s="10"/>
      <x:c r="I95" s="10"/>
      <x:c r="J95" s="160" t="n">
        <x:f aca="0">36*200000+1000000</x:f>
        <x:v>8200000</x:v>
      </x:c>
      <x:c r="K95" s="17"/>
      <x:c r="L95" s="23"/>
      <x:c r="M95" s="26"/>
      <x:c r="N95" s="23"/>
      <x:c r="O95" s="23"/>
      <x:c r="P95" s="20"/>
      <x:c r="Q95" s="20" t="n">
        <x:v>2024</x:v>
      </x:c>
      <x:c r="R95" s="23" t="s">
        <x:v>73</x:v>
      </x:c>
      <x:c r="S95" s="26"/>
      <x:c r="T95" s="43"/>
      <x:c r="U95" s="56"/>
      <x:c r="V95" s="23"/>
      <x:c r="W95" s="12" t="s">
        <x:v>43</x:v>
      </x:c>
      <x:c r="X95" s="24" t="n">
        <x:f aca="0">0.9*$J95</x:f>
        <x:v>7380000</x:v>
      </x:c>
      <x:c r="Y95" s="24" t="n">
        <x:f aca="0">1.5*J95</x:f>
        <x:v>12300000</x:v>
      </x:c>
      <x:c r="Z95" s="12" t="s">
        <x:v>44</x:v>
      </x:c>
      <x:c r="AA95" s="13" t="n">
        <x:f aca="0">0.9*K95</x:f>
        <x:v>0</x:v>
      </x:c>
      <x:c r="AB95" s="13" t="n">
        <x:f aca="0">1.3*K95</x:f>
        <x:v>0</x:v>
      </x:c>
      <x:c r="AC95" s="12" t="s">
        <x:v>44</x:v>
      </x:c>
      <x:c r="AD95" s="13" t="s">
        <x:v>45</x:v>
      </x:c>
      <x:c r="AE95" s="13" t="s">
        <x:v>46</x:v>
      </x:c>
      <x:c r="AF95" s="13" t="s">
        <x:v>47</x:v>
      </x:c>
      <x:c r="AG95" s="12" t="s">
        <x:v>48</x:v>
      </x:c>
    </x:row>
    <x:row r="96" ht="23.25" hidden="0" customHeight="1">
      <x:c r="A96" s="6" t="n">
        <x:v>747.52</x:v>
      </x:c>
      <x:c r="B96" s="9" t="n">
        <x:f aca="0">IF(ISNUMBER(A96),
    IF(AND(A96=INT(A96), MOD(A96, 10) = 0), 0,
        IF(AND(A96=INT(A96), LEN(A96)=2), 1,
            IF(AND(A96=INT(A96), LEN(A96)=3), 2,
                LEN(A96) - FIND(".", A96) + 2)
        )
    ),
"")</x:f>
        <x:v>4</x:v>
      </x:c>
      <x:c r="C96" s="26" t="s">
        <x:v>810</x:v>
      </x:c>
      <x:c r="D96" s="10" t="str">
        <x:f aca="0">REPT("   ", B96*2) &amp; C96</x:f>
        <x:v>                        Helium Transport Trucks O&amp;M</x:v>
      </x:c>
      <x:c r="E96" s="10" t="s">
        <x:v>35</x:v>
      </x:c>
      <x:c r="F96" s="10" t="s">
        <x:v>773</x:v>
      </x:c>
      <x:c r="G96" s="109" t="n">
        <x:v>1</x:v>
      </x:c>
      <x:c r="H96" s="10"/>
      <x:c r="I96" s="10"/>
      <x:c r="J96" s="160" t="n">
        <x:f aca="0">4*200000+500000</x:f>
        <x:v>1300000</x:v>
      </x:c>
      <x:c r="K96" s="17"/>
      <x:c r="L96" s="23"/>
      <x:c r="M96" s="26"/>
      <x:c r="N96" s="23"/>
      <x:c r="O96" s="23"/>
      <x:c r="P96" s="20"/>
      <x:c r="Q96" s="20" t="n">
        <x:v>2024</x:v>
      </x:c>
      <x:c r="R96" s="23" t="s">
        <x:v>73</x:v>
      </x:c>
      <x:c r="S96" s="26"/>
      <x:c r="T96" s="43"/>
      <x:c r="U96" s="56"/>
      <x:c r="V96" s="23"/>
      <x:c r="W96" s="12" t="s">
        <x:v>43</x:v>
      </x:c>
      <x:c r="X96" s="24" t="n">
        <x:f aca="0">0.9*$J96</x:f>
        <x:v>1170000</x:v>
      </x:c>
      <x:c r="Y96" s="24" t="n">
        <x:f aca="0">1.5*J96</x:f>
        <x:v>1950000</x:v>
      </x:c>
      <x:c r="Z96" s="12" t="s">
        <x:v>44</x:v>
      </x:c>
      <x:c r="AA96" s="13" t="n">
        <x:f aca="0">0.9*K96</x:f>
        <x:v>0</x:v>
      </x:c>
      <x:c r="AB96" s="13" t="n">
        <x:f aca="0">1.3*K96</x:f>
        <x:v>0</x:v>
      </x:c>
      <x:c r="AC96" s="12" t="s">
        <x:v>44</x:v>
      </x:c>
      <x:c r="AD96" s="13" t="s">
        <x:v>45</x:v>
      </x:c>
      <x:c r="AE96" s="13" t="s">
        <x:v>46</x:v>
      </x:c>
      <x:c r="AF96" s="13" t="s">
        <x:v>47</x:v>
      </x:c>
      <x:c r="AG96" s="12" t="s">
        <x:v>48</x:v>
      </x:c>
    </x:row>
    <x:row r="97" ht="23.25" hidden="0" customHeight="1">
      <x:c r="A97" s="6" t="n">
        <x:v>747.53</x:v>
      </x:c>
      <x:c r="B97" s="9" t="n">
        <x:f aca="0">IF(ISNUMBER(A97),
    IF(AND(A97=INT(A97), MOD(A97, 10) = 0), 0,
        IF(AND(A97=INT(A97), LEN(A97)=2), 1,
            IF(AND(A97=INT(A97), LEN(A97)=3), 2,
                LEN(A97) - FIND(".", A97) + 2)
        )
    ),
"")</x:f>
        <x:v>4</x:v>
      </x:c>
      <x:c r="C97" s="26" t="s">
        <x:v>811</x:v>
      </x:c>
      <x:c r="D97" s="10" t="str">
        <x:f aca="0">REPT("   ", B97*2) &amp; C97</x:f>
        <x:v>                        Water Tanker Trucks O&amp;M</x:v>
      </x:c>
      <x:c r="E97" s="10" t="s">
        <x:v>35</x:v>
      </x:c>
      <x:c r="F97" s="10" t="s">
        <x:v>775</x:v>
      </x:c>
      <x:c r="G97" s="109" t="n">
        <x:v>1</x:v>
      </x:c>
      <x:c r="H97" s="10"/>
      <x:c r="I97" s="10"/>
      <x:c r="J97" s="160" t="n">
        <x:f aca="0">4*200000+400000</x:f>
        <x:v>1200000</x:v>
      </x:c>
      <x:c r="K97" s="17"/>
      <x:c r="L97" s="23"/>
      <x:c r="M97" s="26"/>
      <x:c r="N97" s="23"/>
      <x:c r="O97" s="23"/>
      <x:c r="P97" s="20"/>
      <x:c r="Q97" s="20" t="n">
        <x:v>2024</x:v>
      </x:c>
      <x:c r="R97" s="23" t="s">
        <x:v>73</x:v>
      </x:c>
      <x:c r="S97" s="26"/>
      <x:c r="T97" s="43"/>
      <x:c r="U97" s="56"/>
      <x:c r="V97" s="23"/>
      <x:c r="W97" s="12" t="s">
        <x:v>43</x:v>
      </x:c>
      <x:c r="X97" s="24" t="n">
        <x:f aca="0">0.9*$J97</x:f>
        <x:v>1080000</x:v>
      </x:c>
      <x:c r="Y97" s="24" t="n">
        <x:f aca="0">1.5*J97</x:f>
        <x:v>1800000</x:v>
      </x:c>
      <x:c r="Z97" s="12" t="s">
        <x:v>44</x:v>
      </x:c>
      <x:c r="AA97" s="13" t="n">
        <x:f aca="0">0.9*K97</x:f>
        <x:v>0</x:v>
      </x:c>
      <x:c r="AB97" s="13" t="n">
        <x:f aca="0">1.3*K97</x:f>
        <x:v>0</x:v>
      </x:c>
      <x:c r="AC97" s="12" t="s">
        <x:v>44</x:v>
      </x:c>
      <x:c r="AD97" s="13" t="s">
        <x:v>45</x:v>
      </x:c>
      <x:c r="AE97" s="13" t="s">
        <x:v>46</x:v>
      </x:c>
      <x:c r="AF97" s="13" t="s">
        <x:v>47</x:v>
      </x:c>
      <x:c r="AG97" s="12" t="s">
        <x:v>48</x:v>
      </x:c>
    </x:row>
    <x:row r="98" ht="23.25" hidden="0" customHeight="1">
      <x:c r="A98" s="6" t="n">
        <x:v>747.54</x:v>
      </x:c>
      <x:c r="B98" s="9" t="n">
        <x:f aca="0">IF(ISNUMBER(A98),
    IF(AND(A98=INT(A98), MOD(A98, 10) = 0), 0,
        IF(AND(A98=INT(A98), LEN(A98)=2), 1,
            IF(AND(A98=INT(A98), LEN(A98)=3), 2,
                LEN(A98) - FIND(".", A98) + 2)
        )
    ),
"")</x:f>
        <x:v>4</x:v>
      </x:c>
      <x:c r="C98" s="26" t="s">
        <x:v>812</x:v>
      </x:c>
      <x:c r="D98" s="10" t="str">
        <x:f aca="0">REPT("   ", B98*2) &amp; C98</x:f>
        <x:v>                        Maintenance Trucks O&amp;M</x:v>
      </x:c>
      <x:c r="E98" s="10" t="s">
        <x:v>35</x:v>
      </x:c>
      <x:c r="F98" s="10" t="s">
        <x:v>777</x:v>
      </x:c>
      <x:c r="G98" s="109" t="n">
        <x:v>1</x:v>
      </x:c>
      <x:c r="H98" s="10"/>
      <x:c r="I98" s="10"/>
      <x:c r="J98" s="160" t="n">
        <x:f aca="0">10*2*200000+1000000</x:f>
        <x:v>5000000</x:v>
      </x:c>
      <x:c r="K98" s="17"/>
      <x:c r="L98" s="23"/>
      <x:c r="M98" s="26"/>
      <x:c r="N98" s="23"/>
      <x:c r="O98" s="23"/>
      <x:c r="P98" s="20"/>
      <x:c r="Q98" s="20" t="n">
        <x:v>2024</x:v>
      </x:c>
      <x:c r="R98" s="23" t="s">
        <x:v>73</x:v>
      </x:c>
      <x:c r="S98" s="26"/>
      <x:c r="T98" s="43"/>
      <x:c r="U98" s="56"/>
      <x:c r="V98" s="23"/>
      <x:c r="W98" s="12" t="s">
        <x:v>43</x:v>
      </x:c>
      <x:c r="X98" s="24" t="n">
        <x:f aca="0">0.9*$J98</x:f>
        <x:v>4500000</x:v>
      </x:c>
      <x:c r="Y98" s="24" t="n">
        <x:f aca="0">1.5*J98</x:f>
        <x:v>7500000</x:v>
      </x:c>
      <x:c r="Z98" s="12" t="s">
        <x:v>44</x:v>
      </x:c>
      <x:c r="AA98" s="13" t="n">
        <x:f aca="0">0.9*K98</x:f>
        <x:v>0</x:v>
      </x:c>
      <x:c r="AB98" s="13" t="n">
        <x:f aca="0">1.3*K98</x:f>
        <x:v>0</x:v>
      </x:c>
      <x:c r="AC98" s="12" t="s">
        <x:v>44</x:v>
      </x:c>
      <x:c r="AD98" s="13" t="s">
        <x:v>45</x:v>
      </x:c>
      <x:c r="AE98" s="13" t="s">
        <x:v>46</x:v>
      </x:c>
      <x:c r="AF98" s="13" t="s">
        <x:v>47</x:v>
      </x:c>
      <x:c r="AG98" s="12" t="s">
        <x:v>48</x:v>
      </x:c>
    </x:row>
    <x:row r="99" ht="13.5" hidden="0" customHeight="1">
      <x:c r="A99" s="6" t="n">
        <x:v>75</x:v>
      </x:c>
      <x:c r="B99" s="9" t="n">
        <x:f aca="0">IF(ISNUMBER(A99),
    IF(AND(A99=INT(A99), MOD(A99, 10) = 0), 0,
        IF(AND(A99=INT(A99), LEN(A99)=2), 1,
            IF(AND(A99=INT(A99), LEN(A99)=3), 2,
                LEN(A99) - FIND(".", A99) + 2)
        )
    ),
"")</x:f>
        <x:v>1</x:v>
      </x:c>
      <x:c r="C99" s="37" t="s">
        <x:v>419</x:v>
      </x:c>
      <x:c r="D99" s="10" t="str">
        <x:f aca="0">REPT("   ", B99*2) &amp; C99</x:f>
        <x:v>      Capital Plant Expenditures</x:v>
      </x:c>
      <x:c r="E99" s="10"/>
      <x:c r="F99" s="10"/>
      <x:c r="G99" s="166"/>
      <x:c r="H99" s="167"/>
      <x:c r="I99" s="167"/>
      <x:c r="J99" s="168"/>
      <x:c r="K99" s="169"/>
      <x:c r="L99" s="170"/>
      <x:c r="M99" s="170"/>
      <x:c r="N99" s="170"/>
      <x:c r="O99" s="170"/>
      <x:c r="P99" s="169"/>
      <x:c r="Q99" s="170"/>
      <x:c r="R99" s="170"/>
      <x:c r="S99" s="170"/>
      <x:c r="T99" s="170"/>
      <x:c r="U99" s="170"/>
      <x:c r="V99" s="170"/>
      <x:c r="W99" s="170"/>
      <x:c r="X99" s="169"/>
      <x:c r="Y99" s="169"/>
      <x:c r="Z99" s="170"/>
      <x:c r="AA99" s="169"/>
      <x:c r="AB99" s="169"/>
      <x:c r="AC99" s="170"/>
      <x:c r="AD99" s="169"/>
      <x:c r="AE99" s="169"/>
      <x:c r="AF99" s="169"/>
      <x:c r="AG99" s="170"/>
    </x:row>
    <x:row r="100" ht="13.5" hidden="0" customHeight="1">
      <x:c r="A100" s="6" t="n">
        <x:v>78</x:v>
      </x:c>
      <x:c r="B100" s="9" t="n">
        <x:f aca="0">IF(ISNUMBER(A100),IF(AND(A100=INT(A100),MOD(A100,10)=0),0,IF(AND(A100=INT(A100),LEN(A100)=2),1,IF(AND(A100=INT(A100),LEN(A100)=3),2,LEN(A100)-FIND(".",A100)+2))),"")</x:f>
        <x:v>1</x:v>
      </x:c>
      <x:c r="C100" s="37" t="s">
        <x:v>437</x:v>
      </x:c>
      <x:c r="D100" s="10" t="str">
        <x:f aca="0">REPT("   ",B100*2)&amp;C100</x:f>
        <x:v>      Annualized Decommissioning Cost</x:v>
      </x:c>
      <x:c r="E100" s="10"/>
      <x:c r="F100" s="10"/>
      <x:c r="G100" s="166"/>
      <x:c r="H100" s="167"/>
      <x:c r="I100" s="167"/>
      <x:c r="J100" s="168"/>
      <x:c r="K100" s="169"/>
      <x:c r="L100" s="170"/>
      <x:c r="M100" s="170"/>
      <x:c r="N100" s="170"/>
      <x:c r="O100" s="170"/>
      <x:c r="P100" s="169"/>
      <x:c r="Q100" s="170"/>
      <x:c r="R100" s="170"/>
      <x:c r="S100" s="170"/>
      <x:c r="T100" s="170"/>
      <x:c r="U100" s="170"/>
      <x:c r="V100" s="170"/>
      <x:c r="W100" s="170"/>
      <x:c r="X100" s="169"/>
      <x:c r="Y100" s="169"/>
      <x:c r="Z100" s="170"/>
      <x:c r="AA100" s="169"/>
      <x:c r="AB100" s="169"/>
      <x:c r="AC100" s="170"/>
      <x:c r="AD100" s="169"/>
      <x:c r="AE100" s="169"/>
      <x:c r="AF100" s="169"/>
      <x:c r="AG100" s="170"/>
    </x:row>
  </x:sheetData>
  <x:mergeCells>
    <x:mergeCell ref="T3:T4"/>
    <x:mergeCell ref="U3:U4"/>
    <x:mergeCell ref="T5:T6"/>
    <x:mergeCell ref="U5:U6"/>
    <x:mergeCell ref="S11:S12"/>
    <x:mergeCell ref="T11:T12"/>
    <x:mergeCell ref="U11:U12"/>
  </x:mergeCells>
  <x:conditionalFormatting sqref="W94:AG98">
    <x:cfRule type="expression" dxfId="0" priority="2" aboveAverage="0" percent="0" bottom="0" rank="0" equalAverage="0">
      <x:formula>$B94=0</x:formula>
    </x:cfRule>
  </x:conditionalFormatting>
  <x:conditionalFormatting sqref="W90:W90">
    <x:cfRule type="expression" dxfId="0" priority="3" aboveAverage="0" percent="0" bottom="0" rank="0" equalAverage="0">
      <x:formula>$B90=0</x:formula>
    </x:cfRule>
  </x:conditionalFormatting>
  <x:conditionalFormatting sqref="W88:W88">
    <x:cfRule type="expression" dxfId="0" priority="4" aboveAverage="0" percent="0" bottom="0" rank="0" equalAverage="0">
      <x:formula>$B88=0</x:formula>
    </x:cfRule>
  </x:conditionalFormatting>
  <x:conditionalFormatting sqref="W86:W86">
    <x:cfRule type="expression" dxfId="0" priority="5" aboveAverage="0" percent="0" bottom="0" rank="0" equalAverage="0">
      <x:formula>$B86=0</x:formula>
    </x:cfRule>
  </x:conditionalFormatting>
  <x:conditionalFormatting sqref="W82:AG85">
    <x:cfRule type="expression" dxfId="0" priority="6" aboveAverage="0" percent="0" bottom="0" rank="0" equalAverage="0">
      <x:formula>$B82=0</x:formula>
    </x:cfRule>
  </x:conditionalFormatting>
  <x:conditionalFormatting sqref="F94:F98">
    <x:cfRule type="expression" dxfId="0" priority="7" aboveAverage="0" percent="0" bottom="0" rank="0" equalAverage="0">
      <x:formula>$B94=0</x:formula>
    </x:cfRule>
  </x:conditionalFormatting>
  <x:conditionalFormatting sqref="C94:C98">
    <x:cfRule type="expression" dxfId="0" priority="8" aboveAverage="0" percent="0" bottom="0" rank="0" equalAverage="0">
      <x:formula>$B94=0</x:formula>
    </x:cfRule>
  </x:conditionalFormatting>
  <x:conditionalFormatting sqref="M75:M75">
    <x:cfRule type="expression" dxfId="5" priority="9" aboveAverage="0" percent="0" bottom="0" rank="0" equalAverage="0">
      <x:formula>_xlfn.ISFORMULA(M75)</x:formula>
    </x:cfRule>
    <x:cfRule type="expression" dxfId="1" priority="10" aboveAverage="0" percent="0" bottom="0" rank="0" equalAverage="0">
      <x:formula>$B75&lt;2</x:formula>
    </x:cfRule>
    <x:cfRule type="expression" dxfId="2" priority="11" aboveAverage="0" percent="0" bottom="0" rank="0" equalAverage="0">
      <x:formula>$B75=2</x:formula>
    </x:cfRule>
    <x:cfRule type="expression" dxfId="3" priority="12" aboveAverage="0" percent="0" bottom="0" rank="0" equalAverage="0">
      <x:formula>$B75=3</x:formula>
    </x:cfRule>
  </x:conditionalFormatting>
  <x:conditionalFormatting sqref="A2:AG100">
    <x:cfRule type="expression" dxfId="0" priority="13" aboveAverage="0" percent="0" bottom="0" rank="0" equalAverage="0">
      <x:formula>$B2=0</x:formula>
    </x:cfRule>
  </x:conditionalFormatting>
  <x:conditionalFormatting sqref="S15:S17">
    <x:cfRule type="expression" dxfId="1" priority="14" aboveAverage="0" percent="0" bottom="0" rank="0" equalAverage="0">
      <x:formula>$B15&lt;2</x:formula>
    </x:cfRule>
    <x:cfRule type="expression" dxfId="2" priority="15" aboveAverage="0" percent="0" bottom="0" rank="0" equalAverage="0">
      <x:formula>$B15=2</x:formula>
    </x:cfRule>
    <x:cfRule type="expression" dxfId="3" priority="16" aboveAverage="0" percent="0" bottom="0" rank="0" equalAverage="0">
      <x:formula>$B15=3</x:formula>
    </x:cfRule>
  </x:conditionalFormatting>
  <x:conditionalFormatting sqref="A13:S13">
    <x:cfRule type="expression" dxfId="1" priority="17" aboveAverage="0" percent="0" bottom="0" rank="0" equalAverage="0">
      <x:formula>$B13&lt;2</x:formula>
    </x:cfRule>
    <x:cfRule type="expression" dxfId="2" priority="18" aboveAverage="0" percent="0" bottom="0" rank="0" equalAverage="0">
      <x:formula>$B13=2</x:formula>
    </x:cfRule>
    <x:cfRule type="expression" dxfId="3" priority="19" aboveAverage="0" percent="0" bottom="0" rank="0" equalAverage="0">
      <x:formula>$B13=3</x:formula>
    </x:cfRule>
  </x:conditionalFormatting>
  <x:conditionalFormatting sqref="A24:S25">
    <x:cfRule type="expression" dxfId="1" priority="20" aboveAverage="0" percent="0" bottom="0" rank="0" equalAverage="0">
      <x:formula>$B24&lt;2</x:formula>
    </x:cfRule>
  </x:conditionalFormatting>
  <x:conditionalFormatting sqref="S63:S65">
    <x:cfRule type="expression" dxfId="2" priority="21" aboveAverage="0" percent="0" bottom="0" rank="0" equalAverage="0">
      <x:formula>$B63=2</x:formula>
    </x:cfRule>
    <x:cfRule type="expression" dxfId="3" priority="22" aboveAverage="0" percent="0" bottom="0" rank="0" equalAverage="0">
      <x:formula>$B63=3</x:formula>
    </x:cfRule>
  </x:conditionalFormatting>
  <x:conditionalFormatting sqref="A33:S34 A36:S36 A45:K45 A47:S49">
    <x:cfRule type="expression" dxfId="1" priority="23" aboveAverage="0" percent="0" bottom="0" rank="0" equalAverage="0">
      <x:formula>$B33&lt;2</x:formula>
    </x:cfRule>
    <x:cfRule type="expression" dxfId="2" priority="24" aboveAverage="0" percent="0" bottom="0" rank="0" equalAverage="0">
      <x:formula>$B33=2</x:formula>
    </x:cfRule>
    <x:cfRule type="expression" dxfId="3" priority="25" aboveAverage="0" percent="0" bottom="0" rank="0" equalAverage="0">
      <x:formula>$B33=3</x:formula>
    </x:cfRule>
  </x:conditionalFormatting>
  <x:conditionalFormatting sqref="F91:F91 J1:Q1048576">
    <x:cfRule type="expression" dxfId="5" priority="26" aboveAverage="0" percent="0" bottom="0" rank="0" equalAverage="0">
      <x:formula>_xlfn.ISFORMULA(F1)</x:formula>
    </x:cfRule>
  </x:conditionalFormatting>
  <x:conditionalFormatting sqref="J79:J80">
    <x:cfRule type="expression" dxfId="5" priority="27" aboveAverage="0" percent="0" bottom="0" rank="0" equalAverage="0">
      <x:formula>_xlfn.ISFORMULA(J79)</x:formula>
    </x:cfRule>
    <x:cfRule type="expression" dxfId="0" priority="28" aboveAverage="0" percent="0" bottom="0" rank="0" equalAverage="0">
      <x:formula>$B79=0</x:formula>
    </x:cfRule>
  </x:conditionalFormatting>
  <x:conditionalFormatting sqref="P75:T80">
    <x:cfRule type="expression" dxfId="3" priority="29" aboveAverage="0" percent="0" bottom="0" rank="0" equalAverage="0">
      <x:formula>$B75=3</x:formula>
    </x:cfRule>
    <x:cfRule type="expression" dxfId="2" priority="30" aboveAverage="0" percent="0" bottom="0" rank="0" equalAverage="0">
      <x:formula>$B75=2</x:formula>
    </x:cfRule>
    <x:cfRule type="expression" dxfId="1" priority="31" aboveAverage="0" percent="0" bottom="0" rank="0" equalAverage="0">
      <x:formula>$B75&lt;2</x:formula>
    </x:cfRule>
  </x:conditionalFormatting>
  <x:conditionalFormatting sqref="K77:L80">
    <x:cfRule type="expression" dxfId="0" priority="32" aboveAverage="0" percent="0" bottom="0" rank="0" equalAverage="0">
      <x:formula>$B77=0</x:formula>
    </x:cfRule>
    <x:cfRule type="expression" dxfId="3" priority="33" aboveAverage="0" percent="0" bottom="0" rank="0" equalAverage="0">
      <x:formula>$B77=3</x:formula>
    </x:cfRule>
    <x:cfRule type="expression" dxfId="2" priority="34" aboveAverage="0" percent="0" bottom="0" rank="0" equalAverage="0">
      <x:formula>$B77=2</x:formula>
    </x:cfRule>
    <x:cfRule type="expression" dxfId="1" priority="35" aboveAverage="0" percent="0" bottom="0" rank="0" equalAverage="0">
      <x:formula>$B77&lt;2</x:formula>
    </x:cfRule>
  </x:conditionalFormatting>
  <x:conditionalFormatting sqref="K75:L76">
    <x:cfRule type="expression" dxfId="3" priority="36" aboveAverage="0" percent="0" bottom="0" rank="0" equalAverage="0">
      <x:formula>$B76=3</x:formula>
    </x:cfRule>
    <x:cfRule type="expression" dxfId="2" priority="37" aboveAverage="0" percent="0" bottom="0" rank="0" equalAverage="0">
      <x:formula>$B76=2</x:formula>
    </x:cfRule>
    <x:cfRule type="expression" dxfId="1" priority="38" aboveAverage="0" percent="0" bottom="0" rank="0" equalAverage="0">
      <x:formula>$B76&lt;2</x:formula>
    </x:cfRule>
    <x:cfRule type="expression" dxfId="0" priority="39" aboveAverage="0" percent="0" bottom="0" rank="0" equalAverage="0">
      <x:formula>$B76=0</x:formula>
    </x:cfRule>
  </x:conditionalFormatting>
  <x:conditionalFormatting sqref="K75:M80">
    <x:cfRule type="expression" dxfId="3" priority="40" aboveAverage="0" percent="0" bottom="0" rank="0" equalAverage="0">
      <x:formula>$B75=3</x:formula>
    </x:cfRule>
    <x:cfRule type="expression" dxfId="2" priority="41" aboveAverage="0" percent="0" bottom="0" rank="0" equalAverage="0">
      <x:formula>$B75=2</x:formula>
    </x:cfRule>
  </x:conditionalFormatting>
  <x:conditionalFormatting sqref="K75:O80">
    <x:cfRule type="expression" dxfId="1" priority="42" aboveAverage="0" percent="0" bottom="0" rank="0" equalAverage="0">
      <x:formula>$B75&lt;2</x:formula>
    </x:cfRule>
  </x:conditionalFormatting>
  <x:conditionalFormatting sqref="R89:AG89">
    <x:cfRule type="expression" dxfId="5" priority="43" aboveAverage="0" percent="0" bottom="0" rank="0" equalAverage="0">
      <x:formula>_xlfn.ISFORMULA(R89)</x:formula>
    </x:cfRule>
  </x:conditionalFormatting>
  <x:conditionalFormatting sqref="AD2:AG100">
    <x:cfRule type="expression" dxfId="4" priority="44" aboveAverage="0" percent="0" bottom="0" rank="0" equalAverage="0">
      <x:formula>AND(ISBLANK($AD2),ISBLANK($AE2),ISBLANK($AF2),NOT(ISBLANK($E2)))</x:formula>
    </x:cfRule>
  </x:conditionalFormatting>
  <x:conditionalFormatting sqref="AA2:AC100">
    <x:cfRule type="expression" dxfId="4" priority="45" aboveAverage="0" percent="0" bottom="0" rank="0" equalAverage="0">
      <x:formula>AND(ISBLANK($AA2),ISBLANK($AB2),ISBLANK($AC2),NOT(ISBLANK($E2)))</x:formula>
    </x:cfRule>
  </x:conditionalFormatting>
  <x:conditionalFormatting sqref="X2:Z100">
    <x:cfRule type="expression" dxfId="4" priority="46" aboveAverage="0" percent="0" bottom="0" rank="0" equalAverage="0">
      <x:formula>AND(ISBLANK($X2),ISBLANK($Y2),ISBLANK($Z2),NOT(ISBLANK($E2)))</x:formula>
    </x:cfRule>
  </x:conditionalFormatting>
  <x:conditionalFormatting sqref="J2:K74 J75:J80 J81:K99">
    <x:cfRule type="expression" dxfId="4" priority="47" aboveAverage="0" percent="0" bottom="0" rank="0" equalAverage="0">
      <x:formula>AND(ISBLANK($J2),ISBLANK($K2),NOT(ISBLANK($E2)))</x:formula>
    </x:cfRule>
  </x:conditionalFormatting>
  <x:conditionalFormatting sqref="A2:AG12 A14:AG14 A15:R17 A18:AG23 A26:AG32 A35:AG35 A37:AG44 A46:AG46 A50:AG74 A75:J80 A81:AG99 L45:AG45 T13:AG13 T15:AG17 T24:AG25 T33:AG34 T36:AG36 T47:AG49 U75:AG80">
    <x:cfRule type="expression" dxfId="1" priority="48" aboveAverage="0" percent="0" bottom="0" rank="0" equalAverage="0">
      <x:formula>$B2&lt;2</x:formula>
    </x:cfRule>
  </x:conditionalFormatting>
  <x:conditionalFormatting sqref="A2:AG12 A14:AG14 A15:R17 A18:AG23 A24:R25 A26:AG32 A35:AG35 A37:AG44 A46:AG46 A50:AG62 A63:R65 A66:AG74 A75:J80 A81:AG99 L45:AG45 N75:O80 T13:AG13 T15:AG17 T24:AG25 T33:AG34 T36:AG36 T47:AG49 T63:AG65 U75:AG80">
    <x:cfRule type="expression" dxfId="2" priority="49" aboveAverage="0" percent="0" bottom="0" rank="0" equalAverage="0">
      <x:formula>$B2=2</x:formula>
    </x:cfRule>
  </x:conditionalFormatting>
  <x:conditionalFormatting sqref="A2:AG12 A14:AG14 A15:R17 A18:AG32 A35:AG35 A37:AG44 A46:AG46 A50:AG62 A63:R65 A66:AG74 A75:J80 A81:AG99 L45:AG45 N75:O80 T13:AG13 T15:AG17 T33:AG34 T36:AG36 T47:AG49 T63:AG65 U75:AG80">
    <x:cfRule type="expression" dxfId="3" priority="50" aboveAverage="0" percent="0" bottom="0" rank="0" equalAverage="0">
      <x:formula>$B2=3</x:formula>
    </x:cfRule>
  </x:conditionalFormatting>
  <x:conditionalFormatting sqref="S24:S25">
    <x:cfRule type="expression" dxfId="2" priority="51" aboveAverage="0" percent="0" bottom="0" rank="0" equalAverage="0">
      <x:formula>$B24=2</x:formula>
    </x:cfRule>
  </x:conditionalFormatting>
  <x:dataValidations count="11">
    <x:dataValidation type="list" errorStyle="stop" operator="between" allowBlank="1" showDropDown="0" showInputMessage="1" showErrorMessage="1" sqref="E2:E100">
      <x:formula1>"standard,nonstandard"</x:formula1>
      <x:formula2>0</x:formula2>
    </x:dataValidation>
    <x:dataValidation type="list" errorStyle="stop" operator="between" allowBlank="1" showDropDown="0" showInputMessage="1" showErrorMessage="1" sqref="O2:O100">
      <x:formula1>"acres,MWe,m^3,MWt,Kg,Drums,kW,$,m^2,kg/s,Rx/yr"</x:formula1>
      <x:formula2>0</x:formula2>
    </x:dataValidation>
    <x:dataValidation type="list" errorStyle="stop" operator="between" allowBlank="1" showDropDown="0" showInputMessage="1" showErrorMessage="1" sqref="R2:R88 R90:R97">
      <x:formula1>"NA,General,Labor,Material,Equipment,Lab and Mat and Equip,'Lab and Equip"</x:formula1>
      <x:formula2>0</x:formula2>
    </x:dataValidation>
    <x:dataValidation type="decimal" errorStyle="stop" operator="between" allowBlank="1" showDropDown="0" showInputMessage="1" showErrorMessage="1" sqref="P75:P80">
      <x:formula1>0</x:formula1>
      <x:formula2>2</x:formula2>
    </x:dataValidation>
    <x:dataValidation type="list" errorStyle="stop" operator="between" allowBlank="1" showDropDown="0" showInputMessage="1" showErrorMessage="1" sqref="L75:L80">
      <x:formula1>"$/m^2,$/MWeHour,$/FTE,$/acres,$/MWe,$/m^3,$/MWt,$/Kg,$/Drum,$/(kg.sec),$/SWU,unitless,$/kWe"</x:formula1>
      <x:formula2>0</x:formula2>
    </x:dataValidation>
    <x:dataValidation type="list" errorStyle="stop" operator="between" allowBlank="1" showDropDown="0" showInputMessage="1" showErrorMessage="1" sqref="L2:L74 L81:L99">
      <x:formula1>"$/m^2,$/MWeHour,$/FTE,$/acres,$/MWe,$/m^3,$/MWt,$/Kg,$/Drum,$/(kg.sec),$/SWU,unitless,$/kWe,$/m,$/ft,Rx/yr"</x:formula1>
      <x:formula2>0</x:formula2>
    </x:dataValidation>
    <x:dataValidation type="whole" errorStyle="stop" operator="between" allowBlank="1" showDropDown="0" showInputMessage="1" showErrorMessage="1" sqref="Q2:Q105 R89:AG89 R98:R105">
      <x:formula1>1950</x:formula1>
      <x:formula2>2025</x:formula2>
    </x:dataValidation>
    <x:dataValidation type="decimal" errorStyle="stop" operator="greaterThan" allowBlank="1" showDropDown="0" showInputMessage="1" showErrorMessage="1" sqref="N1:N98 K2:K9 K11:K31 K33:K97 N99:N1100">
      <x:formula1>0</x:formula1>
      <x:formula2>0</x:formula2>
    </x:dataValidation>
    <x:dataValidation type="list" errorStyle="stop" operator="between" allowBlank="1" showDropDown="0" showInputMessage="1" showErrorMessage="1" sqref="M272:M283">
      <x:formula1>"Land Area,Power MWe,Excavation Volume,Reactor Building Slab Roof Volume,	Reactor Building  Basement Volume,Reactor Building  Exterior Walls Volume,		Turbine Building Slab Roof Volume,	Turbine Building  Basement Volume,	Turbine Building  Exterior Wall"</x:formula1>
      <x:formula2>0</x:formula2>
    </x:dataValidation>
    <x:dataValidation type="list" errorStyle="stop" operator="between" allowBlank="1" showDropDown="0" showInputMessage="1" showErrorMessage="1" sqref="L1 L100:L1100">
      <x:formula1>"$/acres,$/MWe,$/m^3,$/MWt"</x:formula1>
      <x:formula2>0</x:formula2>
    </x:dataValidation>
    <x:dataValidation type="whole" errorStyle="stop" operator="between" allowBlank="1" showDropDown="0" showInputMessage="1" showErrorMessage="1" sqref="P100:P252">
      <x:formula1>0</x:formula1>
      <x:formula2>2</x:formula2>
    </x:dataValidation>
  </x:dataValidations>
  <x:hyperlinks>
    <x:hyperlink xmlns:r="http://schemas.openxmlformats.org/officeDocument/2006/relationships" ref="U3" r:id="R22f7641388434e56"/>
    <x:hyperlink xmlns:r="http://schemas.openxmlformats.org/officeDocument/2006/relationships" ref="U28" r:id="R6448aca57cb2412b"/>
    <x:hyperlink xmlns:r="http://schemas.openxmlformats.org/officeDocument/2006/relationships" ref="U39" r:id="R2589b5facbf24658"/>
    <x:hyperlink xmlns:r="http://schemas.openxmlformats.org/officeDocument/2006/relationships" ref="U41" r:id="R15501e57be8a42df"/>
  </x:hyperlinks>
  <x:pageMargins left="0.7" right="0.7" top="0.75" bottom="0.75" header="0.3" footer="0.3"/>
  <x:legacyDrawing xmlns:r="http://schemas.openxmlformats.org/officeDocument/2006/relationships" r:id="R1dae92165e704c87"/>
</x:worksheet>
</file>