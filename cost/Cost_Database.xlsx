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AB2FB290-26B1-554A-A94D-44F6D4F1EC7C}" xr6:coauthVersionLast="47" xr6:coauthVersionMax="47" xr10:uidLastSave="{00000000-0000-0000-0000-000000000000}"/>
  <bookViews>
    <workbookView xWindow="0" yWindow="660" windowWidth="30240" windowHeight="1718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1" l="1"/>
  <c r="Y17" i="1"/>
  <c r="X17" i="1"/>
  <c r="K17" i="1"/>
  <c r="AB17" i="1" s="1"/>
  <c r="B17" i="1"/>
  <c r="D17" i="1" s="1"/>
  <c r="AB16" i="1"/>
  <c r="AA16" i="1"/>
  <c r="Y16" i="1"/>
  <c r="X16" i="1"/>
  <c r="K16" i="1"/>
  <c r="B16" i="1"/>
  <c r="D16" i="1" s="1"/>
  <c r="B15" i="1"/>
  <c r="D15" i="1" s="1"/>
  <c r="AB14" i="1"/>
  <c r="AA14" i="1"/>
  <c r="Y14" i="1"/>
  <c r="X14" i="1"/>
  <c r="B14" i="1"/>
  <c r="D14" i="1" s="1"/>
  <c r="B99" i="8"/>
  <c r="D99" i="8" s="1"/>
  <c r="B98" i="8"/>
  <c r="D98" i="8" s="1"/>
  <c r="AB97" i="8"/>
  <c r="AA97" i="8"/>
  <c r="J97" i="8"/>
  <c r="Y97" i="8" s="1"/>
  <c r="D97" i="8"/>
  <c r="B97" i="8"/>
  <c r="AB96" i="8"/>
  <c r="AA96" i="8"/>
  <c r="Y96" i="8"/>
  <c r="X96" i="8"/>
  <c r="J96" i="8"/>
  <c r="B96" i="8"/>
  <c r="D96" i="8" s="1"/>
  <c r="AB95" i="8"/>
  <c r="AA95" i="8"/>
  <c r="Y95" i="8"/>
  <c r="X95" i="8"/>
  <c r="J95" i="8"/>
  <c r="B95" i="8"/>
  <c r="D95" i="8" s="1"/>
  <c r="B94" i="8"/>
  <c r="D94" i="8" s="1"/>
  <c r="B93" i="8"/>
  <c r="D93" i="8" s="1"/>
  <c r="D92" i="8"/>
  <c r="B92" i="8"/>
  <c r="AB91" i="8"/>
  <c r="AA91" i="8"/>
  <c r="B91" i="8"/>
  <c r="D91" i="8" s="1"/>
  <c r="AB90" i="8"/>
  <c r="AA90" i="8"/>
  <c r="B90" i="8"/>
  <c r="D90" i="8" s="1"/>
  <c r="AG89" i="8"/>
  <c r="AF89" i="8"/>
  <c r="AE89" i="8"/>
  <c r="AD89" i="8"/>
  <c r="AC89" i="8"/>
  <c r="AB89" i="8"/>
  <c r="Z89" i="8"/>
  <c r="W89" i="8"/>
  <c r="V89" i="8"/>
  <c r="U89" i="8"/>
  <c r="T89" i="8"/>
  <c r="S89" i="8"/>
  <c r="R89" i="8"/>
  <c r="Q89" i="8"/>
  <c r="J89" i="8"/>
  <c r="B89" i="8"/>
  <c r="D89" i="8" s="1"/>
  <c r="AB88" i="8"/>
  <c r="AA88" i="8"/>
  <c r="B88" i="8"/>
  <c r="D88" i="8" s="1"/>
  <c r="B87" i="8"/>
  <c r="D87" i="8" s="1"/>
  <c r="AB86" i="8"/>
  <c r="AA86" i="8"/>
  <c r="Y86" i="8"/>
  <c r="X86" i="8"/>
  <c r="D86" i="8"/>
  <c r="B86" i="8"/>
  <c r="AB85" i="8"/>
  <c r="AA85" i="8"/>
  <c r="Y85" i="8"/>
  <c r="X85" i="8"/>
  <c r="B85" i="8"/>
  <c r="D85" i="8" s="1"/>
  <c r="AB84" i="8"/>
  <c r="AA84" i="8"/>
  <c r="Y84" i="8"/>
  <c r="X84" i="8"/>
  <c r="B84" i="8"/>
  <c r="D84" i="8" s="1"/>
  <c r="AB83" i="8"/>
  <c r="AA83" i="8"/>
  <c r="Y83" i="8"/>
  <c r="X83" i="8"/>
  <c r="B83" i="8"/>
  <c r="D83" i="8" s="1"/>
  <c r="AB82" i="8"/>
  <c r="AA82" i="8"/>
  <c r="Y82" i="8"/>
  <c r="X82" i="8"/>
  <c r="B82" i="8"/>
  <c r="D82" i="8" s="1"/>
  <c r="B81" i="8"/>
  <c r="D81" i="8" s="1"/>
  <c r="AB80" i="8"/>
  <c r="AA80" i="8"/>
  <c r="Y80" i="8"/>
  <c r="X80" i="8"/>
  <c r="B80" i="8"/>
  <c r="D80" i="8" s="1"/>
  <c r="AB79" i="8"/>
  <c r="AA79" i="8"/>
  <c r="Y79" i="8"/>
  <c r="X79" i="8"/>
  <c r="B79" i="8"/>
  <c r="D79" i="8" s="1"/>
  <c r="AB78" i="8"/>
  <c r="AA78" i="8"/>
  <c r="Y78" i="8"/>
  <c r="X78" i="8"/>
  <c r="B78" i="8"/>
  <c r="D78" i="8" s="1"/>
  <c r="AB77" i="8"/>
  <c r="AA77" i="8"/>
  <c r="Y77" i="8"/>
  <c r="X77" i="8"/>
  <c r="D77" i="8"/>
  <c r="B77" i="8"/>
  <c r="AB76" i="8"/>
  <c r="AA76" i="8"/>
  <c r="Y76" i="8"/>
  <c r="X76" i="8"/>
  <c r="B76" i="8"/>
  <c r="D76" i="8" s="1"/>
  <c r="AB75" i="8"/>
  <c r="AA75" i="8"/>
  <c r="Y75" i="8"/>
  <c r="X75" i="8"/>
  <c r="B75" i="8"/>
  <c r="D75" i="8" s="1"/>
  <c r="AB74" i="8"/>
  <c r="AA74" i="8"/>
  <c r="Y74" i="8"/>
  <c r="X74" i="8"/>
  <c r="B74" i="8"/>
  <c r="D74" i="8" s="1"/>
  <c r="D73" i="8"/>
  <c r="B73" i="8"/>
  <c r="B72" i="8"/>
  <c r="D72" i="8" s="1"/>
  <c r="B71" i="8"/>
  <c r="D71" i="8" s="1"/>
  <c r="B70" i="8"/>
  <c r="D70" i="8" s="1"/>
  <c r="AB69" i="8"/>
  <c r="AA69" i="8"/>
  <c r="Y69" i="8"/>
  <c r="X69" i="8"/>
  <c r="B69" i="8"/>
  <c r="D69" i="8" s="1"/>
  <c r="B68" i="8"/>
  <c r="D68" i="8" s="1"/>
  <c r="B67" i="8"/>
  <c r="D67" i="8" s="1"/>
  <c r="AB66" i="8"/>
  <c r="AA66" i="8"/>
  <c r="Y66" i="8"/>
  <c r="X66" i="8"/>
  <c r="D66" i="8"/>
  <c r="AB65" i="8"/>
  <c r="AA65" i="8"/>
  <c r="Y65" i="8"/>
  <c r="X65" i="8"/>
  <c r="D65" i="8"/>
  <c r="AB64" i="8"/>
  <c r="AA64" i="8"/>
  <c r="Y64" i="8"/>
  <c r="X64" i="8"/>
  <c r="D64" i="8"/>
  <c r="AB63" i="8"/>
  <c r="AA63" i="8"/>
  <c r="Y63" i="8"/>
  <c r="X63" i="8"/>
  <c r="D63" i="8"/>
  <c r="Y62" i="8"/>
  <c r="X62" i="8"/>
  <c r="K62" i="8"/>
  <c r="AB62" i="8" s="1"/>
  <c r="D62" i="8"/>
  <c r="B61" i="8"/>
  <c r="D61" i="8" s="1"/>
  <c r="AB60" i="8"/>
  <c r="AA60" i="8"/>
  <c r="Y60" i="8"/>
  <c r="X60" i="8"/>
  <c r="D60" i="8"/>
  <c r="B60" i="8"/>
  <c r="AB59" i="8"/>
  <c r="AA59" i="8"/>
  <c r="Y59" i="8"/>
  <c r="X59" i="8"/>
  <c r="B59" i="8"/>
  <c r="D59" i="8" s="1"/>
  <c r="B58" i="8"/>
  <c r="D58" i="8" s="1"/>
  <c r="AB57" i="8"/>
  <c r="AA57" i="8"/>
  <c r="Y57" i="8"/>
  <c r="X57" i="8"/>
  <c r="B57" i="8"/>
  <c r="D57" i="8" s="1"/>
  <c r="AB56" i="8"/>
  <c r="AA56" i="8"/>
  <c r="Y56" i="8"/>
  <c r="X56" i="8"/>
  <c r="D56" i="8"/>
  <c r="B56" i="8"/>
  <c r="AB55" i="8"/>
  <c r="AA55" i="8"/>
  <c r="Y55" i="8"/>
  <c r="X55" i="8"/>
  <c r="B55" i="8"/>
  <c r="D55" i="8" s="1"/>
  <c r="AB54" i="8"/>
  <c r="AA54" i="8"/>
  <c r="Y54" i="8"/>
  <c r="X54" i="8"/>
  <c r="B54" i="8"/>
  <c r="D54" i="8" s="1"/>
  <c r="B53" i="8"/>
  <c r="D53" i="8" s="1"/>
  <c r="AB52" i="8"/>
  <c r="AA52" i="8"/>
  <c r="Y52" i="8"/>
  <c r="X52" i="8"/>
  <c r="D52" i="8"/>
  <c r="B52" i="8"/>
  <c r="AB51" i="8"/>
  <c r="AA51" i="8"/>
  <c r="Y51" i="8"/>
  <c r="X51" i="8"/>
  <c r="B51" i="8"/>
  <c r="D51" i="8" s="1"/>
  <c r="B50" i="8"/>
  <c r="D50" i="8" s="1"/>
  <c r="Y49" i="8"/>
  <c r="X49" i="8"/>
  <c r="K49" i="8"/>
  <c r="AB49" i="8" s="1"/>
  <c r="D49" i="8"/>
  <c r="B49" i="8"/>
  <c r="AB48" i="8"/>
  <c r="Y48" i="8"/>
  <c r="X48" i="8"/>
  <c r="K48" i="8"/>
  <c r="AA48" i="8" s="1"/>
  <c r="B48" i="8"/>
  <c r="D48" i="8" s="1"/>
  <c r="AB47" i="8"/>
  <c r="AA47" i="8"/>
  <c r="Y47" i="8"/>
  <c r="X47" i="8"/>
  <c r="J47" i="8"/>
  <c r="B47" i="8"/>
  <c r="D47" i="8" s="1"/>
  <c r="AB46" i="8"/>
  <c r="AA46" i="8"/>
  <c r="Y46" i="8"/>
  <c r="X46" i="8"/>
  <c r="D46" i="8"/>
  <c r="B46" i="8"/>
  <c r="AB45" i="8"/>
  <c r="Y45" i="8"/>
  <c r="X45" i="8"/>
  <c r="K45" i="8"/>
  <c r="AA45" i="8" s="1"/>
  <c r="B45" i="8"/>
  <c r="D45" i="8" s="1"/>
  <c r="B44" i="8"/>
  <c r="D44" i="8" s="1"/>
  <c r="AB43" i="8"/>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c r="AB39" i="8" s="1"/>
  <c r="D39" i="8"/>
  <c r="AB38" i="8"/>
  <c r="AA38" i="8"/>
  <c r="Y38" i="8"/>
  <c r="X38" i="8"/>
  <c r="D38" i="8"/>
  <c r="B37" i="8"/>
  <c r="D37" i="8" s="1"/>
  <c r="Y36" i="8"/>
  <c r="X36" i="8"/>
  <c r="K36" i="8"/>
  <c r="AB36" i="8" s="1"/>
  <c r="B36" i="8"/>
  <c r="D36" i="8" s="1"/>
  <c r="AB35" i="8"/>
  <c r="AA35" i="8"/>
  <c r="Y35" i="8"/>
  <c r="X35" i="8"/>
  <c r="B35" i="8"/>
  <c r="D35" i="8" s="1"/>
  <c r="AB34" i="8"/>
  <c r="AA34" i="8"/>
  <c r="Y34" i="8"/>
  <c r="X34" i="8"/>
  <c r="K34" i="8"/>
  <c r="B34" i="8"/>
  <c r="D34" i="8" s="1"/>
  <c r="Y33" i="8"/>
  <c r="X33" i="8"/>
  <c r="K33" i="8"/>
  <c r="AB33" i="8" s="1"/>
  <c r="D33" i="8"/>
  <c r="D32" i="8"/>
  <c r="B32" i="8"/>
  <c r="AB31" i="8"/>
  <c r="AA31" i="8"/>
  <c r="Y31" i="8"/>
  <c r="X31" i="8"/>
  <c r="B31" i="8"/>
  <c r="D31" i="8" s="1"/>
  <c r="D30" i="8"/>
  <c r="B30" i="8"/>
  <c r="AB29" i="8"/>
  <c r="Y29" i="8"/>
  <c r="X29" i="8"/>
  <c r="K29" i="8"/>
  <c r="AA29" i="8" s="1"/>
  <c r="B29" i="8"/>
  <c r="D29" i="8" s="1"/>
  <c r="AB28" i="8"/>
  <c r="AA28" i="8"/>
  <c r="Y28" i="8"/>
  <c r="X28" i="8"/>
  <c r="B28" i="8"/>
  <c r="D28" i="8" s="1"/>
  <c r="Y27" i="8"/>
  <c r="X27" i="8"/>
  <c r="K27" i="8"/>
  <c r="AB27" i="8" s="1"/>
  <c r="B27" i="8"/>
  <c r="D27" i="8" s="1"/>
  <c r="B26" i="8"/>
  <c r="D26" i="8" s="1"/>
  <c r="Y25" i="8"/>
  <c r="X25" i="8"/>
  <c r="K25" i="8"/>
  <c r="AB25" i="8" s="1"/>
  <c r="D25" i="8"/>
  <c r="Y24" i="8"/>
  <c r="X24" i="8"/>
  <c r="K24" i="8"/>
  <c r="AB24" i="8" s="1"/>
  <c r="D24" i="8"/>
  <c r="B23" i="8"/>
  <c r="D23" i="8" s="1"/>
  <c r="AB22" i="8"/>
  <c r="AA22" i="8"/>
  <c r="Y22" i="8"/>
  <c r="X22" i="8"/>
  <c r="K22" i="8"/>
  <c r="B22" i="8"/>
  <c r="D22" i="8" s="1"/>
  <c r="B21" i="8"/>
  <c r="AA20" i="8"/>
  <c r="Y20" i="8"/>
  <c r="X20" i="8"/>
  <c r="N20" i="8"/>
  <c r="K20" i="8"/>
  <c r="AB20" i="8" s="1"/>
  <c r="B20" i="8"/>
  <c r="D20" i="8" s="1"/>
  <c r="D19" i="8"/>
  <c r="B19" i="8"/>
  <c r="B18" i="8"/>
  <c r="D18" i="8" s="1"/>
  <c r="AB17" i="8"/>
  <c r="AA17" i="8"/>
  <c r="Y17" i="8"/>
  <c r="X17" i="8"/>
  <c r="K17" i="8"/>
  <c r="B17" i="8"/>
  <c r="D17" i="8" s="1"/>
  <c r="Y16" i="8"/>
  <c r="X16" i="8"/>
  <c r="K16" i="8"/>
  <c r="AB16" i="8" s="1"/>
  <c r="B16" i="8"/>
  <c r="D16" i="8" s="1"/>
  <c r="AA15" i="8"/>
  <c r="Y15" i="8"/>
  <c r="X15" i="8"/>
  <c r="K15" i="8"/>
  <c r="AB15" i="8" s="1"/>
  <c r="B15" i="8"/>
  <c r="D15" i="8" s="1"/>
  <c r="D14" i="8"/>
  <c r="B14" i="8"/>
  <c r="Y13" i="8"/>
  <c r="X13" i="8"/>
  <c r="K13" i="8"/>
  <c r="AB13" i="8" s="1"/>
  <c r="B13" i="8"/>
  <c r="D13" i="8" s="1"/>
  <c r="AB12" i="8"/>
  <c r="AA12" i="8"/>
  <c r="Y12" i="8"/>
  <c r="X12" i="8"/>
  <c r="K12" i="8"/>
  <c r="B12" i="8"/>
  <c r="D12" i="8" s="1"/>
  <c r="Y11" i="8"/>
  <c r="X11" i="8"/>
  <c r="K11" i="8"/>
  <c r="AB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B35" i="7"/>
  <c r="D35" i="7" s="1"/>
  <c r="AB34" i="7"/>
  <c r="AA34" i="7"/>
  <c r="Y34" i="7"/>
  <c r="X34" i="7"/>
  <c r="D34" i="7"/>
  <c r="B34" i="7"/>
  <c r="B33" i="7"/>
  <c r="D33" i="7" s="1"/>
  <c r="AB32" i="7"/>
  <c r="AA32" i="7"/>
  <c r="Y32" i="7"/>
  <c r="X32" i="7"/>
  <c r="K32" i="7"/>
  <c r="B32" i="7"/>
  <c r="D32" i="7" s="1"/>
  <c r="Y31" i="7"/>
  <c r="X31" i="7"/>
  <c r="K31" i="7"/>
  <c r="AB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AB21" i="7"/>
  <c r="AA21" i="7"/>
  <c r="Y21" i="7"/>
  <c r="X21" i="7"/>
  <c r="K21" i="7"/>
  <c r="D21" i="7"/>
  <c r="B21" i="7"/>
  <c r="B20" i="7"/>
  <c r="D20" i="7" s="1"/>
  <c r="Y19" i="7"/>
  <c r="X19" i="7"/>
  <c r="K19" i="7"/>
  <c r="AB19" i="7" s="1"/>
  <c r="D19" i="7"/>
  <c r="D18" i="7"/>
  <c r="B18" i="7"/>
  <c r="B17" i="7"/>
  <c r="D17" i="7" s="1"/>
  <c r="Y16" i="7"/>
  <c r="X16" i="7"/>
  <c r="K16" i="7"/>
  <c r="AB16" i="7" s="1"/>
  <c r="B16" i="7"/>
  <c r="D16" i="7" s="1"/>
  <c r="Y15" i="7"/>
  <c r="X15" i="7"/>
  <c r="K15" i="7"/>
  <c r="AB15" i="7" s="1"/>
  <c r="B15" i="7"/>
  <c r="D15" i="7" s="1"/>
  <c r="D14" i="7"/>
  <c r="B14" i="7"/>
  <c r="Y13" i="7"/>
  <c r="X13" i="7"/>
  <c r="K13" i="7"/>
  <c r="AB13" i="7" s="1"/>
  <c r="B13" i="7"/>
  <c r="D13" i="7" s="1"/>
  <c r="AB12" i="7"/>
  <c r="AA12" i="7"/>
  <c r="Y12" i="7"/>
  <c r="X12" i="7"/>
  <c r="K12" i="7"/>
  <c r="B12" i="7"/>
  <c r="D12" i="7" s="1"/>
  <c r="Y11" i="7"/>
  <c r="X11" i="7"/>
  <c r="K11" i="7"/>
  <c r="AB11" i="7" s="1"/>
  <c r="B11" i="7"/>
  <c r="D11" i="7" s="1"/>
  <c r="B10" i="7"/>
  <c r="D10" i="7" s="1"/>
  <c r="D9" i="7"/>
  <c r="B9" i="7"/>
  <c r="B8" i="7"/>
  <c r="D8" i="7" s="1"/>
  <c r="AB7" i="7"/>
  <c r="AA7" i="7"/>
  <c r="Y7" i="7"/>
  <c r="X7" i="7"/>
  <c r="J7" i="7"/>
  <c r="B7" i="7"/>
  <c r="D7" i="7" s="1"/>
  <c r="AB6" i="7"/>
  <c r="AA6" i="7"/>
  <c r="Y6" i="7"/>
  <c r="X6" i="7"/>
  <c r="D6" i="7"/>
  <c r="B6" i="7"/>
  <c r="AB5" i="7"/>
  <c r="AA5" i="7"/>
  <c r="Y5" i="7"/>
  <c r="X5" i="7"/>
  <c r="J5" i="7"/>
  <c r="B5" i="7"/>
  <c r="D5" i="7" s="1"/>
  <c r="AB4" i="7"/>
  <c r="AA4" i="7"/>
  <c r="Y4" i="7"/>
  <c r="X4" i="7"/>
  <c r="K4" i="7"/>
  <c r="B4" i="7"/>
  <c r="D4" i="7" s="1"/>
  <c r="AB3" i="7"/>
  <c r="AA3" i="7"/>
  <c r="Y3" i="7"/>
  <c r="X3" i="7"/>
  <c r="D3" i="7"/>
  <c r="B3" i="7"/>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96" i="1"/>
  <c r="AA196" i="1"/>
  <c r="Y196" i="1"/>
  <c r="X196" i="1"/>
  <c r="B196" i="1"/>
  <c r="D196" i="1" s="1"/>
  <c r="B195" i="1"/>
  <c r="D195" i="1" s="1"/>
  <c r="AB194" i="1"/>
  <c r="AA194" i="1"/>
  <c r="Y194" i="1"/>
  <c r="X194" i="1"/>
  <c r="B194" i="1"/>
  <c r="D194" i="1" s="1"/>
  <c r="B193" i="1"/>
  <c r="D193" i="1" s="1"/>
  <c r="B192" i="1"/>
  <c r="D192" i="1" s="1"/>
  <c r="B191" i="1"/>
  <c r="D191" i="1" s="1"/>
  <c r="B190" i="1"/>
  <c r="D190" i="1" s="1"/>
  <c r="B189" i="1"/>
  <c r="D189" i="1" s="1"/>
  <c r="B188" i="1"/>
  <c r="D188" i="1" s="1"/>
  <c r="B187" i="1"/>
  <c r="D187" i="1" s="1"/>
  <c r="B186" i="1"/>
  <c r="D186" i="1" s="1"/>
  <c r="B185" i="1"/>
  <c r="D185" i="1" s="1"/>
  <c r="B184" i="1"/>
  <c r="D184" i="1" s="1"/>
  <c r="B183" i="1"/>
  <c r="D183" i="1" s="1"/>
  <c r="B182" i="1"/>
  <c r="D182" i="1" s="1"/>
  <c r="B181" i="1"/>
  <c r="D181" i="1" s="1"/>
  <c r="B180" i="1"/>
  <c r="D180" i="1" s="1"/>
  <c r="B179" i="1"/>
  <c r="D179" i="1" s="1"/>
  <c r="B178" i="1"/>
  <c r="D178" i="1" s="1"/>
  <c r="B177" i="1"/>
  <c r="D177" i="1" s="1"/>
  <c r="B176" i="1"/>
  <c r="D176" i="1" s="1"/>
  <c r="J175" i="1"/>
  <c r="Y175" i="1" s="1"/>
  <c r="B175" i="1"/>
  <c r="D175" i="1" s="1"/>
  <c r="AB174" i="1"/>
  <c r="AA174" i="1"/>
  <c r="Y174" i="1"/>
  <c r="X174" i="1"/>
  <c r="B174" i="1"/>
  <c r="D174" i="1" s="1"/>
  <c r="AB173" i="1"/>
  <c r="AA173" i="1"/>
  <c r="Y173" i="1"/>
  <c r="X173" i="1"/>
  <c r="B173" i="1"/>
  <c r="D173" i="1" s="1"/>
  <c r="B172" i="1"/>
  <c r="D172" i="1" s="1"/>
  <c r="AB171" i="1"/>
  <c r="AA171" i="1"/>
  <c r="Y171" i="1"/>
  <c r="X171" i="1"/>
  <c r="B171" i="1"/>
  <c r="D171" i="1" s="1"/>
  <c r="AB170" i="1"/>
  <c r="AA170" i="1"/>
  <c r="Y170" i="1"/>
  <c r="X170" i="1"/>
  <c r="B170" i="1"/>
  <c r="D170" i="1" s="1"/>
  <c r="AB169" i="1"/>
  <c r="AA169" i="1"/>
  <c r="Y169" i="1"/>
  <c r="X169" i="1"/>
  <c r="B169" i="1"/>
  <c r="D169" i="1" s="1"/>
  <c r="B168" i="1"/>
  <c r="D168" i="1" s="1"/>
  <c r="B167" i="1"/>
  <c r="D167" i="1" s="1"/>
  <c r="B166" i="1"/>
  <c r="D166" i="1" s="1"/>
  <c r="B165" i="1"/>
  <c r="D165" i="1" s="1"/>
  <c r="AB164" i="1"/>
  <c r="AA164" i="1"/>
  <c r="Y164" i="1"/>
  <c r="X164" i="1"/>
  <c r="B164" i="1"/>
  <c r="D164" i="1" s="1"/>
  <c r="B163" i="1"/>
  <c r="D163" i="1" s="1"/>
  <c r="AB162" i="1"/>
  <c r="AA162" i="1"/>
  <c r="J162" i="1"/>
  <c r="X162" i="1" s="1"/>
  <c r="B162" i="1"/>
  <c r="D162" i="1" s="1"/>
  <c r="AB161" i="1"/>
  <c r="AA161" i="1"/>
  <c r="J161" i="1"/>
  <c r="Y161" i="1" s="1"/>
  <c r="B161" i="1"/>
  <c r="D161" i="1" s="1"/>
  <c r="AB160" i="1"/>
  <c r="AA160" i="1"/>
  <c r="J160" i="1"/>
  <c r="Y160" i="1" s="1"/>
  <c r="B160" i="1"/>
  <c r="D160" i="1" s="1"/>
  <c r="AB159" i="1"/>
  <c r="AA159" i="1"/>
  <c r="B159" i="1"/>
  <c r="D159" i="1" s="1"/>
  <c r="D158" i="1"/>
  <c r="D157" i="1"/>
  <c r="B156" i="1"/>
  <c r="D156" i="1" s="1"/>
  <c r="AB155" i="1"/>
  <c r="AA155" i="1"/>
  <c r="Y155" i="1"/>
  <c r="X155" i="1"/>
  <c r="B155" i="1"/>
  <c r="D155" i="1" s="1"/>
  <c r="AB154" i="1"/>
  <c r="AA154" i="1"/>
  <c r="Y154" i="1"/>
  <c r="X154" i="1"/>
  <c r="B154" i="1"/>
  <c r="D154" i="1" s="1"/>
  <c r="AB153" i="1"/>
  <c r="AA153" i="1"/>
  <c r="Y153" i="1"/>
  <c r="X153" i="1"/>
  <c r="B153" i="1"/>
  <c r="D153" i="1" s="1"/>
  <c r="AB152" i="1"/>
  <c r="AA152" i="1"/>
  <c r="Y152" i="1"/>
  <c r="X152" i="1"/>
  <c r="B152" i="1"/>
  <c r="D152" i="1" s="1"/>
  <c r="AB151" i="1"/>
  <c r="AA151" i="1"/>
  <c r="Y151" i="1"/>
  <c r="X151" i="1"/>
  <c r="B151" i="1"/>
  <c r="D151" i="1" s="1"/>
  <c r="AB150" i="1"/>
  <c r="AA150" i="1"/>
  <c r="Y150" i="1"/>
  <c r="X150" i="1"/>
  <c r="B150" i="1"/>
  <c r="D150" i="1" s="1"/>
  <c r="AB149" i="1"/>
  <c r="AA149" i="1"/>
  <c r="Y149" i="1"/>
  <c r="X149" i="1"/>
  <c r="B149" i="1"/>
  <c r="D149" i="1" s="1"/>
  <c r="B148" i="1"/>
  <c r="D148" i="1" s="1"/>
  <c r="Y147" i="1"/>
  <c r="X147" i="1"/>
  <c r="K147" i="1"/>
  <c r="AB147" i="1" s="1"/>
  <c r="B147" i="1"/>
  <c r="D147" i="1" s="1"/>
  <c r="Y146" i="1"/>
  <c r="X146" i="1"/>
  <c r="K146" i="1"/>
  <c r="AB146" i="1" s="1"/>
  <c r="B146" i="1"/>
  <c r="D146" i="1" s="1"/>
  <c r="Y145" i="1"/>
  <c r="X145" i="1"/>
  <c r="K145" i="1"/>
  <c r="AB145" i="1" s="1"/>
  <c r="B145" i="1"/>
  <c r="D145" i="1" s="1"/>
  <c r="Y144" i="1"/>
  <c r="X144" i="1"/>
  <c r="K144" i="1"/>
  <c r="AB144" i="1" s="1"/>
  <c r="B144" i="1"/>
  <c r="D144" i="1" s="1"/>
  <c r="Y143" i="1"/>
  <c r="X143" i="1"/>
  <c r="K143" i="1"/>
  <c r="AB143" i="1" s="1"/>
  <c r="B143" i="1"/>
  <c r="D143" i="1" s="1"/>
  <c r="Y142" i="1"/>
  <c r="X142" i="1"/>
  <c r="K142" i="1"/>
  <c r="AB142" i="1" s="1"/>
  <c r="B142" i="1"/>
  <c r="D142" i="1" s="1"/>
  <c r="B141" i="1"/>
  <c r="D141" i="1" s="1"/>
  <c r="Y140" i="1"/>
  <c r="X140" i="1"/>
  <c r="B140" i="1"/>
  <c r="D140" i="1" s="1"/>
  <c r="AB139" i="1"/>
  <c r="AA139" i="1"/>
  <c r="Y139" i="1"/>
  <c r="X139" i="1"/>
  <c r="B139" i="1"/>
  <c r="D139" i="1" s="1"/>
  <c r="B138" i="1"/>
  <c r="D138" i="1" s="1"/>
  <c r="B137" i="1"/>
  <c r="D137" i="1" s="1"/>
  <c r="AB136" i="1"/>
  <c r="AA136" i="1"/>
  <c r="J136" i="1"/>
  <c r="Y136" i="1" s="1"/>
  <c r="B136" i="1"/>
  <c r="D136" i="1" s="1"/>
  <c r="AB135" i="1"/>
  <c r="AA135" i="1"/>
  <c r="Y135" i="1"/>
  <c r="X135" i="1"/>
  <c r="B135" i="1"/>
  <c r="D135" i="1" s="1"/>
  <c r="Y134" i="1"/>
  <c r="X134" i="1"/>
  <c r="K134" i="1"/>
  <c r="AB134" i="1" s="1"/>
  <c r="D134" i="1"/>
  <c r="AB133" i="1"/>
  <c r="AA133" i="1"/>
  <c r="J133" i="1"/>
  <c r="X133" i="1" s="1"/>
  <c r="B133" i="1"/>
  <c r="D133" i="1" s="1"/>
  <c r="Y132" i="1"/>
  <c r="X132" i="1"/>
  <c r="B132" i="1"/>
  <c r="D132" i="1" s="1"/>
  <c r="Y131" i="1"/>
  <c r="X131" i="1"/>
  <c r="B131" i="1"/>
  <c r="D131" i="1" s="1"/>
  <c r="B130" i="1"/>
  <c r="D130" i="1" s="1"/>
  <c r="B129" i="1"/>
  <c r="D129" i="1" s="1"/>
  <c r="Y128" i="1"/>
  <c r="X128" i="1"/>
  <c r="K128" i="1"/>
  <c r="AB128" i="1" s="1"/>
  <c r="B128" i="1"/>
  <c r="D128" i="1" s="1"/>
  <c r="AB127" i="1"/>
  <c r="AA127" i="1"/>
  <c r="Y127" i="1"/>
  <c r="X127" i="1"/>
  <c r="B127" i="1"/>
  <c r="D127" i="1" s="1"/>
  <c r="B126" i="1"/>
  <c r="D126" i="1" s="1"/>
  <c r="AB125" i="1"/>
  <c r="AA125" i="1"/>
  <c r="B125" i="1"/>
  <c r="D125" i="1" s="1"/>
  <c r="AB124" i="1"/>
  <c r="AA124" i="1"/>
  <c r="Y124" i="1"/>
  <c r="X124" i="1"/>
  <c r="B124" i="1"/>
  <c r="D124" i="1" s="1"/>
  <c r="AB123" i="1"/>
  <c r="AA123" i="1"/>
  <c r="Y123" i="1"/>
  <c r="X123" i="1"/>
  <c r="B123" i="1"/>
  <c r="D123" i="1" s="1"/>
  <c r="AB122" i="1"/>
  <c r="AA122" i="1"/>
  <c r="Y122" i="1"/>
  <c r="X122" i="1"/>
  <c r="B122" i="1"/>
  <c r="D122" i="1" s="1"/>
  <c r="AB121" i="1"/>
  <c r="AA121" i="1"/>
  <c r="Y121" i="1"/>
  <c r="X121" i="1"/>
  <c r="B121" i="1"/>
  <c r="D121" i="1" s="1"/>
  <c r="AB120" i="1"/>
  <c r="AA120" i="1"/>
  <c r="Y120" i="1"/>
  <c r="X120" i="1"/>
  <c r="B120" i="1"/>
  <c r="D120" i="1" s="1"/>
  <c r="B119" i="1"/>
  <c r="D119" i="1" s="1"/>
  <c r="AB118" i="1"/>
  <c r="AA118" i="1"/>
  <c r="Y118" i="1"/>
  <c r="X118" i="1"/>
  <c r="B118" i="1"/>
  <c r="D118" i="1" s="1"/>
  <c r="AB117" i="1"/>
  <c r="AA117" i="1"/>
  <c r="Y117" i="1"/>
  <c r="X117" i="1"/>
  <c r="B117" i="1"/>
  <c r="D117" i="1" s="1"/>
  <c r="AB116" i="1"/>
  <c r="AA116" i="1"/>
  <c r="Y116" i="1"/>
  <c r="X116" i="1"/>
  <c r="B116" i="1"/>
  <c r="D116" i="1" s="1"/>
  <c r="AB115" i="1"/>
  <c r="AA115" i="1"/>
  <c r="Y115" i="1"/>
  <c r="X115" i="1"/>
  <c r="B115" i="1"/>
  <c r="D115" i="1" s="1"/>
  <c r="AB114" i="1"/>
  <c r="AA114" i="1"/>
  <c r="Y114" i="1"/>
  <c r="X114" i="1"/>
  <c r="B114" i="1"/>
  <c r="D114" i="1" s="1"/>
  <c r="Y113" i="1"/>
  <c r="X113" i="1"/>
  <c r="K113" i="1"/>
  <c r="AA113" i="1" s="1"/>
  <c r="B113" i="1"/>
  <c r="D113" i="1" s="1"/>
  <c r="B112" i="1"/>
  <c r="D112" i="1" s="1"/>
  <c r="B111" i="1"/>
  <c r="D111" i="1" s="1"/>
  <c r="AB110" i="1"/>
  <c r="AA110" i="1"/>
  <c r="B110" i="1"/>
  <c r="D110" i="1" s="1"/>
  <c r="AB109" i="1"/>
  <c r="AA109" i="1"/>
  <c r="B109" i="1"/>
  <c r="D109" i="1" s="1"/>
  <c r="AB108" i="1"/>
  <c r="AA108" i="1"/>
  <c r="B108" i="1"/>
  <c r="D108" i="1" s="1"/>
  <c r="AB107" i="1"/>
  <c r="AA107" i="1"/>
  <c r="B107" i="1"/>
  <c r="D107" i="1" s="1"/>
  <c r="AB106" i="1"/>
  <c r="AA106" i="1"/>
  <c r="B106" i="1"/>
  <c r="D106" i="1" s="1"/>
  <c r="K105" i="1"/>
  <c r="AB105" i="1" s="1"/>
  <c r="B105" i="1"/>
  <c r="D105" i="1" s="1"/>
  <c r="AB104" i="1"/>
  <c r="AA104" i="1"/>
  <c r="B104" i="1"/>
  <c r="D104" i="1" s="1"/>
  <c r="AB103" i="1"/>
  <c r="AA103" i="1"/>
  <c r="Y103" i="1"/>
  <c r="X103" i="1"/>
  <c r="N103" i="1"/>
  <c r="B103" i="1"/>
  <c r="D103" i="1" s="1"/>
  <c r="J102" i="1"/>
  <c r="Y102" i="1" s="1"/>
  <c r="B102" i="1"/>
  <c r="D102" i="1" s="1"/>
  <c r="B101" i="1"/>
  <c r="D101" i="1" s="1"/>
  <c r="AB100" i="1"/>
  <c r="AA100" i="1"/>
  <c r="Y100" i="1"/>
  <c r="X100" i="1"/>
  <c r="B100" i="1"/>
  <c r="D100" i="1" s="1"/>
  <c r="AB99" i="1"/>
  <c r="AA99" i="1"/>
  <c r="Y99" i="1"/>
  <c r="X99" i="1"/>
  <c r="B99" i="1"/>
  <c r="D99" i="1" s="1"/>
  <c r="AB98" i="1"/>
  <c r="AA98" i="1"/>
  <c r="Y98" i="1"/>
  <c r="X98" i="1"/>
  <c r="B98" i="1"/>
  <c r="D98" i="1" s="1"/>
  <c r="AB97" i="1"/>
  <c r="AA97" i="1"/>
  <c r="Y97" i="1"/>
  <c r="X97" i="1"/>
  <c r="B97" i="1"/>
  <c r="D97" i="1" s="1"/>
  <c r="AB96" i="1"/>
  <c r="AA96" i="1"/>
  <c r="Y96" i="1"/>
  <c r="X96" i="1"/>
  <c r="B96" i="1"/>
  <c r="D96" i="1" s="1"/>
  <c r="Y95" i="1"/>
  <c r="X95" i="1"/>
  <c r="N95" i="1"/>
  <c r="B95" i="1"/>
  <c r="D95" i="1" s="1"/>
  <c r="AB94" i="1"/>
  <c r="AA94" i="1"/>
  <c r="Y94" i="1"/>
  <c r="X94" i="1"/>
  <c r="B94" i="1"/>
  <c r="D94" i="1" s="1"/>
  <c r="N93" i="1"/>
  <c r="K93" i="1" s="1"/>
  <c r="J93" i="1"/>
  <c r="Y93" i="1" s="1"/>
  <c r="B93" i="1"/>
  <c r="D93" i="1" s="1"/>
  <c r="B92" i="1"/>
  <c r="D92" i="1" s="1"/>
  <c r="B91" i="1"/>
  <c r="D91" i="1" s="1"/>
  <c r="AB90" i="1"/>
  <c r="AA90" i="1"/>
  <c r="Y90" i="1"/>
  <c r="X90" i="1"/>
  <c r="B90" i="1"/>
  <c r="D90" i="1" s="1"/>
  <c r="AB89" i="1"/>
  <c r="AA89" i="1"/>
  <c r="Y89" i="1"/>
  <c r="X89" i="1"/>
  <c r="B89" i="1"/>
  <c r="D89" i="1" s="1"/>
  <c r="AB88" i="1"/>
  <c r="AA88" i="1"/>
  <c r="Y88" i="1"/>
  <c r="X88" i="1"/>
  <c r="B88" i="1"/>
  <c r="D88" i="1" s="1"/>
  <c r="AB87" i="1"/>
  <c r="AA87" i="1"/>
  <c r="Y87" i="1"/>
  <c r="X87" i="1"/>
  <c r="B87" i="1"/>
  <c r="D87" i="1" s="1"/>
  <c r="AB86" i="1"/>
  <c r="AA86" i="1"/>
  <c r="Y86" i="1"/>
  <c r="X86" i="1"/>
  <c r="B86" i="1"/>
  <c r="D86" i="1" s="1"/>
  <c r="Y85" i="1"/>
  <c r="X85" i="1"/>
  <c r="N85" i="1"/>
  <c r="K85" i="1" s="1"/>
  <c r="B85" i="1"/>
  <c r="D85" i="1" s="1"/>
  <c r="Y84" i="1"/>
  <c r="X84" i="1"/>
  <c r="N84" i="1"/>
  <c r="K84" i="1" s="1"/>
  <c r="B84" i="1"/>
  <c r="D84" i="1" s="1"/>
  <c r="AB83" i="1"/>
  <c r="AA83" i="1"/>
  <c r="Y83" i="1"/>
  <c r="X83" i="1"/>
  <c r="B83" i="1"/>
  <c r="D83" i="1" s="1"/>
  <c r="Y82" i="1"/>
  <c r="X82" i="1"/>
  <c r="N82" i="1"/>
  <c r="N102" i="1" s="1"/>
  <c r="B82" i="1"/>
  <c r="D82" i="1" s="1"/>
  <c r="Y81" i="1"/>
  <c r="X81" i="1"/>
  <c r="K81" i="1"/>
  <c r="AB81" i="1" s="1"/>
  <c r="B81" i="1"/>
  <c r="D81" i="1" s="1"/>
  <c r="Y80" i="1"/>
  <c r="X80" i="1"/>
  <c r="K80" i="1"/>
  <c r="AB80" i="1" s="1"/>
  <c r="B80" i="1"/>
  <c r="D80" i="1" s="1"/>
  <c r="B79" i="1"/>
  <c r="D79" i="1" s="1"/>
  <c r="B78" i="1"/>
  <c r="D78" i="1" s="1"/>
  <c r="AB77" i="1"/>
  <c r="AA77" i="1"/>
  <c r="Y77" i="1"/>
  <c r="X77" i="1"/>
  <c r="B77" i="1"/>
  <c r="D77" i="1" s="1"/>
  <c r="AB76" i="1"/>
  <c r="AA76" i="1"/>
  <c r="Y76" i="1"/>
  <c r="X76" i="1"/>
  <c r="B76" i="1"/>
  <c r="D76" i="1" s="1"/>
  <c r="N75" i="1"/>
  <c r="K75" i="1" s="1"/>
  <c r="J75" i="1"/>
  <c r="Y75" i="1" s="1"/>
  <c r="B75" i="1"/>
  <c r="D75" i="1" s="1"/>
  <c r="AB74" i="1"/>
  <c r="AA74" i="1"/>
  <c r="Y74" i="1"/>
  <c r="X74" i="1"/>
  <c r="B74" i="1"/>
  <c r="D74" i="1" s="1"/>
  <c r="AB73" i="1"/>
  <c r="AA73" i="1"/>
  <c r="Y73" i="1"/>
  <c r="X73" i="1"/>
  <c r="B73" i="1"/>
  <c r="D73" i="1" s="1"/>
  <c r="Y72" i="1"/>
  <c r="X72" i="1"/>
  <c r="N72" i="1"/>
  <c r="K72" i="1" s="1"/>
  <c r="AB72" i="1" s="1"/>
  <c r="B72" i="1"/>
  <c r="D72" i="1" s="1"/>
  <c r="Y71" i="1"/>
  <c r="X71" i="1"/>
  <c r="N71" i="1"/>
  <c r="K71" i="1" s="1"/>
  <c r="AA71" i="1" s="1"/>
  <c r="B71" i="1"/>
  <c r="D71" i="1" s="1"/>
  <c r="B70" i="1"/>
  <c r="D70" i="1" s="1"/>
  <c r="B69" i="1"/>
  <c r="D69" i="1" s="1"/>
  <c r="B68" i="1"/>
  <c r="D68" i="1" s="1"/>
  <c r="Y67" i="1"/>
  <c r="X67" i="1"/>
  <c r="K67" i="1"/>
  <c r="AB67" i="1" s="1"/>
  <c r="B67" i="1"/>
  <c r="D67" i="1" s="1"/>
  <c r="Y66" i="1"/>
  <c r="X66" i="1"/>
  <c r="K66" i="1"/>
  <c r="AB66" i="1" s="1"/>
  <c r="B66" i="1"/>
  <c r="D66" i="1" s="1"/>
  <c r="Y65" i="1"/>
  <c r="X65" i="1"/>
  <c r="K65" i="1"/>
  <c r="AB65" i="1" s="1"/>
  <c r="B65" i="1"/>
  <c r="D65" i="1" s="1"/>
  <c r="B64" i="1"/>
  <c r="D64" i="1" s="1"/>
  <c r="Y63" i="1"/>
  <c r="X63" i="1"/>
  <c r="K63" i="1"/>
  <c r="AA63" i="1" s="1"/>
  <c r="B63" i="1"/>
  <c r="D63" i="1" s="1"/>
  <c r="Y62" i="1"/>
  <c r="X62" i="1"/>
  <c r="K62" i="1"/>
  <c r="AB62" i="1" s="1"/>
  <c r="B62" i="1"/>
  <c r="D62" i="1" s="1"/>
  <c r="Y61" i="1"/>
  <c r="X61" i="1"/>
  <c r="K61" i="1"/>
  <c r="AB61" i="1" s="1"/>
  <c r="B61" i="1"/>
  <c r="D61" i="1" s="1"/>
  <c r="B60" i="1"/>
  <c r="D60" i="1" s="1"/>
  <c r="B59" i="1"/>
  <c r="D59" i="1" s="1"/>
  <c r="Y58" i="1"/>
  <c r="X58" i="1"/>
  <c r="K58" i="1"/>
  <c r="AB58" i="1" s="1"/>
  <c r="B58" i="1"/>
  <c r="D58" i="1" s="1"/>
  <c r="Y57" i="1"/>
  <c r="X57" i="1"/>
  <c r="K57" i="1"/>
  <c r="AB57" i="1" s="1"/>
  <c r="B57" i="1"/>
  <c r="D57" i="1" s="1"/>
  <c r="Y56" i="1"/>
  <c r="X56" i="1"/>
  <c r="K56" i="1"/>
  <c r="AA56" i="1" s="1"/>
  <c r="B56" i="1"/>
  <c r="D56" i="1" s="1"/>
  <c r="B55" i="1"/>
  <c r="D55" i="1" s="1"/>
  <c r="B54" i="1"/>
  <c r="D54" i="1" s="1"/>
  <c r="Y53" i="1"/>
  <c r="X53" i="1"/>
  <c r="N53" i="1"/>
  <c r="K53" i="1" s="1"/>
  <c r="B53" i="1"/>
  <c r="D53" i="1" s="1"/>
  <c r="Y52" i="1"/>
  <c r="X52" i="1"/>
  <c r="K52" i="1"/>
  <c r="AB52" i="1" s="1"/>
  <c r="B52" i="1"/>
  <c r="D52" i="1" s="1"/>
  <c r="Y51" i="1"/>
  <c r="X51" i="1"/>
  <c r="K51" i="1"/>
  <c r="AB51" i="1" s="1"/>
  <c r="B51" i="1"/>
  <c r="D51" i="1" s="1"/>
  <c r="Y50" i="1"/>
  <c r="X50" i="1"/>
  <c r="K50" i="1"/>
  <c r="AB50" i="1" s="1"/>
  <c r="B50" i="1"/>
  <c r="D50" i="1" s="1"/>
  <c r="B49" i="1"/>
  <c r="D49" i="1" s="1"/>
  <c r="B48" i="1"/>
  <c r="D48" i="1" s="1"/>
  <c r="Y47" i="1"/>
  <c r="X47" i="1"/>
  <c r="K47" i="1"/>
  <c r="AA47" i="1" s="1"/>
  <c r="B47" i="1"/>
  <c r="D47" i="1" s="1"/>
  <c r="Y46" i="1"/>
  <c r="X46" i="1"/>
  <c r="K46" i="1"/>
  <c r="AB46" i="1" s="1"/>
  <c r="B46" i="1"/>
  <c r="D46" i="1" s="1"/>
  <c r="Y45" i="1"/>
  <c r="X45" i="1"/>
  <c r="K45" i="1"/>
  <c r="AB45" i="1" s="1"/>
  <c r="B45" i="1"/>
  <c r="D45" i="1" s="1"/>
  <c r="B44" i="1"/>
  <c r="D44" i="1" s="1"/>
  <c r="Y43" i="1"/>
  <c r="X43" i="1"/>
  <c r="K43" i="1"/>
  <c r="AB43" i="1" s="1"/>
  <c r="B43" i="1"/>
  <c r="D43" i="1" s="1"/>
  <c r="Y42" i="1"/>
  <c r="X42" i="1"/>
  <c r="K42" i="1"/>
  <c r="AB42" i="1" s="1"/>
  <c r="B42" i="1"/>
  <c r="D42" i="1" s="1"/>
  <c r="Y41" i="1"/>
  <c r="X41" i="1"/>
  <c r="K41" i="1"/>
  <c r="AB41" i="1" s="1"/>
  <c r="B41" i="1"/>
  <c r="D41" i="1" s="1"/>
  <c r="B40" i="1"/>
  <c r="D40" i="1" s="1"/>
  <c r="B39" i="1"/>
  <c r="D39" i="1" s="1"/>
  <c r="B38" i="1"/>
  <c r="D38" i="1" s="1"/>
  <c r="Y37" i="1"/>
  <c r="X37" i="1"/>
  <c r="K37" i="1"/>
  <c r="AB37" i="1" s="1"/>
  <c r="B37" i="1"/>
  <c r="D37" i="1" s="1"/>
  <c r="Y36" i="1"/>
  <c r="X36" i="1"/>
  <c r="K36" i="1"/>
  <c r="AA36" i="1" s="1"/>
  <c r="B36" i="1"/>
  <c r="D36" i="1" s="1"/>
  <c r="Y35" i="1"/>
  <c r="X35" i="1"/>
  <c r="K35" i="1"/>
  <c r="AB35" i="1" s="1"/>
  <c r="B35" i="1"/>
  <c r="D35" i="1" s="1"/>
  <c r="Y34" i="1"/>
  <c r="X34" i="1"/>
  <c r="K34" i="1"/>
  <c r="AB34" i="1" s="1"/>
  <c r="B34" i="1"/>
  <c r="D34" i="1" s="1"/>
  <c r="B33" i="1"/>
  <c r="D33" i="1" s="1"/>
  <c r="Y32" i="1"/>
  <c r="X32" i="1"/>
  <c r="K32" i="1"/>
  <c r="AB32" i="1" s="1"/>
  <c r="B32" i="1"/>
  <c r="D32" i="1" s="1"/>
  <c r="Y31" i="1"/>
  <c r="X31" i="1"/>
  <c r="K31" i="1"/>
  <c r="AB31" i="1" s="1"/>
  <c r="B31" i="1"/>
  <c r="D31" i="1" s="1"/>
  <c r="Y30" i="1"/>
  <c r="X30" i="1"/>
  <c r="K30" i="1"/>
  <c r="AB30" i="1" s="1"/>
  <c r="B30" i="1"/>
  <c r="D30" i="1" s="1"/>
  <c r="B29" i="1"/>
  <c r="D29" i="1" s="1"/>
  <c r="Y28" i="1"/>
  <c r="X28" i="1"/>
  <c r="K28" i="1"/>
  <c r="AB28" i="1" s="1"/>
  <c r="B28" i="1"/>
  <c r="D28" i="1" s="1"/>
  <c r="Y27" i="1"/>
  <c r="X27" i="1"/>
  <c r="K27" i="1"/>
  <c r="AA27" i="1" s="1"/>
  <c r="B27" i="1"/>
  <c r="D27" i="1" s="1"/>
  <c r="Y26" i="1"/>
  <c r="X26" i="1"/>
  <c r="K26" i="1"/>
  <c r="AB26" i="1" s="1"/>
  <c r="B26" i="1"/>
  <c r="D26" i="1" s="1"/>
  <c r="B25" i="1"/>
  <c r="D25" i="1" s="1"/>
  <c r="B24" i="1"/>
  <c r="D24" i="1" s="1"/>
  <c r="Y23" i="1"/>
  <c r="X23" i="1"/>
  <c r="K23" i="1"/>
  <c r="AB23" i="1" s="1"/>
  <c r="B23" i="1"/>
  <c r="D23" i="1" s="1"/>
  <c r="Y22" i="1"/>
  <c r="X22" i="1"/>
  <c r="K22" i="1"/>
  <c r="AB22" i="1" s="1"/>
  <c r="B22" i="1"/>
  <c r="D22" i="1" s="1"/>
  <c r="Y21" i="1"/>
  <c r="X21" i="1"/>
  <c r="K21" i="1"/>
  <c r="AB21" i="1" s="1"/>
  <c r="B21" i="1"/>
  <c r="D21" i="1" s="1"/>
  <c r="Y20" i="1"/>
  <c r="X20" i="1"/>
  <c r="K20" i="1"/>
  <c r="AB20" i="1" s="1"/>
  <c r="B20" i="1"/>
  <c r="D20" i="1" s="1"/>
  <c r="Y19" i="1"/>
  <c r="X19" i="1"/>
  <c r="K19" i="1"/>
  <c r="AB19" i="1" s="1"/>
  <c r="B19" i="1"/>
  <c r="D19" i="1" s="1"/>
  <c r="B18" i="1"/>
  <c r="D18" i="1" s="1"/>
  <c r="Y13" i="1"/>
  <c r="X13" i="1"/>
  <c r="K13" i="1"/>
  <c r="AB13" i="1" s="1"/>
  <c r="B13" i="1"/>
  <c r="D13" i="1" s="1"/>
  <c r="Y12" i="1"/>
  <c r="X12" i="1"/>
  <c r="K12" i="1"/>
  <c r="AB12" i="1" s="1"/>
  <c r="B12" i="1"/>
  <c r="D12" i="1" s="1"/>
  <c r="Y11" i="1"/>
  <c r="X11" i="1"/>
  <c r="K11" i="1"/>
  <c r="AB11" i="1" s="1"/>
  <c r="B11" i="1"/>
  <c r="D11" i="1" s="1"/>
  <c r="B10" i="1"/>
  <c r="D10" i="1" s="1"/>
  <c r="B9" i="1"/>
  <c r="D9" i="1" s="1"/>
  <c r="B8" i="1"/>
  <c r="D8" i="1" s="1"/>
  <c r="AB7" i="1"/>
  <c r="AA7" i="1"/>
  <c r="J7" i="1"/>
  <c r="Y7" i="1" s="1"/>
  <c r="B7" i="1"/>
  <c r="D7" i="1" s="1"/>
  <c r="AB6" i="1"/>
  <c r="AA6" i="1"/>
  <c r="Y6" i="1"/>
  <c r="X6" i="1"/>
  <c r="B6" i="1"/>
  <c r="D6" i="1" s="1"/>
  <c r="AB5" i="1"/>
  <c r="AA5" i="1"/>
  <c r="Y5" i="1"/>
  <c r="X5" i="1"/>
  <c r="B5" i="1"/>
  <c r="D5" i="1" s="1"/>
  <c r="Y4" i="1"/>
  <c r="X4" i="1"/>
  <c r="K4" i="1"/>
  <c r="AB4" i="1" s="1"/>
  <c r="B4" i="1"/>
  <c r="D4" i="1" s="1"/>
  <c r="AB3" i="1"/>
  <c r="AA3" i="1"/>
  <c r="Y3" i="1"/>
  <c r="X3" i="1"/>
  <c r="B3" i="1"/>
  <c r="D3" i="1" s="1"/>
  <c r="B2" i="1"/>
  <c r="D2" i="1" s="1"/>
  <c r="AA17" i="1" l="1"/>
  <c r="AB63" i="1"/>
  <c r="AB36" i="1"/>
  <c r="AA80" i="1"/>
  <c r="AB47" i="1"/>
  <c r="AA146" i="1"/>
  <c r="AA142" i="1"/>
  <c r="AA26" i="1"/>
  <c r="AA20" i="1"/>
  <c r="J5" i="1"/>
  <c r="K95" i="1"/>
  <c r="AB95" i="1" s="1"/>
  <c r="X93" i="1"/>
  <c r="AA41" i="1"/>
  <c r="AA46" i="1"/>
  <c r="AA37" i="1"/>
  <c r="AA32" i="1"/>
  <c r="AA65" i="1"/>
  <c r="X175" i="1"/>
  <c r="Y162" i="1"/>
  <c r="AB27" i="1"/>
  <c r="X161" i="1"/>
  <c r="X7" i="1"/>
  <c r="AA23" i="1"/>
  <c r="AA35" i="1"/>
  <c r="AA42" i="1"/>
  <c r="Y133" i="1"/>
  <c r="AA145" i="1"/>
  <c r="AA11" i="1"/>
  <c r="AA57" i="1"/>
  <c r="AA31" i="1"/>
  <c r="AA50" i="1"/>
  <c r="AB71" i="1"/>
  <c r="AB75" i="1"/>
  <c r="AA75" i="1"/>
  <c r="J159" i="1"/>
  <c r="C55" i="2"/>
  <c r="AA84" i="1"/>
  <c r="AB84" i="1"/>
  <c r="AB53" i="1"/>
  <c r="AA53" i="1"/>
  <c r="AA93" i="1"/>
  <c r="AB93" i="1"/>
  <c r="AB85" i="1"/>
  <c r="AA85" i="1"/>
  <c r="K82" i="1"/>
  <c r="AA105" i="1"/>
  <c r="K131" i="1"/>
  <c r="X97" i="8"/>
  <c r="AA11" i="7"/>
  <c r="AA16" i="7"/>
  <c r="AA19" i="7"/>
  <c r="AA31" i="7"/>
  <c r="AA11" i="8"/>
  <c r="AA16" i="8"/>
  <c r="AA27" i="8"/>
  <c r="AA33" i="8"/>
  <c r="AA36" i="8"/>
  <c r="AA19" i="1"/>
  <c r="AA13" i="1"/>
  <c r="AA22" i="1"/>
  <c r="AA52" i="1"/>
  <c r="AB56" i="1"/>
  <c r="X102" i="1"/>
  <c r="AB113" i="1"/>
  <c r="AA128" i="1"/>
  <c r="AA25" i="8"/>
  <c r="AA49" i="8"/>
  <c r="AA45" i="1"/>
  <c r="AA62" i="1"/>
  <c r="AA67" i="1"/>
  <c r="AA95" i="1"/>
  <c r="AA134" i="1"/>
  <c r="AA144" i="1"/>
  <c r="AA30" i="1"/>
  <c r="AA28" i="1"/>
  <c r="AA43" i="1"/>
  <c r="X75" i="1"/>
  <c r="X136" i="1"/>
  <c r="AA147" i="1"/>
  <c r="X160" i="1"/>
  <c r="AA15" i="7"/>
  <c r="AA62" i="8"/>
  <c r="AA4" i="1"/>
  <c r="AA12" i="1"/>
  <c r="AA21" i="1"/>
  <c r="AA51" i="1"/>
  <c r="AA58" i="1"/>
  <c r="AA72" i="1"/>
  <c r="AA13" i="7"/>
  <c r="AA25" i="7"/>
  <c r="AA13" i="8"/>
  <c r="AA39" i="8"/>
  <c r="AA34" i="1"/>
  <c r="AA61" i="1"/>
  <c r="AA66" i="1"/>
  <c r="AA81" i="1"/>
  <c r="AA143" i="1"/>
  <c r="AA24" i="8"/>
  <c r="K132" i="1" l="1"/>
  <c r="AB131" i="1"/>
  <c r="AA131" i="1"/>
  <c r="AB82" i="1"/>
  <c r="AA82" i="1"/>
  <c r="K102" i="1"/>
  <c r="X159" i="1"/>
  <c r="Y159" i="1"/>
  <c r="AB102" i="1" l="1"/>
  <c r="AA102" i="1"/>
  <c r="AB132" i="1"/>
  <c r="AA132" i="1"/>
  <c r="D100" i="8"/>
  <c r="B100" i="8"/>
  <c r="AB98" i="8"/>
  <c r="AA98" i="8"/>
  <c r="Y98" i="8"/>
  <c r="X98" i="8"/>
  <c r="J98" i="8"/>
  <c r="AB92" i="8"/>
  <c r="AA9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<sst xmlns="http://schemas.openxmlformats.org/spreadsheetml/2006/main" count="3758" uniqueCount="821">
  <si>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</si>
  <si>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</si>
  <si>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</si>
  <si>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</si>
  <si>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</si>
  <si>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</si>
  <si>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</si>
  <si>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</si>
  <si>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</si>
  <si>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</si>
  <si>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</si>
  <si>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</si>
  <si>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</si>
  <si>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</si>
  <si>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</si>
  <si>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</si>
  <si>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</si>
  <si>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</si>
  <si>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</si>
  <si>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</si>
  <si>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</si>
  <si>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</si>
  <si>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</si>
  <si>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</si>
  <si>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</si>
  <si>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</si>
  <si>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</si>
  <si>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</si>
  <si>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</si>
  <si>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</si>
  <si>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</si>
  <si>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</si>
  <si>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</si>
  <si>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</si>
  <si>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</si>
  <si>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</si>
  <si>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</si>
  <si>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</si>
  <si>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</si>
  <si>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</si>
  <si>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</si>
  <si>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</si>
  <si>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</si>
  <si>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</si>
  <si>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</si>
  <si>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</si>
  <si>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</si>
  <si>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</si>
  <si>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</si>
  <si>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</si>
  <si>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</si>
  <si>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</si>
  <si>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</si>
  <si>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</si>
  <si>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</si>
  <si>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</si>
  <si>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</si>
  <si>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According to NRC, the number of hours range from 108K to 257K hours https://www.nrc.gov/docs/ML2301/ML23018A174.pdf
For the hourly rate: 154$/hour
https://www.federalregister.gov/documents/2026/06/16/2026-12067/fee-schedules-fee-recovery-for-fiscal-year-2026</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</si>
  <si>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</si>
  <si>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</si>
  <si>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</si>
  <si>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</si>
  <si>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</si>
  <si>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</si>
  <si>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</si>
  <si>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</si>
  <si>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</si>
  <si>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</si>
  <si>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</si>
  <si>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</si>
  <si>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</si>
  <si>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</si>
  <si>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</si>
  <si>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</si>
  <si>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</si>
  <si>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</si>
  <si>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</si>
  <si>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</si>
  <si>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</si>
  <si>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</si>
  <si>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</si>
  <si>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</si>
  <si>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</si>
  <si>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</si>
  <si>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</si>
  <si>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</si>
  <si>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</si>
  <si>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</si>
  <si>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</si>
  <si>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</si>
  <si>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</si>
  <si>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</si>
  <si>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</si>
  <si>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</si>
  <si>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</si>
  <si>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</si>
  <si>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</si>
  <si>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</si>
  <si>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</si>
  <si>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</si>
  <si>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</si>
  <si>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</si>
  <si>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</si>
  <si>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</si>
  <si>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</si>
  <si>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</si>
  <si>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</si>
  <si>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</si>
  <si>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</si>
  <si>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</si>
  <si>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</si>
  <si>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</si>
  <si>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</si>
  <si>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</si>
  <si>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</si>
  <si>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</si>
  <si>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</si>
  <si>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</si>
  <si>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</si>
  <si>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</si>
  <si>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</si>
  <si>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</si>
  <si>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</si>
  <si>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</si>
  <si>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</si>
  <si>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</si>
  <si>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</si>
  <si>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</si>
  <si>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</si>
  <si>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</si>
  <si>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</si>
  <si>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</si>
  <si>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</si>
  <si>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</si>
  <si>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</si>
  <si>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</si>
  <si>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</si>
  <si>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</si>
  <si>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</si>
  <si>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</si>
  <si>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</si>
  <si>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</si>
  <si>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</si>
  <si>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</si>
  <si>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</si>
  <si>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</si>
  <si>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</si>
  <si>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</si>
  <si>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</si>
  <si>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</si>
  <si>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</si>
  <si>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</si>
  <si>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</si>
  <si>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</si>
  <si>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</si>
  <si>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</si>
  <si>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</si>
  <si>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</si>
  <si>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</si>
  <si>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</si>
  <si>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</si>
  <si>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</si>
  <si>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</si>
  <si>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</si>
  <si>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</si>
  <si>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</si>
  <si>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</si>
  <si>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</si>
  <si>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</si>
  <si>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</si>
  <si>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</si>
  <si>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</si>
  <si>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</si>
  <si>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</si>
  <si>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</si>
  <si>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</si>
  <si>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</si>
  <si>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</si>
  <si>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</si>
  <si>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</si>
  <si>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</si>
  <si>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</si>
  <si>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</si>
  <si>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</si>
  <si>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</si>
  <si>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</si>
  <si>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</si>
  <si>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</si>
  <si>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</si>
  <si>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</si>
  <si>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</si>
  <si>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</si>
  <si>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</si>
  <si>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</si>
  <si>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</si>
  <si>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</si>
  <si>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</si>
  <si>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</si>
  <si>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</si>
  <si>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</si>
  <si>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</si>
  <si>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</si>
  <si>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</si>
  <si>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</si>
  <si>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</si>
  <si>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</si>
  <si>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</si>
  <si>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</si>
  <si>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</si>
  <si>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</si>
  <si>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</si>
  <si>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</si>
  <si>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</si>
  <si>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</si>
  <si>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</si>
  <si>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</si>
  <si>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</si>
  <si>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</si>
  <si>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</si>
  <si>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</si>
  <si>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</si>
  <si>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</si>
  <si>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</si>
  <si>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</si>
  <si>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</si>
  <si>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</si>
  <si>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</si>
  <si>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</si>
  <si>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</si>
  <si>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</si>
  <si>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</si>
  <si>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</si>
  <si>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</si>
  <si>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</si>
  <si>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</si>
  <si>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</si>
  <si>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</si>
  <si>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</si>
  <si>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</si>
  <si>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</si>
  <si>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</si>
  <si>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</si>
  <si>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</si>
  <si>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</si>
  <si>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</si>
  <si>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</si>
  <si>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</si>
  <si>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</si>
  <si>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</si>
  <si>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</si>
  <si>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</si>
  <si>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</si>
  <si>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</si>
  <si>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</si>
  <si>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</si>
  <si>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</si>
  <si>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</si>
  <si>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</si>
  <si>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</si>
  <si>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</si>
  <si>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</si>
  <si>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</si>
  <si>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</si>
  <si>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</si>
  <si>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</si>
  <si>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</si>
  <si>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</si>
  <si>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</si>
  <si>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</si>
  <si>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</si>
  <si>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</si>
  <si>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</si>
  <si>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</si>
  <si>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</si>
  <si>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</si>
  <si>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</si>
  <si>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</si>
  <si>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</si>
  <si>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</si>
  <si>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</si>
  <si>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</si>
  <si>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</si>
  <si>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</si>
  <si>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</si>
  <si>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</si>
  <si>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</si>
  <si>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</si>
  <si>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</si>
  <si>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</si>
  <si>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</si>
  <si>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</si>
  <si>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</si>
  <si>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</si>
  <si>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</si>
  <si>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</si>
  <si>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</si>
  <si>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</si>
  <si>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</si>
  <si>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</si>
  <si>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</si>
  <si>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</si>
  <si>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</si>
  <si>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</si>
  <si>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</si>
  <si>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</si>
  <si>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</si>
  <si>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</si>
  <si>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</si>
  <si>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</si>
  <si>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</si>
  <si>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</si>
  <si>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</si>
  <si>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</si>
  <si>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</si>
  <si>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</si>
  <si>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</si>
  <si>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</si>
  <si>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</si>
  <si>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</si>
  <si>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</si>
  <si>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</si>
  <si>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</si>
  <si>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</si>
  <si>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</si>
  <si>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</si>
  <si>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</si>
  <si>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</si>
  <si>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</si>
  <si>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</si>
  <si>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</si>
  <si>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</si>
  <si>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</si>
  <si>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</si>
  <si>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</si>
  <si>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</si>
  <si>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</si>
  <si>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</si>
  <si>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</si>
  <si>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</si>
  <si>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</si>
  <si>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</si>
  <si>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</si>
  <si>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</si>
  <si>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</si>
  <si>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</si>
  <si>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</si>
  <si>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</si>
  <si>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</si>
  <si>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</si>
  <si>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</si>
  <si>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</si>
  <si>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</si>
  <si>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</si>
  <si>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</si>
  <si>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</si>
  <si>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</si>
  <si>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</si>
  <si>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</si>
  <si>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</si>
  <si>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</si>
  <si>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</si>
  <si>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</si>
  <si>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</si>
  <si>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</si>
  <si>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</si>
  <si>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</si>
  <si>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</si>
  <si>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</si>
  <si>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</si>
  <si>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</si>
  <si>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</si>
  <si>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</si>
  <si>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</si>
  <si>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</si>
  <si>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</si>
  <si>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</si>
  <si>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</si>
  <si>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</si>
  <si>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</si>
  <si>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</si>
  <si>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</si>
  <si>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</si>
  <si>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</si>
  <si>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</si>
  <si>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</si>
  <si>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</si>
  <si>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</si>
  <si>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</si>
  <si>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</si>
  <si>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</si>
  <si>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</si>
  <si>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</si>
  <si>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</si>
  <si>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</si>
  <si>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</si>
  <si>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</si>
  <si>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</si>
  <si>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</si>
  <si>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</si>
  <si>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</si>
  <si>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</si>
  <si>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</si>
  <si>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</si>
  <si>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</si>
  <si>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</si>
  <si>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</si>
  <si>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</si>
  <si>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</si>
  <si>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</si>
  <si>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</si>
  <si>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</si>
  <si>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</si>
  <si>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</si>
  <si>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</si>
  <si>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</si>
  <si>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</si>
  <si>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</si>
  <si>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</si>
  <si>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</si>
  <si>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</si>
  <si>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</si>
  <si>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</si>
  <si>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</si>
  <si>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</si>
  <si>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</si>
  <si>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</si>
  <si>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</si>
  <si>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</si>
  <si>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</si>
  <si>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</si>
  <si>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</si>
  <si>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</si>
  <si>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</si>
  <si>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</si>
  <si>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</si>
  <si>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</si>
  <si>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</si>
  <si>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</si>
  <si>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</si>
  <si>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</si>
  <si>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</si>
  <si>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</si>
  <si>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</si>
  <si>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</si>
  <si>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</si>
  <si>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</si>
  <si>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</si>
  <si>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</si>
  <si>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</si>
  <si>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</si>
  <si>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</si>
  <si>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</si>
  <si>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</si>
  <si>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</si>
  <si>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</si>
  <si>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</si>
  <si>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</si>
  <si>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</si>
  <si>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</si>
  <si>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</si>
  <si>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</si>
  <si>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</si>
  <si>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</si>
  <si>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</si>
  <si>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</si>
  <si>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</si>
  <si>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</si>
  <si>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</si>
  <si>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</si>
  <si>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</si>
  <si>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</si>
  <si>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</si>
  <si>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</si>
  <si>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</si>
  <si>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</si>
  <si>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</si>
  <si>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</si>
  <si>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</si>
  <si>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</si>
  <si>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</si>
  <si>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</si>
  <si>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</si>
  <si>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</si>
  <si>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</si>
  <si>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</si>
  <si>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</si>
  <si>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</si>
  <si>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</si>
  <si>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</si>
  <si>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</si>
  <si>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</si>
  <si>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</si>
  <si>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</si>
  <si>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</si>
  <si>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</si>
  <si>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</si>
  <si>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</si>
  <si>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</si>
  <si>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</si>
  <si>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</si>
  <si>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</si>
  <si>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</si>
  <si>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</si>
  <si>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</si>
  <si>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</si>
  <si>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</si>
  <si>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</si>
  <si>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</si>
  <si>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</si>
  <si>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</si>
  <si>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</si>
  <si>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</si>
  <si>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</si>
  <si>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</si>
  <si>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</si>
  <si>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</si>
  <si>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</si>
  <si>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</si>
  <si>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</si>
  <si>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</si>
  <si>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</si>
  <si>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</si>
  <si>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</si>
  <si>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</si>
  <si>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</si>
  <si>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</si>
  <si>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</si>
  <si>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</si>
  <si>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</si>
  <si>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</si>
  <si>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</si>
  <si>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</si>
  <si>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</si>
  <si>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</si>
  <si>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</si>
  <si>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</si>
  <si>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</si>
  <si>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</si>
  <si>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</si>
  <si>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</si>
  <si>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</si>
  <si>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</si>
  <si>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</si>
  <si>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</si>
  <si>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</si>
  <si>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</si>
  <si>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</si>
  <si>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</si>
  <si>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</si>
  <si>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</si>
  <si>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</si>
  <si>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</si>
  <si>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</si>
  <si>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</si>
  <si>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</si>
  <si>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</si>
  <si>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</si>
  <si>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</si>
  <si>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</si>
  <si>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</si>
  <si>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</si>
  <si>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</si>
  <si>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</si>
  <si>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</si>
  <si>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</si>
  <si>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</si>
  <si>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</si>
  <si>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</si>
  <si>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</si>
  <si>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</si>
  <si>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</si>
  <si>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</si>
  <si>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</si>
  <si>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</si>
  <si>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</si>
  <si>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Park, et al., Bottom-up levelized cost estimation of low-enriched and low-pressure nuclear batteries. Nuclear Engineering and Design. 2025.</t>
  </si>
  <si>
    <t>For off-the-shelf commercial components that are not produced in the FB Factory</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</si>
  <si>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</si>
  <si>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</si>
  <si>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</si>
  <si>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</si>
  <si>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</si>
  <si>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</si>
  <si>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</si>
  <si>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</si>
  <si>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</si>
  <si>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</si>
  <si>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</si>
  <si>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</si>
  <si>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</si>
  <si>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</si>
  <si>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</si>
  <si>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</si>
  <si>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</si>
  <si>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</si>
  <si>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</si>
  <si>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</si>
  <si>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</si>
  <si>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</si>
  <si>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</si>
  <si>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</si>
  <si>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</si>
  <si>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</si>
  <si>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</si>
  <si>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</si>
  <si>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</si>
  <si>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</si>
  <si>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</si>
  <si>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</si>
  <si>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</si>
  <si>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</si>
  <si>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</si>
  <si>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</si>
  <si>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</si>
  <si>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</si>
  <si>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</si>
  <si>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</si>
  <si>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</si>
  <si>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</si>
  <si>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</si>
  <si>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</si>
  <si>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</si>
  <si>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</si>
  <si>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</si>
  <si>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</si>
  <si>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</si>
  <si>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</si>
  <si>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</si>
  <si>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</si>
  <si>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</si>
  <si>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</si>
  <si>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</si>
  <si>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</si>
  <si>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</si>
  <si>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</si>
  <si>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</si>
  <si>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</si>
  <si>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</si>
  <si>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</si>
  <si>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</si>
  <si>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</si>
  <si>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</si>
  <si>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</si>
  <si>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</si>
  <si>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</si>
  <si>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</si>
  <si>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</si>
  <si>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</si>
  <si>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</si>
  <si>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</si>
  <si>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</si>
  <si>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</si>
  <si>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</si>
  <si>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</si>
  <si>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</si>
  <si>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</si>
  <si>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</si>
  <si>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</si>
  <si>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</si>
  <si>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</si>
  <si>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</si>
  <si>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</si>
  <si>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</si>
  <si>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</si>
  <si>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</si>
  <si>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</si>
  <si>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</si>
  <si>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</si>
  <si>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</si>
  <si>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</si>
  <si>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</si>
  <si>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</si>
  <si>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</si>
  <si>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</si>
  <si>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</si>
  <si>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</si>
  <si>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</si>
  <si>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</si>
  <si>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</si>
  <si>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</si>
  <si>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</si>
  <si>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</si>
  <si>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</si>
  <si>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</si>
  <si>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</si>
  <si>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</si>
  <si>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</si>
  <si>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</si>
  <si>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</si>
  <si>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</si>
  <si>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</si>
  <si>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</si>
  <si>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</si>
  <si>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</si>
  <si>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</si>
  <si>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</si>
  <si>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</si>
  <si>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</si>
  <si>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</si>
  <si>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</si>
  <si>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</si>
  <si>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</si>
  <si>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</si>
  <si>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</si>
  <si>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</si>
  <si>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</si>
  <si>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</si>
  <si>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</si>
  <si>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</si>
  <si>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</si>
  <si>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</si>
  <si>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</si>
  <si>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</si>
  <si>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</si>
  <si>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</si>
  <si>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</si>
  <si>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</si>
  <si>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</si>
  <si>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</si>
  <si>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</si>
  <si>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</si>
  <si>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</si>
  <si>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</si>
  <si>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</si>
  <si>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</si>
  <si>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</si>
  <si>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</si>
  <si>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</si>
  <si>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</si>
  <si>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</si>
  <si>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</si>
  <si>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</si>
  <si>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</si>
  <si>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</si>
  <si>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</si>
  <si>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</si>
  <si>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</si>
  <si>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</si>
  <si>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</si>
  <si>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</si>
  <si>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</si>
  <si>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</si>
  <si>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</si>
  <si>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</si>
  <si>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</si>
  <si>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</si>
  <si>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</si>
  <si>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</si>
  <si>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</si>
  <si>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</si>
  <si>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</si>
  <si>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</si>
  <si>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</si>
  <si>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</si>
  <si>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</si>
  <si>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</si>
  <si>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</si>
  <si>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</si>
  <si>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</si>
  <si>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</si>
  <si>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</si>
  <si>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</si>
  <si>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</si>
  <si>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</si>
  <si>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</si>
  <si>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</si>
  <si>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</si>
  <si>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</si>
  <si>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</si>
  <si>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</si>
  <si>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</si>
  <si>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</si>
  <si>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</si>
  <si>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</si>
  <si>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</si>
  <si>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</si>
  <si>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</si>
  <si>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Security Staff Per Shift</t>
  </si>
  <si>
    <t>SER Maintenance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</si>
  <si>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</si>
  <si>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</si>
  <si>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</si>
  <si>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</si>
  <si>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</si>
  <si>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</si>
  <si>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</si>
  <si>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</si>
  <si>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</si>
  <si>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</si>
  <si>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</si>
  <si>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</si>
  <si>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</si>
  <si>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</si>
  <si>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</si>
  <si>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</si>
  <si>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</si>
  <si>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</si>
  <si>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</si>
  <si>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</si>
  <si>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</si>
  <si>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</si>
  <si>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</si>
  <si>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</si>
  <si>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</si>
  <si>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</si>
  <si>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</si>
  <si>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</si>
  <si>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</si>
  <si>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</si>
  <si>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</si>
  <si>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</si>
  <si>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MFG Testing Number of Operators</t>
  </si>
  <si>
    <t>$/FTE-year</t>
  </si>
  <si>
    <t>SER Operator FTEs Per Facility</t>
  </si>
  <si>
    <t>$/(reactors/year)</t>
  </si>
  <si>
    <t>reactors/year</t>
  </si>
  <si>
    <t>Used Fuel Storage Additional Overpacks</t>
  </si>
  <si>
    <t>GEN Road Length</t>
  </si>
  <si>
    <t>m</t>
  </si>
  <si>
    <t>Limited Perimeter</t>
  </si>
  <si>
    <t>Protected Perimeter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</si>
</sst>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5"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sz val="11"/>
      <color rgb="FF000000"/>
      <name val="Calibri"/>
      <family val="2"/>
    </font>
    <font>
      <u/>
      <sz val="10"/>
      <color theme="1"/>
      <name val="Times New Roman"/>
      <family val="1"/>
    </font>
    <font>
      <u/>
      <sz val="10"/>
      <color theme="10"/>
      <name val="Times New Roman"/>
      <family val="1"/>
    </font>
    <font>
      <sz val="10"/>
      <color theme="1"/>
      <name val="Calibri"/>
      <family val="2"/>
      <scheme val="minor"/>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32859279152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40">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1" fillId="0" borderId="0" xfId="0" applyFont="1" applyAlignment="1">
      <alignment horizontal="center" wrapText="1"/>
    </xf>
    <xf numFmtId="0" fontId="0" fillId="0" borderId="11" xfId="0" applyBorder="1"/>
    <xf numFmtId="0" fontId="0" fillId="0" borderId="12" xfId="0" applyBorder="1"/>
    <xf numFmtId="0" fontId="14" fillId="0" borderId="10" xfId="2" applyFont="1" applyBorder="1" applyAlignment="1">
      <alignment horizontal="center" wrapText="1"/>
    </xf>
    <xf numFmtId="0" fontId="1" fillId="0" borderId="10" xfId="0" applyFont="1" applyBorder="1" applyAlignment="1">
      <alignment horizontal="left"/>
    </xf>
    <xf numFmtId="0" fontId="1" fillId="0" borderId="3" xfId="0" applyFont="1" applyBorder="1" applyAlignment="1">
      <alignment horizontal="left" wrapText="1"/>
    </xf>
    <xf numFmtId="3" fontId="1" fillId="0" borderId="3" xfId="0" applyNumberFormat="1" applyFont="1" applyBorder="1" applyAlignment="1">
      <alignment horizontal="left" wrapText="1"/>
    </xf>
    <xf numFmtId="3" fontId="1" fillId="0" borderId="10" xfId="0" applyNumberFormat="1" applyFont="1" applyBorder="1" applyAlignment="1">
      <alignment horizontal="left" wrapText="1"/>
    </xf>
    <xf numFmtId="0" fontId="8" fillId="0" borderId="10" xfId="0" quotePrefix="1" applyFont="1" applyBorder="1" applyAlignment="1">
      <alignment horizontal="left"/>
    </xf>
    <xf numFmtId="0" fontId="33" fillId="0" borderId="10" xfId="2" applyFont="1" applyBorder="1" applyAlignment="1">
      <alignment horizontal="left"/>
    </xf>
    <xf numFmtId="0" fontId="34" fillId="0" borderId="0" xfId="0" applyFont="1"/>
    <xf numFmtId="0" fontId="1" fillId="0" borderId="10" xfId="0" applyFont="1" applyBorder="1" applyAlignment="1">
      <alignment horizontal="left" wrapText="1"/>
    </xf>
    <xf numFmtId="0" fontId="8" fillId="0" borderId="10" xfId="0" applyFont="1" applyBorder="1" applyAlignment="1">
      <alignment horizontal="left" wrapText="1"/>
    </xf>
    <xf numFmtId="0" fontId="0" fillId="0" borderId="11" xfId="0" applyBorder="1"/>
    <xf numFmtId="0" fontId="0" fillId="0" borderId="12" xfId="0" applyBorder="1"/>
    <xf numFmtId="0" fontId="7" fillId="0" borderId="0" xfId="0" applyFont="1"/>
    <xf numFmtId="0" fontId="8" fillId="0" borderId="10" xfId="0" applyFont="1"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6" fillId="0" borderId="10" xfId="0"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18">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ont>
        <b/>
        <i/>
      </font>
      <fill>
        <patternFill patternType="gray125"/>
      </fill>
    </dxf>
    <dxf>
      <fill>
        <patternFill>
          <bgColor theme="6" tint="0.79992065187536243"/>
        </patternFill>
      </fill>
    </dxf>
    <dxf>
      <fill>
        <patternFill>
          <bgColor rgb="FFFFFFBA"/>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ont>
        <b/>
      </font>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i/>
      </font>
      <fill>
        <patternFill patternType="gray125"/>
      </fill>
    </dxf>
    <dxf>
      <font>
        <b/>
        <i/>
      </font>
      <fill>
        <patternFill patternType="gray0625"/>
      </fill>
    </dxf>
    <dxf>
      <fill>
        <patternFill>
          <bgColor theme="6" tint="0.79992065187536243"/>
        </patternFill>
      </fill>
    </dxf>
    <dxf>
      <fill>
        <patternFill>
          <bgColor theme="9" tint="0.39994506668294322"/>
        </patternFill>
      </fill>
    </dxf>
    <dxf>
      <fill>
        <patternFill>
          <bgColor rgb="FFFFFFBA"/>
        </patternFill>
      </fill>
    </dxf>
    <dxf>
      <fill>
        <patternFill>
          <bgColor rgb="FFFFFFBA"/>
        </patternFill>
      </fill>
    </dxf>
    <dxf>
      <font>
        <b/>
        <i/>
      </font>
      <fill>
        <patternFill patternType="gray125"/>
      </fill>
    </dxf>
    <dxf>
      <fill>
        <patternFill>
          <bgColor theme="6" tint="0.79992065187536243"/>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ont>
        <b/>
        <i/>
      </font>
      <fill>
        <patternFill patternType="gray0625"/>
      </fill>
    </dxf>
    <dxf>
      <font>
        <b/>
        <i/>
      </font>
      <fill>
        <patternFill patternType="gray125"/>
      </fill>
    </dxf>
    <dxf>
      <font>
        <b/>
        <i/>
      </font>
      <fill>
        <patternFill patternType="gray125"/>
      </fill>
    </dxf>
    <dxf>
      <font>
        <b/>
        <i/>
      </font>
      <fill>
        <patternFill patternType="gray0625"/>
      </fill>
    </dxf>
    <dxf>
      <font>
        <b/>
      </font>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ont>
        <b/>
        <i/>
      </font>
      <fill>
        <patternFill patternType="gray0625"/>
      </fill>
    </dxf>
    <dxf>
      <font>
        <b/>
        <i/>
      </font>
      <fill>
        <patternFill patternType="gray0625"/>
      </fill>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ont>
        <b/>
        <i val="0"/>
      </font>
    </dxf>
    <dxf>
      <fill>
        <patternFill>
          <bgColor theme="6" tint="0.799920651875362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ill>
        <patternFill>
          <bgColor rgb="FFFFFFBA"/>
        </patternFill>
      </fill>
    </dxf>
    <dxf>
      <fill>
        <patternFill>
          <bgColor theme="6" tint="0.79992065187536243"/>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theme="6" tint="0.79992065187536243"/>
        </patternFill>
      </fill>
    </dxf>
    <dxf>
      <fill>
        <patternFill>
          <bgColor rgb="FFFFFFBA"/>
        </patternFill>
      </fill>
    </dxf>
    <dxf>
      <font>
        <b/>
      </font>
    </dxf>
    <dxf>
      <fill>
        <patternFill>
          <bgColor theme="9" tint="0.39994506668294322"/>
        </patternFill>
      </fill>
    </dxf>
    <dxf>
      <fill>
        <patternFill>
          <bgColor theme="6" tint="0.79992065187536243"/>
        </patternFill>
      </fill>
    </dxf>
    <dxf>
      <font>
        <b/>
      </font>
    </dxf>
    <dxf>
      <fill>
        <patternFill>
          <bgColor rgb="FFFFFFBA"/>
        </patternFill>
      </fill>
    </dxf>
    <dxf>
      <font>
        <b/>
      </font>
    </dxf>
    <dxf>
      <fill>
        <patternFill>
          <bgColor theme="6" tint="0.79998168889431442"/>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00000000-0008-0000-0300-00000204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F2ABC046-3547-9390-8110-2C1ED17FE39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3" name="AutoShape 2">
          <a:extLst>
            <a:ext uri="{FF2B5EF4-FFF2-40B4-BE49-F238E27FC236}">
              <a16:creationId xmlns:a16="http://schemas.microsoft.com/office/drawing/2014/main" id="{B3ED3600-9A72-7A2E-D279-FB6A7B8E306D}"/>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4" name="AutoShape 2">
          <a:extLst>
            <a:ext uri="{FF2B5EF4-FFF2-40B4-BE49-F238E27FC236}">
              <a16:creationId xmlns:a16="http://schemas.microsoft.com/office/drawing/2014/main" id="{335E1344-0016-F7AC-577D-9A5B9731F57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5" name="AutoShape 2">
          <a:extLst>
            <a:ext uri="{FF2B5EF4-FFF2-40B4-BE49-F238E27FC236}">
              <a16:creationId xmlns:a16="http://schemas.microsoft.com/office/drawing/2014/main" id="{154C3AE1-AFC7-B5EB-F6D5-A7763ABF5DD4}"/>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00000000-0008-0000-0500-00001A08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2" name="AutoShape 26">
          <a:extLst>
            <a:ext uri="{FF2B5EF4-FFF2-40B4-BE49-F238E27FC236}">
              <a16:creationId xmlns:a16="http://schemas.microsoft.com/office/drawing/2014/main" id="{0024F735-21E0-4121-B717-94EC49AD7E1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3" name="AutoShape 26">
          <a:extLst>
            <a:ext uri="{FF2B5EF4-FFF2-40B4-BE49-F238E27FC236}">
              <a16:creationId xmlns:a16="http://schemas.microsoft.com/office/drawing/2014/main" id="{C7ED2439-8D13-6B90-CF3C-7EE7333B5DCE}"/>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4" name="AutoShape 26">
          <a:extLst>
            <a:ext uri="{FF2B5EF4-FFF2-40B4-BE49-F238E27FC236}">
              <a16:creationId xmlns:a16="http://schemas.microsoft.com/office/drawing/2014/main" id="{0E025247-8127-3411-098E-7D95DA0E5F03}"/>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5" name="AutoShape 26">
          <a:extLst>
            <a:ext uri="{FF2B5EF4-FFF2-40B4-BE49-F238E27FC236}">
              <a16:creationId xmlns:a16="http://schemas.microsoft.com/office/drawing/2014/main" id="{B5DFB71D-AB1C-DC0E-E2DE-BC70AEE47C11}"/>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00000000-0008-0000-0600-0000210C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28</xdr:row>
      <xdr:rowOff>431800</xdr:rowOff>
    </xdr:to>
    <xdr:sp macro="" textlink="">
      <xdr:nvSpPr>
        <xdr:cNvPr id="2" name="AutoShape 33">
          <a:extLst>
            <a:ext uri="{FF2B5EF4-FFF2-40B4-BE49-F238E27FC236}">
              <a16:creationId xmlns:a16="http://schemas.microsoft.com/office/drawing/2014/main" id="{A8946A51-B997-79FA-8123-ABD74F13547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3" name="AutoShape 33">
          <a:extLst>
            <a:ext uri="{FF2B5EF4-FFF2-40B4-BE49-F238E27FC236}">
              <a16:creationId xmlns:a16="http://schemas.microsoft.com/office/drawing/2014/main" id="{E33490CB-640B-7AEE-C7DE-535CA439729F}"/>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4" name="AutoShape 33">
          <a:extLst>
            <a:ext uri="{FF2B5EF4-FFF2-40B4-BE49-F238E27FC236}">
              <a16:creationId xmlns:a16="http://schemas.microsoft.com/office/drawing/2014/main" id="{F0F0495A-DF4D-D90B-BFCF-FF48EB22C22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50800</xdr:rowOff>
    </xdr:to>
    <xdr:sp macro="" textlink="">
      <xdr:nvSpPr>
        <xdr:cNvPr id="5" name="AutoShape 33">
          <a:extLst>
            <a:ext uri="{FF2B5EF4-FFF2-40B4-BE49-F238E27FC236}">
              <a16:creationId xmlns:a16="http://schemas.microsoft.com/office/drawing/2014/main" id="{A1FE3D30-98A5-5937-305E-816C0A8B486C}"/>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hyperlink" Target="https://doi.org/10.3929/ethz-b-000709311" TargetMode="External"/><Relationship Id="rId3" Type="http://schemas.openxmlformats.org/officeDocument/2006/relationships/hyperlink" Target="https://doi.org/10.1016/j.rser.2021.111880" TargetMode="External"/><Relationship Id="rId7" Type="http://schemas.openxmlformats.org/officeDocument/2006/relationships/hyperlink" Target="https://www.sciencedirect.com/science/article/pii/S1290072903000218" TargetMode="External"/><Relationship Id="rId12" Type="http://schemas.openxmlformats.org/officeDocument/2006/relationships/hyperlink" Target="https://doi.org/10.1016/j.nucengdes.2023.112470"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inldigitallibrary.inl.gov/sites/sti/sti/Sort_129862.pdf" TargetMode="External"/><Relationship Id="rId11" Type="http://schemas.openxmlformats.org/officeDocument/2006/relationships/hyperlink" Target="https://www.osti.gov/biblio/2447366" TargetMode="External"/><Relationship Id="rId5" Type="http://schemas.openxmlformats.org/officeDocument/2006/relationships/hyperlink" Target="https://doi.org/10.1016/j.rser.2021.111880" TargetMode="External"/><Relationship Id="rId10" Type="http://schemas.openxmlformats.org/officeDocument/2006/relationships/hyperlink" Target="https://doi.org/10.1016/j.nucengdes.2023.112470" TargetMode="External"/><Relationship Id="rId4" Type="http://schemas.openxmlformats.org/officeDocument/2006/relationships/hyperlink" Target="https://doi.org/10.1016/j.rser.2021.111880" TargetMode="External"/><Relationship Id="rId9" Type="http://schemas.openxmlformats.org/officeDocument/2006/relationships/hyperlink" Target="https://www.osti.gov/servlets/purl/5084245"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AH197"/>
  <sheetViews>
    <sheetView tabSelected="1" topLeftCell="G12" zoomScale="125" workbookViewId="0">
      <selection activeCell="S17" sqref="S17"/>
    </sheetView>
  </sheetViews>
  <sheetFormatPr baseColWidth="10" defaultColWidth="10.6640625" defaultRowHeight="14" ns3: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5.33203125"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19.832031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0" width="6.6640625" style="35" customWidth="1"/>
    <col min="31" max="31" width="21.5" style="35" customWidth="1"/>
    <col min="32" max="32" width="12.33203125" style="35" customWidth="1"/>
    <col min="33" max="33" width="15.33203125" style="3" customWidth="1"/>
    <col min="34" max="34" width="10.6640625" style="3" customWidth="1"/>
    <col min="35" max="16384" width="10.6640625" style="3"/>
  </cols>
  <sheetData>
    <row r="1" spans="1:33" s="79" customFormat="1" ht="94.25" customHeight="1" ns3: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6.75" customHeight="1" ns3:dyDescent="0.2">
      <c r="A2" s="37">
        <v>10</v>
      </c>
      <c r="B2" s="38">
        <f>IF(ISNUMBER(A2),
    IF(AND(A2=INT(A2), MOD(A2, 10) = 0), 0,
        IF(AND(A2=INT(A2), LEN(A2)=2), 1,
            IF(AND(A2=INT(A2), LEN(A2)=3), 2,
                LEN(A2) - FIND(".", A2) + 2)
        )
    ),
"")</f>
        <v>0</v>
      </c>
      <c r="C2" s="39" t="s">
        <v>33</v>
      </c>
      <c r="D2" s="39" t="str">
        <f t="shared" ref="D2:D37"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45" customHeight="1" ns3: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15" t="s">
        <v>41</v>
      </c>
      <c r="U3" s="225"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6.75" customHeight="1" ns3: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17"/>
      <c r="U4" s="217"/>
      <c r="V4" s="49"/>
      <c r="W4" s="74" t="s">
        <v>43</v>
      </c>
      <c r="X4" s="77">
        <f>0.9*$J4</f>
        <v>0</v>
      </c>
      <c r="Y4" s="77">
        <f>1.5*J4</f>
        <v>0</v>
      </c>
      <c r="Z4" s="74" t="s">
        <v>44</v>
      </c>
      <c r="AA4" s="76">
        <f>0.9*K4</f>
        <v>9027</v>
      </c>
      <c r="AB4" s="76">
        <f>1.3*K4</f>
        <v>13039</v>
      </c>
      <c r="AC4" s="74" t="s">
        <v>44</v>
      </c>
      <c r="AD4" s="76" t="s">
        <v>45</v>
      </c>
      <c r="AE4" s="76" t="s">
        <v>46</v>
      </c>
      <c r="AF4" s="76" t="s">
        <v>47</v>
      </c>
      <c r="AG4" s="74" t="s">
        <v>48</v>
      </c>
    </row>
    <row r="5" spans="1:33" ht="113.75" customHeight="1" ns3: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57</v>
      </c>
      <c r="U5" s="225" t="s">
        <v>58</v>
      </c>
      <c r="V5" s="49"/>
      <c r="W5" s="74" t="s">
        <v>59</v>
      </c>
      <c r="X5" s="77">
        <f>154*108000</f>
        <v>16632000</v>
      </c>
      <c r="Y5" s="77">
        <f>154*257104</f>
        <v>39594016</v>
      </c>
      <c r="Z5" s="74" t="s">
        <v>60</v>
      </c>
      <c r="AA5" s="76">
        <f>0.9*K5</f>
        <v>0</v>
      </c>
      <c r="AB5" s="76">
        <f>1.3*K5</f>
        <v>0</v>
      </c>
      <c r="AC5" s="74" t="s">
        <v>44</v>
      </c>
      <c r="AD5" s="76" t="s">
        <v>45</v>
      </c>
      <c r="AE5" s="76" t="s">
        <v>46</v>
      </c>
      <c r="AF5" s="76" t="s">
        <v>47</v>
      </c>
      <c r="AG5" s="74" t="s">
        <v>48</v>
      </c>
    </row>
    <row r="6" spans="1:33" ht="26.75" customHeight="1" ns3: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217"/>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42.75" customHeight="1" ns3: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6.75" customHeight="1" ns3: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6.75" customHeight="1" ns3: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6.75" customHeight="1" ns3: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6.75" customHeight="1" ns3: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215" t="s">
        <v>74</v>
      </c>
      <c r="T11" s="215" t="s">
        <v>75</v>
      </c>
      <c r="U11" s="222"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6.75" customHeight="1" ns3: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216"/>
      <c r="T12" s="216"/>
      <c r="U12" s="216"/>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47.75" customHeight="1" ns3:dyDescent="0.2">
      <c r="A13" s="53">
        <v>211.3</v>
      </c>
      <c r="B13" s="38">
        <f t="shared" ref="B13:B48"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217"/>
      <c r="T13" s="217"/>
      <c r="U13" s="217"/>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s="213" customFormat="1" ht="43" ns3:dyDescent="0.2">
      <c r="A14" s="207">
        <v>211.4</v>
      </c>
      <c r="B14" s="38">
        <f t="shared" ref="B14:B17" si="2">IF(ISNUMBER(A14),
    IF(AND(A14=INT(A14), MOD(A14, 10) = 0), 0,
        IF(AND(A14=INT(A14), LEN(A14)=2), 1,
            IF(AND(A14=INT(A14), LEN(A14)=3), 2,
                LEN(A14) - FIND(".", A14) + 2)
        )
    ),
"")</f>
        <v>3</v>
      </c>
      <c r="C14" s="208" t="s">
        <v>613</v>
      </c>
      <c r="D14" s="209" t="str">
        <f t="shared" si="0"/>
        <v xml:space="preserve">                  Roads</v>
      </c>
      <c r="E14" s="210" t="s">
        <v>35</v>
      </c>
      <c r="F14" s="210"/>
      <c r="G14" s="210"/>
      <c r="H14" s="210"/>
      <c r="I14" s="210"/>
      <c r="J14" s="43"/>
      <c r="K14" s="44">
        <f>0.7*7873200*1.609/1000</f>
        <v>8867.5851600000005</v>
      </c>
      <c r="L14" s="45" t="s">
        <v>614</v>
      </c>
      <c r="M14" s="45" t="s">
        <v>817</v>
      </c>
      <c r="N14" s="46"/>
      <c r="O14" s="45" t="s">
        <v>818</v>
      </c>
      <c r="P14" s="46"/>
      <c r="Q14" s="65">
        <v>2025</v>
      </c>
      <c r="R14" s="211" t="s">
        <v>39</v>
      </c>
      <c r="S14" s="130" t="s">
        <v>616</v>
      </c>
      <c r="T14" s="47"/>
      <c r="U14" s="212"/>
      <c r="V14" s="49"/>
      <c r="W14" s="74" t="s">
        <v>77</v>
      </c>
      <c r="X14" s="77">
        <f t="shared" ref="X14:X17" si="3">0.9*$J14</f>
        <v>0</v>
      </c>
      <c r="Y14" s="77">
        <f t="shared" ref="Y14" si="4">1.5*J14</f>
        <v>0</v>
      </c>
      <c r="Z14" s="74" t="s">
        <v>44</v>
      </c>
      <c r="AA14" s="76">
        <f t="shared" ref="AA14" si="5">0.9*K14</f>
        <v>7980.8266440000007</v>
      </c>
      <c r="AB14" s="76">
        <f t="shared" ref="AB14" si="6">1.3*K14</f>
        <v>11527.860708000002</v>
      </c>
      <c r="AC14" s="74" t="s">
        <v>44</v>
      </c>
      <c r="AD14" s="76" t="s">
        <v>45</v>
      </c>
      <c r="AE14" s="76" t="s">
        <v>46</v>
      </c>
      <c r="AF14" s="76" t="s">
        <v>47</v>
      </c>
      <c r="AG14" s="74" t="s">
        <v>48</v>
      </c>
    </row>
    <row r="15" spans="1:33" s="213" customFormat="1" ht="15" ns3:dyDescent="0.2">
      <c r="A15" s="207">
        <v>211.9</v>
      </c>
      <c r="B15" s="38">
        <f t="shared" si="2"/>
        <v>3</v>
      </c>
      <c r="C15" s="214" t="s">
        <v>617</v>
      </c>
      <c r="D15" s="210" t="str">
        <f t="shared" si="0"/>
        <v xml:space="preserve">                  Security Fencing</v>
      </c>
      <c r="E15" s="210"/>
      <c r="F15" s="210"/>
      <c r="G15" s="210"/>
      <c r="H15" s="210"/>
      <c r="I15" s="210"/>
      <c r="J15" s="43"/>
      <c r="K15" s="44"/>
      <c r="L15" s="45"/>
      <c r="M15" s="45"/>
      <c r="N15" s="46"/>
      <c r="O15" s="45"/>
      <c r="P15" s="46"/>
      <c r="Q15" s="65"/>
      <c r="R15" s="211"/>
      <c r="S15" s="47"/>
      <c r="T15" s="47"/>
      <c r="U15" s="212"/>
      <c r="V15" s="49"/>
      <c r="W15" s="74"/>
      <c r="X15" s="77"/>
      <c r="Y15" s="77"/>
      <c r="Z15" s="74"/>
      <c r="AA15" s="76"/>
      <c r="AB15" s="76"/>
      <c r="AC15" s="74"/>
      <c r="AD15" s="76"/>
      <c r="AE15" s="76"/>
      <c r="AF15" s="76"/>
      <c r="AG15" s="74"/>
    </row>
    <row r="16" spans="1:33" s="213" customFormat="1" ht="43" ns3:dyDescent="0.2">
      <c r="A16" s="207">
        <v>211.91</v>
      </c>
      <c r="B16" s="38">
        <f t="shared" si="2"/>
        <v>4</v>
      </c>
      <c r="C16" s="214" t="s">
        <v>618</v>
      </c>
      <c r="D16" s="210" t="str">
        <f t="shared" si="0"/>
        <v xml:space="preserve">                        Security Fencing Limited</v>
      </c>
      <c r="E16" s="210" t="s">
        <v>35</v>
      </c>
      <c r="F16" s="210"/>
      <c r="G16" s="210"/>
      <c r="H16" s="210"/>
      <c r="I16" s="210"/>
      <c r="J16" s="43"/>
      <c r="K16" s="44">
        <f>0.47*273*3.2808</f>
        <v>420.95944800000001</v>
      </c>
      <c r="L16" s="45" t="s">
        <v>614</v>
      </c>
      <c r="M16" s="45" t="s">
        <v>819</v>
      </c>
      <c r="N16" s="46"/>
      <c r="O16" s="45" t="s">
        <v>818</v>
      </c>
      <c r="P16" s="46"/>
      <c r="Q16" s="65">
        <v>2025</v>
      </c>
      <c r="R16" s="211" t="s">
        <v>39</v>
      </c>
      <c r="S16" s="130" t="s">
        <v>616</v>
      </c>
      <c r="T16" s="47"/>
      <c r="U16" s="212"/>
      <c r="V16" s="49"/>
      <c r="W16" s="74" t="s">
        <v>77</v>
      </c>
      <c r="X16" s="77">
        <f t="shared" si="3"/>
        <v>0</v>
      </c>
      <c r="Y16" s="77">
        <f t="shared" ref="Y16:Y17" si="7">1.5*J16</f>
        <v>0</v>
      </c>
      <c r="Z16" s="74" t="s">
        <v>44</v>
      </c>
      <c r="AA16" s="76">
        <f t="shared" ref="AA16:AA17" si="8">0.9*K16</f>
        <v>378.86350320000003</v>
      </c>
      <c r="AB16" s="76">
        <f t="shared" ref="AB16:AB17" si="9">1.3*K16</f>
        <v>547.24728240000002</v>
      </c>
      <c r="AC16" s="74" t="s">
        <v>44</v>
      </c>
      <c r="AD16" s="76" t="s">
        <v>45</v>
      </c>
      <c r="AE16" s="76" t="s">
        <v>46</v>
      </c>
      <c r="AF16" s="76" t="s">
        <v>47</v>
      </c>
      <c r="AG16" s="74" t="s">
        <v>48</v>
      </c>
    </row>
    <row r="17" spans="1:33" s="213" customFormat="1" ht="43" ns3:dyDescent="0.2">
      <c r="A17" s="207">
        <v>211.92</v>
      </c>
      <c r="B17" s="38">
        <f t="shared" si="2"/>
        <v>4</v>
      </c>
      <c r="C17" s="214" t="s">
        <v>621</v>
      </c>
      <c r="D17" s="210" t="str">
        <f t="shared" si="0"/>
        <v xml:space="preserve">                        Security Fencing Protected</v>
      </c>
      <c r="E17" s="210" t="s">
        <v>35</v>
      </c>
      <c r="F17" s="210"/>
      <c r="G17" s="210"/>
      <c r="H17" s="210"/>
      <c r="I17" s="210"/>
      <c r="J17" s="43"/>
      <c r="K17" s="44">
        <f>0.7*15746*3.2808</f>
        <v>36161.633759999997</v>
      </c>
      <c r="L17" s="45" t="s">
        <v>614</v>
      </c>
      <c r="M17" s="45" t="s">
        <v>820</v>
      </c>
      <c r="N17" s="46"/>
      <c r="O17" s="45" t="s">
        <v>818</v>
      </c>
      <c r="P17" s="46"/>
      <c r="Q17" s="65">
        <v>2025</v>
      </c>
      <c r="R17" s="211" t="s">
        <v>39</v>
      </c>
      <c r="S17" s="130" t="s">
        <v>616</v>
      </c>
      <c r="T17" s="47"/>
      <c r="U17" s="212"/>
      <c r="V17" s="49"/>
      <c r="W17" s="74" t="s">
        <v>77</v>
      </c>
      <c r="X17" s="77">
        <f t="shared" si="3"/>
        <v>0</v>
      </c>
      <c r="Y17" s="77">
        <f t="shared" si="7"/>
        <v>0</v>
      </c>
      <c r="Z17" s="74" t="s">
        <v>44</v>
      </c>
      <c r="AA17" s="76">
        <f t="shared" si="8"/>
        <v>32545.470383999997</v>
      </c>
      <c r="AB17" s="76">
        <f t="shared" si="9"/>
        <v>47010.123887999995</v>
      </c>
      <c r="AC17" s="74" t="s">
        <v>44</v>
      </c>
      <c r="AD17" s="76" t="s">
        <v>45</v>
      </c>
      <c r="AE17" s="76" t="s">
        <v>46</v>
      </c>
      <c r="AF17" s="76" t="s">
        <v>47</v>
      </c>
      <c r="AG17" s="74" t="s">
        <v>48</v>
      </c>
    </row>
    <row r="18" spans="1:33" ht="26.75" customHeight="1" ns3:dyDescent="0.2">
      <c r="A18" s="53">
        <v>212</v>
      </c>
      <c r="B18" s="38">
        <f t="shared" si="1"/>
        <v>2</v>
      </c>
      <c r="C18" s="42" t="s">
        <v>83</v>
      </c>
      <c r="D18" s="39" t="str">
        <f t="shared" si="0"/>
        <v xml:space="preserve">            Reactor Island Civil Structures</v>
      </c>
      <c r="E18" s="39"/>
      <c r="F18" s="39"/>
      <c r="G18" s="39"/>
      <c r="H18" s="39"/>
      <c r="I18" s="39"/>
      <c r="J18" s="43"/>
      <c r="K18" s="44"/>
      <c r="L18" s="46"/>
      <c r="M18" s="46"/>
      <c r="N18" s="46"/>
      <c r="O18" s="46"/>
      <c r="P18" s="46"/>
      <c r="Q18" s="65"/>
      <c r="R18" s="46"/>
      <c r="S18" s="47"/>
      <c r="T18" s="45"/>
      <c r="U18" s="49"/>
      <c r="V18" s="49"/>
      <c r="W18" s="74"/>
      <c r="X18" s="77"/>
      <c r="Y18" s="77"/>
      <c r="Z18" s="74"/>
      <c r="AA18" s="76"/>
      <c r="AB18" s="76"/>
      <c r="AC18" s="74"/>
      <c r="AD18" s="76"/>
      <c r="AE18" s="76"/>
      <c r="AF18" s="76"/>
      <c r="AG18" s="74"/>
    </row>
    <row r="19" spans="1:33" ht="51.75" customHeight="1" ns3:dyDescent="0.2">
      <c r="A19" s="53">
        <v>212.1</v>
      </c>
      <c r="B19" s="38">
        <f t="shared" si="1"/>
        <v>3</v>
      </c>
      <c r="C19" s="42" t="s">
        <v>84</v>
      </c>
      <c r="D19" s="39" t="str">
        <f t="shared" si="0"/>
        <v xml:space="preserve">                  Reactor Building Slab Roof</v>
      </c>
      <c r="E19" s="39" t="s">
        <v>35</v>
      </c>
      <c r="F19" s="47"/>
      <c r="G19" s="39"/>
      <c r="H19" s="39"/>
      <c r="I19" s="39"/>
      <c r="J19" s="43"/>
      <c r="K19" s="44">
        <f>1200 *1.53</f>
        <v>1836</v>
      </c>
      <c r="L19" s="45" t="s">
        <v>80</v>
      </c>
      <c r="M19" s="47" t="s">
        <v>85</v>
      </c>
      <c r="N19" s="46"/>
      <c r="O19" s="45" t="s">
        <v>82</v>
      </c>
      <c r="P19" s="46"/>
      <c r="Q19" s="65">
        <v>2024</v>
      </c>
      <c r="R19" s="45" t="s">
        <v>86</v>
      </c>
      <c r="S19" s="215" t="s">
        <v>74</v>
      </c>
      <c r="T19" s="215" t="s">
        <v>75</v>
      </c>
      <c r="U19" s="222" t="s">
        <v>76</v>
      </c>
      <c r="V19" s="49"/>
      <c r="W19" s="74" t="s">
        <v>77</v>
      </c>
      <c r="X19" s="77">
        <f>0.9*$J19</f>
        <v>0</v>
      </c>
      <c r="Y19" s="77">
        <f>1.5*J19</f>
        <v>0</v>
      </c>
      <c r="Z19" s="74" t="s">
        <v>44</v>
      </c>
      <c r="AA19" s="76">
        <f>0.9*K19</f>
        <v>1652.4</v>
      </c>
      <c r="AB19" s="76">
        <f>1.3*K19</f>
        <v>2386.8000000000002</v>
      </c>
      <c r="AC19" s="74" t="s">
        <v>44</v>
      </c>
      <c r="AD19" s="76" t="s">
        <v>45</v>
      </c>
      <c r="AE19" s="76" t="s">
        <v>46</v>
      </c>
      <c r="AF19" s="76" t="s">
        <v>47</v>
      </c>
      <c r="AG19" s="74" t="s">
        <v>48</v>
      </c>
    </row>
    <row r="20" spans="1:33" ht="51.75" customHeight="1" ns3:dyDescent="0.2">
      <c r="A20" s="53">
        <v>212.2</v>
      </c>
      <c r="B20" s="38">
        <f t="shared" si="1"/>
        <v>3</v>
      </c>
      <c r="C20" s="42" t="s">
        <v>87</v>
      </c>
      <c r="D20" s="39" t="str">
        <f t="shared" si="0"/>
        <v xml:space="preserve">                  Reactor Building Basement</v>
      </c>
      <c r="E20" s="39" t="s">
        <v>35</v>
      </c>
      <c r="F20" s="39"/>
      <c r="G20" s="39"/>
      <c r="H20" s="39"/>
      <c r="I20" s="39"/>
      <c r="J20" s="43"/>
      <c r="K20" s="44">
        <f>943.9*1.53</f>
        <v>1444.1669999999999</v>
      </c>
      <c r="L20" s="45" t="s">
        <v>80</v>
      </c>
      <c r="M20" s="47" t="s">
        <v>88</v>
      </c>
      <c r="N20" s="46"/>
      <c r="O20" s="45" t="s">
        <v>82</v>
      </c>
      <c r="P20" s="46"/>
      <c r="Q20" s="65">
        <v>2024</v>
      </c>
      <c r="R20" s="45" t="s">
        <v>86</v>
      </c>
      <c r="S20" s="216"/>
      <c r="T20" s="216"/>
      <c r="U20" s="216"/>
      <c r="V20" s="49"/>
      <c r="W20" s="74" t="s">
        <v>77</v>
      </c>
      <c r="X20" s="77">
        <f>0.9*$J20</f>
        <v>0</v>
      </c>
      <c r="Y20" s="77">
        <f>1.5*J20</f>
        <v>0</v>
      </c>
      <c r="Z20" s="74" t="s">
        <v>44</v>
      </c>
      <c r="AA20" s="76">
        <f>0.9*K20</f>
        <v>1299.7502999999999</v>
      </c>
      <c r="AB20" s="76">
        <f>1.3*K20</f>
        <v>1877.4170999999999</v>
      </c>
      <c r="AC20" s="74" t="s">
        <v>44</v>
      </c>
      <c r="AD20" s="76" t="s">
        <v>45</v>
      </c>
      <c r="AE20" s="76" t="s">
        <v>46</v>
      </c>
      <c r="AF20" s="76" t="s">
        <v>47</v>
      </c>
      <c r="AG20" s="74" t="s">
        <v>48</v>
      </c>
    </row>
    <row r="21" spans="1:33" ht="76.25" customHeight="1" ns3:dyDescent="0.2">
      <c r="A21" s="53">
        <v>212.3</v>
      </c>
      <c r="B21" s="38">
        <f t="shared" si="1"/>
        <v>3</v>
      </c>
      <c r="C21" s="42" t="s">
        <v>89</v>
      </c>
      <c r="D21" s="39" t="str">
        <f t="shared" si="0"/>
        <v xml:space="preserve">                  Reactor Building Walls</v>
      </c>
      <c r="E21" s="39" t="s">
        <v>35</v>
      </c>
      <c r="F21" s="39"/>
      <c r="G21" s="39"/>
      <c r="H21" s="39"/>
      <c r="I21" s="39"/>
      <c r="J21" s="43"/>
      <c r="K21" s="44">
        <f>721.21*1.53</f>
        <v>1103.4513000000002</v>
      </c>
      <c r="L21" s="45" t="s">
        <v>80</v>
      </c>
      <c r="M21" s="47" t="s">
        <v>90</v>
      </c>
      <c r="N21" s="46"/>
      <c r="O21" s="45" t="s">
        <v>82</v>
      </c>
      <c r="P21" s="46"/>
      <c r="Q21" s="65">
        <v>2024</v>
      </c>
      <c r="R21" s="45" t="s">
        <v>86</v>
      </c>
      <c r="S21" s="217"/>
      <c r="T21" s="217"/>
      <c r="U21" s="217"/>
      <c r="V21" s="49"/>
      <c r="W21" s="74" t="s">
        <v>77</v>
      </c>
      <c r="X21" s="77">
        <f>0.9*$J21</f>
        <v>0</v>
      </c>
      <c r="Y21" s="77">
        <f>1.5*J21</f>
        <v>0</v>
      </c>
      <c r="Z21" s="74" t="s">
        <v>44</v>
      </c>
      <c r="AA21" s="76">
        <f>0.9*K21</f>
        <v>993.10617000000013</v>
      </c>
      <c r="AB21" s="76">
        <f>1.3*K21</f>
        <v>1434.4866900000002</v>
      </c>
      <c r="AC21" s="74" t="s">
        <v>44</v>
      </c>
      <c r="AD21" s="76" t="s">
        <v>45</v>
      </c>
      <c r="AE21" s="76" t="s">
        <v>46</v>
      </c>
      <c r="AF21" s="76" t="s">
        <v>47</v>
      </c>
      <c r="AG21" s="74" t="s">
        <v>48</v>
      </c>
    </row>
    <row r="22" spans="1:33" ht="101.25" customHeight="1" ns3:dyDescent="0.2">
      <c r="A22" s="53">
        <v>212.4</v>
      </c>
      <c r="B22" s="38">
        <f t="shared" si="1"/>
        <v>3</v>
      </c>
      <c r="C22" s="42" t="s">
        <v>91</v>
      </c>
      <c r="D22" s="39" t="str">
        <f t="shared" si="0"/>
        <v xml:space="preserve">                  Reactor Building Liner</v>
      </c>
      <c r="E22" s="39" t="s">
        <v>35</v>
      </c>
      <c r="F22" s="39"/>
      <c r="G22" s="39"/>
      <c r="H22" s="39"/>
      <c r="I22" s="39"/>
      <c r="J22" s="43"/>
      <c r="K22" s="44">
        <f>60848829/9373</f>
        <v>6491.9267043635973</v>
      </c>
      <c r="L22" s="45" t="s">
        <v>92</v>
      </c>
      <c r="M22" s="47" t="s">
        <v>93</v>
      </c>
      <c r="N22" s="46">
        <v>9373</v>
      </c>
      <c r="O22" s="45" t="s">
        <v>94</v>
      </c>
      <c r="P22" s="46">
        <v>1</v>
      </c>
      <c r="Q22" s="65">
        <v>2018</v>
      </c>
      <c r="R22" s="45" t="s">
        <v>86</v>
      </c>
      <c r="S22" s="47" t="s">
        <v>95</v>
      </c>
      <c r="T22" s="47" t="s">
        <v>95</v>
      </c>
      <c r="U22" s="81" t="s">
        <v>96</v>
      </c>
      <c r="V22" s="49"/>
      <c r="W22" s="74" t="s">
        <v>77</v>
      </c>
      <c r="X22" s="77">
        <f>0.9*$J22</f>
        <v>0</v>
      </c>
      <c r="Y22" s="77">
        <f>1.5*J22</f>
        <v>0</v>
      </c>
      <c r="Z22" s="74" t="s">
        <v>44</v>
      </c>
      <c r="AA22" s="76">
        <f>0.9*K22</f>
        <v>5842.7340339272378</v>
      </c>
      <c r="AB22" s="76">
        <f>1.3*K22</f>
        <v>8439.504715672676</v>
      </c>
      <c r="AC22" s="74" t="s">
        <v>44</v>
      </c>
      <c r="AD22" s="76" t="s">
        <v>45</v>
      </c>
      <c r="AE22" s="76" t="s">
        <v>46</v>
      </c>
      <c r="AF22" s="76" t="s">
        <v>47</v>
      </c>
      <c r="AG22" s="74" t="s">
        <v>48</v>
      </c>
    </row>
    <row r="23" spans="1:33" ht="101.25" customHeight="1" ns3:dyDescent="0.2">
      <c r="A23" s="53">
        <v>212.5</v>
      </c>
      <c r="B23" s="38">
        <f t="shared" si="1"/>
        <v>3</v>
      </c>
      <c r="C23" s="42" t="s">
        <v>97</v>
      </c>
      <c r="D23" s="39" t="str">
        <f t="shared" si="0"/>
        <v xml:space="preserve">                  Reactor Building HVAC</v>
      </c>
      <c r="E23" s="39" t="s">
        <v>35</v>
      </c>
      <c r="F23" s="39"/>
      <c r="G23" s="39"/>
      <c r="H23" s="39"/>
      <c r="I23" s="39"/>
      <c r="J23" s="43"/>
      <c r="K23" s="44">
        <f>5917967/N23</f>
        <v>1731.9189347380743</v>
      </c>
      <c r="L23" s="45" t="s">
        <v>98</v>
      </c>
      <c r="M23" s="47" t="s">
        <v>99</v>
      </c>
      <c r="N23" s="46">
        <v>3417</v>
      </c>
      <c r="O23" s="45" t="s">
        <v>100</v>
      </c>
      <c r="P23" s="46">
        <v>0.8</v>
      </c>
      <c r="Q23" s="65">
        <v>2018</v>
      </c>
      <c r="R23" s="45" t="s">
        <v>86</v>
      </c>
      <c r="S23" s="47" t="s">
        <v>95</v>
      </c>
      <c r="T23" s="47" t="s">
        <v>95</v>
      </c>
      <c r="U23" s="81" t="s">
        <v>96</v>
      </c>
      <c r="V23" s="49"/>
      <c r="W23" s="74" t="s">
        <v>77</v>
      </c>
      <c r="X23" s="77">
        <f>0.9*$J23</f>
        <v>0</v>
      </c>
      <c r="Y23" s="77">
        <f>1.5*J23</f>
        <v>0</v>
      </c>
      <c r="Z23" s="74" t="s">
        <v>44</v>
      </c>
      <c r="AA23" s="76">
        <f>0.9*K23</f>
        <v>1558.727041264267</v>
      </c>
      <c r="AB23" s="76">
        <f>1.3*K23</f>
        <v>2251.4946151594968</v>
      </c>
      <c r="AC23" s="74" t="s">
        <v>44</v>
      </c>
      <c r="AD23" s="76" t="s">
        <v>45</v>
      </c>
      <c r="AE23" s="76" t="s">
        <v>46</v>
      </c>
      <c r="AF23" s="76" t="s">
        <v>47</v>
      </c>
      <c r="AG23" s="74" t="s">
        <v>48</v>
      </c>
    </row>
    <row r="24" spans="1:33" ht="26.75" customHeight="1" ns3:dyDescent="0.2">
      <c r="A24" s="53">
        <v>213</v>
      </c>
      <c r="B24" s="38">
        <f t="shared" si="1"/>
        <v>2</v>
      </c>
      <c r="C24" s="42" t="s">
        <v>101</v>
      </c>
      <c r="D24" s="39" t="str">
        <f t="shared" si="0"/>
        <v xml:space="preserve">            Main Function Buildings</v>
      </c>
      <c r="E24" s="39"/>
      <c r="F24" s="39"/>
      <c r="G24" s="39"/>
      <c r="H24" s="39"/>
      <c r="I24" s="39"/>
      <c r="J24" s="43"/>
      <c r="K24" s="44"/>
      <c r="L24" s="46"/>
      <c r="M24" s="52"/>
      <c r="N24" s="46"/>
      <c r="O24" s="46"/>
      <c r="P24" s="46"/>
      <c r="Q24" s="43"/>
      <c r="R24" s="46"/>
      <c r="S24" s="52"/>
      <c r="T24" s="47"/>
      <c r="U24" s="48"/>
      <c r="V24" s="49"/>
      <c r="W24" s="74"/>
      <c r="X24" s="77"/>
      <c r="Y24" s="77"/>
      <c r="Z24" s="74"/>
      <c r="AA24" s="76"/>
      <c r="AB24" s="76"/>
      <c r="AC24" s="74"/>
      <c r="AD24" s="76"/>
      <c r="AE24" s="76"/>
      <c r="AF24" s="76"/>
      <c r="AG24" s="74"/>
    </row>
    <row r="25" spans="1:33" ht="26.75" customHeight="1" ns3:dyDescent="0.2">
      <c r="A25" s="53">
        <v>213.1</v>
      </c>
      <c r="B25" s="38">
        <f t="shared" si="1"/>
        <v>3</v>
      </c>
      <c r="C25" s="42" t="s">
        <v>102</v>
      </c>
      <c r="D25" s="39" t="str">
        <f t="shared" si="0"/>
        <v xml:space="preserve">                  Energy conversion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51.75" customHeight="1" ns3:dyDescent="0.2">
      <c r="A26" s="53">
        <v>213.11</v>
      </c>
      <c r="B26" s="38">
        <f t="shared" si="1"/>
        <v>4</v>
      </c>
      <c r="C26" s="42" t="s">
        <v>103</v>
      </c>
      <c r="D26" s="39" t="str">
        <f t="shared" si="0"/>
        <v xml:space="preserve">                        Energy Conversion Building Slab Roof</v>
      </c>
      <c r="E26" s="39" t="s">
        <v>35</v>
      </c>
      <c r="F26" s="39"/>
      <c r="G26" s="39"/>
      <c r="H26" s="39"/>
      <c r="I26" s="39"/>
      <c r="J26" s="43"/>
      <c r="K26" s="44">
        <f>1200</f>
        <v>1200</v>
      </c>
      <c r="L26" s="45" t="s">
        <v>80</v>
      </c>
      <c r="M26" s="47" t="s">
        <v>104</v>
      </c>
      <c r="N26" s="46"/>
      <c r="O26" s="45" t="s">
        <v>82</v>
      </c>
      <c r="P26" s="46"/>
      <c r="Q26" s="65">
        <v>2024</v>
      </c>
      <c r="R26" s="45" t="s">
        <v>86</v>
      </c>
      <c r="S26" s="215" t="s">
        <v>105</v>
      </c>
      <c r="T26" s="215" t="s">
        <v>75</v>
      </c>
      <c r="U26" s="222"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51.75" customHeight="1" ns3:dyDescent="0.2">
      <c r="A27" s="53">
        <v>213.12</v>
      </c>
      <c r="B27" s="38">
        <f t="shared" si="1"/>
        <v>4</v>
      </c>
      <c r="C27" s="42" t="s">
        <v>106</v>
      </c>
      <c r="D27" s="39" t="str">
        <f t="shared" si="0"/>
        <v xml:space="preserve">                        Energy Conversion Building Basement</v>
      </c>
      <c r="E27" s="39" t="s">
        <v>35</v>
      </c>
      <c r="F27" s="39"/>
      <c r="G27" s="39"/>
      <c r="H27" s="39"/>
      <c r="I27" s="39"/>
      <c r="J27" s="43"/>
      <c r="K27" s="44">
        <f>943.9</f>
        <v>943.9</v>
      </c>
      <c r="L27" s="45" t="s">
        <v>80</v>
      </c>
      <c r="M27" s="47" t="s">
        <v>107</v>
      </c>
      <c r="N27" s="46"/>
      <c r="O27" s="45" t="s">
        <v>82</v>
      </c>
      <c r="P27" s="46"/>
      <c r="Q27" s="65">
        <v>2024</v>
      </c>
      <c r="R27" s="45" t="s">
        <v>86</v>
      </c>
      <c r="S27" s="216"/>
      <c r="T27" s="216"/>
      <c r="U27" s="216"/>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76.25" customHeight="1" ns3:dyDescent="0.2">
      <c r="A28" s="53">
        <v>213.13</v>
      </c>
      <c r="B28" s="38">
        <f t="shared" si="1"/>
        <v>4</v>
      </c>
      <c r="C28" s="42" t="s">
        <v>108</v>
      </c>
      <c r="D28" s="39" t="str">
        <f t="shared" si="0"/>
        <v xml:space="preserve">                        Energy Conversion Building Walls</v>
      </c>
      <c r="E28" s="39" t="s">
        <v>35</v>
      </c>
      <c r="F28" s="39"/>
      <c r="G28" s="39"/>
      <c r="H28" s="39"/>
      <c r="I28" s="39"/>
      <c r="J28" s="43"/>
      <c r="K28" s="44">
        <f>721.21</f>
        <v>721.21</v>
      </c>
      <c r="L28" s="45" t="s">
        <v>80</v>
      </c>
      <c r="M28" s="47" t="s">
        <v>109</v>
      </c>
      <c r="N28" s="46"/>
      <c r="O28" s="45" t="s">
        <v>82</v>
      </c>
      <c r="P28" s="46"/>
      <c r="Q28" s="65">
        <v>2024</v>
      </c>
      <c r="R28" s="45" t="s">
        <v>86</v>
      </c>
      <c r="S28" s="217"/>
      <c r="T28" s="217"/>
      <c r="U28" s="217"/>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6.75" customHeight="1" ns3:dyDescent="0.2">
      <c r="A29" s="53">
        <v>213.2</v>
      </c>
      <c r="B29" s="38">
        <f t="shared" si="1"/>
        <v>3</v>
      </c>
      <c r="C29" s="42" t="s">
        <v>110</v>
      </c>
      <c r="D29" s="39" t="str">
        <f t="shared" si="0"/>
        <v xml:space="preserve">                  Control building</v>
      </c>
      <c r="E29" s="39"/>
      <c r="F29" s="39"/>
      <c r="G29" s="39"/>
      <c r="H29" s="39"/>
      <c r="I29" s="39"/>
      <c r="J29" s="43"/>
      <c r="K29" s="44"/>
      <c r="L29" s="46"/>
      <c r="M29" s="52"/>
      <c r="N29" s="46"/>
      <c r="O29" s="46"/>
      <c r="P29" s="46"/>
      <c r="Q29" s="43"/>
      <c r="R29" s="46"/>
      <c r="S29" s="52"/>
      <c r="T29" s="47"/>
      <c r="U29" s="48"/>
      <c r="V29" s="49"/>
      <c r="W29" s="74"/>
      <c r="X29" s="77"/>
      <c r="Y29" s="77"/>
      <c r="Z29" s="74"/>
      <c r="AA29" s="76"/>
      <c r="AB29" s="76"/>
      <c r="AC29" s="74"/>
      <c r="AD29" s="76"/>
      <c r="AE29" s="76"/>
      <c r="AF29" s="76"/>
      <c r="AG29" s="74"/>
    </row>
    <row r="30" spans="1:33" ht="51.75" customHeight="1" ns3:dyDescent="0.2">
      <c r="A30" s="53">
        <v>213.21</v>
      </c>
      <c r="B30" s="38">
        <f t="shared" si="1"/>
        <v>4</v>
      </c>
      <c r="C30" s="42" t="s">
        <v>111</v>
      </c>
      <c r="D30" s="39" t="str">
        <f t="shared" si="0"/>
        <v xml:space="preserve">                        Control Building Slab Roof</v>
      </c>
      <c r="E30" s="39" t="s">
        <v>35</v>
      </c>
      <c r="F30" s="39"/>
      <c r="G30" s="39"/>
      <c r="H30" s="39"/>
      <c r="I30" s="39"/>
      <c r="J30" s="43"/>
      <c r="K30" s="44">
        <f>1200</f>
        <v>1200</v>
      </c>
      <c r="L30" s="45" t="s">
        <v>80</v>
      </c>
      <c r="M30" s="47" t="s">
        <v>112</v>
      </c>
      <c r="N30" s="46"/>
      <c r="O30" s="45" t="s">
        <v>82</v>
      </c>
      <c r="P30" s="46"/>
      <c r="Q30" s="65">
        <v>2024</v>
      </c>
      <c r="R30" s="45" t="s">
        <v>86</v>
      </c>
      <c r="S30" s="215" t="s">
        <v>105</v>
      </c>
      <c r="T30" s="215" t="s">
        <v>75</v>
      </c>
      <c r="U30" s="222"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51.75" customHeight="1" ns3:dyDescent="0.2">
      <c r="A31" s="53">
        <v>213.22</v>
      </c>
      <c r="B31" s="38">
        <f t="shared" si="1"/>
        <v>4</v>
      </c>
      <c r="C31" s="42" t="s">
        <v>113</v>
      </c>
      <c r="D31" s="39" t="str">
        <f t="shared" si="0"/>
        <v xml:space="preserve">                        Control Building Basement</v>
      </c>
      <c r="E31" s="39" t="s">
        <v>35</v>
      </c>
      <c r="F31" s="39"/>
      <c r="G31" s="39"/>
      <c r="H31" s="39"/>
      <c r="I31" s="39"/>
      <c r="J31" s="43"/>
      <c r="K31" s="44">
        <f>943.9</f>
        <v>943.9</v>
      </c>
      <c r="L31" s="45" t="s">
        <v>80</v>
      </c>
      <c r="M31" s="47" t="s">
        <v>114</v>
      </c>
      <c r="N31" s="46"/>
      <c r="O31" s="45" t="s">
        <v>82</v>
      </c>
      <c r="P31" s="46"/>
      <c r="Q31" s="65">
        <v>2024</v>
      </c>
      <c r="R31" s="45" t="s">
        <v>86</v>
      </c>
      <c r="S31" s="216"/>
      <c r="T31" s="216"/>
      <c r="U31" s="216"/>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76.25" customHeight="1" ns3:dyDescent="0.2">
      <c r="A32" s="53">
        <v>213.23</v>
      </c>
      <c r="B32" s="38">
        <f t="shared" si="1"/>
        <v>4</v>
      </c>
      <c r="C32" s="42" t="s">
        <v>115</v>
      </c>
      <c r="D32" s="39" t="str">
        <f t="shared" si="0"/>
        <v xml:space="preserve">                        Control Building Walls</v>
      </c>
      <c r="E32" s="39" t="s">
        <v>35</v>
      </c>
      <c r="F32" s="39"/>
      <c r="G32" s="39"/>
      <c r="H32" s="39"/>
      <c r="I32" s="39"/>
      <c r="J32" s="43"/>
      <c r="K32" s="44">
        <f>721.21</f>
        <v>721.21</v>
      </c>
      <c r="L32" s="45" t="s">
        <v>80</v>
      </c>
      <c r="M32" s="47" t="s">
        <v>116</v>
      </c>
      <c r="N32" s="46"/>
      <c r="O32" s="45" t="s">
        <v>82</v>
      </c>
      <c r="P32" s="46"/>
      <c r="Q32" s="65">
        <v>2024</v>
      </c>
      <c r="R32" s="45" t="s">
        <v>86</v>
      </c>
      <c r="S32" s="217"/>
      <c r="T32" s="217"/>
      <c r="U32" s="217"/>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26.75" customHeight="1" ns3:dyDescent="0.2">
      <c r="A33" s="53">
        <v>213.3</v>
      </c>
      <c r="B33" s="38">
        <f t="shared" si="1"/>
        <v>3</v>
      </c>
      <c r="C33" s="42" t="s">
        <v>117</v>
      </c>
      <c r="D33" s="39" t="str">
        <f t="shared" si="0"/>
        <v xml:space="preserve">                  Integrated Heat Exchanger Building</v>
      </c>
      <c r="E33" s="39"/>
      <c r="F33" s="39" t="s">
        <v>118</v>
      </c>
      <c r="G33" s="39" t="s">
        <v>119</v>
      </c>
      <c r="H33" s="39"/>
      <c r="I33" s="39"/>
      <c r="J33" s="43"/>
      <c r="K33" s="44"/>
      <c r="L33" s="45"/>
      <c r="M33" s="47"/>
      <c r="N33" s="46"/>
      <c r="O33" s="45"/>
      <c r="P33" s="46"/>
      <c r="Q33" s="65"/>
      <c r="R33" s="45"/>
      <c r="S33" s="47"/>
      <c r="T33" s="47"/>
      <c r="U33" s="48"/>
      <c r="V33" s="49"/>
      <c r="W33" s="74"/>
      <c r="X33" s="77"/>
      <c r="Y33" s="77"/>
      <c r="Z33" s="74"/>
      <c r="AA33" s="76"/>
      <c r="AB33" s="76"/>
      <c r="AC33" s="74"/>
      <c r="AD33" s="76"/>
      <c r="AE33" s="76"/>
      <c r="AF33" s="76"/>
      <c r="AG33" s="74"/>
    </row>
    <row r="34" spans="1:33" ht="76.25" customHeight="1" ns3:dyDescent="0.2">
      <c r="A34" s="53">
        <v>213.31</v>
      </c>
      <c r="B34" s="38">
        <f t="shared" si="1"/>
        <v>4</v>
      </c>
      <c r="C34" s="42" t="s">
        <v>120</v>
      </c>
      <c r="D34" s="39" t="str">
        <f t="shared" si="0"/>
        <v xml:space="preserve">                        Integrated Heat Exchanger Building Slab Roof</v>
      </c>
      <c r="E34" s="39" t="s">
        <v>35</v>
      </c>
      <c r="F34" s="39" t="s">
        <v>118</v>
      </c>
      <c r="G34" s="39" t="s">
        <v>119</v>
      </c>
      <c r="H34" s="39"/>
      <c r="I34" s="39"/>
      <c r="J34" s="43"/>
      <c r="K34" s="44">
        <f>1200</f>
        <v>1200</v>
      </c>
      <c r="L34" s="45" t="s">
        <v>80</v>
      </c>
      <c r="M34" s="47" t="s">
        <v>121</v>
      </c>
      <c r="N34" s="46"/>
      <c r="O34" s="45" t="s">
        <v>82</v>
      </c>
      <c r="P34" s="46"/>
      <c r="Q34" s="65">
        <v>2024</v>
      </c>
      <c r="R34" s="45" t="s">
        <v>86</v>
      </c>
      <c r="S34" s="215" t="s">
        <v>105</v>
      </c>
      <c r="T34" s="215" t="s">
        <v>75</v>
      </c>
      <c r="U34" s="222" t="s">
        <v>76</v>
      </c>
      <c r="V34" s="49"/>
      <c r="W34" s="74" t="s">
        <v>77</v>
      </c>
      <c r="X34" s="77">
        <f>0.9*$J34</f>
        <v>0</v>
      </c>
      <c r="Y34" s="77">
        <f>1.5*J34</f>
        <v>0</v>
      </c>
      <c r="Z34" s="74" t="s">
        <v>44</v>
      </c>
      <c r="AA34" s="76">
        <f>0.9*K34</f>
        <v>1080</v>
      </c>
      <c r="AB34" s="76">
        <f>1.3*K34</f>
        <v>1560</v>
      </c>
      <c r="AC34" s="74" t="s">
        <v>44</v>
      </c>
      <c r="AD34" s="76" t="s">
        <v>45</v>
      </c>
      <c r="AE34" s="76" t="s">
        <v>46</v>
      </c>
      <c r="AF34" s="76" t="s">
        <v>47</v>
      </c>
      <c r="AG34" s="74" t="s">
        <v>48</v>
      </c>
    </row>
    <row r="35" spans="1:33" ht="76.25" customHeight="1" ns3:dyDescent="0.2">
      <c r="A35" s="53">
        <v>213.32</v>
      </c>
      <c r="B35" s="38">
        <f t="shared" si="1"/>
        <v>4</v>
      </c>
      <c r="C35" s="42" t="s">
        <v>122</v>
      </c>
      <c r="D35" s="39" t="str">
        <f t="shared" si="0"/>
        <v xml:space="preserve">                        Integrated Heat Exchanger Building Basement</v>
      </c>
      <c r="E35" s="39" t="s">
        <v>35</v>
      </c>
      <c r="F35" s="39" t="s">
        <v>118</v>
      </c>
      <c r="G35" s="39" t="s">
        <v>119</v>
      </c>
      <c r="H35" s="39"/>
      <c r="I35" s="39"/>
      <c r="J35" s="43"/>
      <c r="K35" s="44">
        <f>943.9</f>
        <v>943.9</v>
      </c>
      <c r="L35" s="45" t="s">
        <v>80</v>
      </c>
      <c r="M35" s="47" t="s">
        <v>123</v>
      </c>
      <c r="N35" s="46"/>
      <c r="O35" s="45" t="s">
        <v>82</v>
      </c>
      <c r="P35" s="46"/>
      <c r="Q35" s="65">
        <v>2024</v>
      </c>
      <c r="R35" s="45" t="s">
        <v>86</v>
      </c>
      <c r="S35" s="216"/>
      <c r="T35" s="216"/>
      <c r="U35" s="216"/>
      <c r="V35" s="49"/>
      <c r="W35" s="74" t="s">
        <v>77</v>
      </c>
      <c r="X35" s="77">
        <f>0.9*$J35</f>
        <v>0</v>
      </c>
      <c r="Y35" s="77">
        <f>1.5*J35</f>
        <v>0</v>
      </c>
      <c r="Z35" s="74" t="s">
        <v>44</v>
      </c>
      <c r="AA35" s="76">
        <f>0.9*K35</f>
        <v>849.51</v>
      </c>
      <c r="AB35" s="76">
        <f>1.3*K35</f>
        <v>1227.07</v>
      </c>
      <c r="AC35" s="74" t="s">
        <v>44</v>
      </c>
      <c r="AD35" s="76" t="s">
        <v>45</v>
      </c>
      <c r="AE35" s="76" t="s">
        <v>46</v>
      </c>
      <c r="AF35" s="76" t="s">
        <v>47</v>
      </c>
      <c r="AG35" s="74" t="s">
        <v>48</v>
      </c>
    </row>
    <row r="36" spans="1:33" ht="101.25" customHeight="1" ns3:dyDescent="0.2">
      <c r="A36" s="53">
        <v>213.33</v>
      </c>
      <c r="B36" s="38">
        <f t="shared" si="1"/>
        <v>4</v>
      </c>
      <c r="C36" s="42" t="s">
        <v>124</v>
      </c>
      <c r="D36" s="39" t="str">
        <f t="shared" si="0"/>
        <v xml:space="preserve">                        Integrated Heat Exchanger Building Walls</v>
      </c>
      <c r="E36" s="39" t="s">
        <v>35</v>
      </c>
      <c r="F36" s="39" t="s">
        <v>118</v>
      </c>
      <c r="G36" s="39" t="s">
        <v>119</v>
      </c>
      <c r="H36" s="39"/>
      <c r="I36" s="39"/>
      <c r="J36" s="43"/>
      <c r="K36" s="44">
        <f>721.21</f>
        <v>721.21</v>
      </c>
      <c r="L36" s="45" t="s">
        <v>80</v>
      </c>
      <c r="M36" s="47" t="s">
        <v>125</v>
      </c>
      <c r="N36" s="46"/>
      <c r="O36" s="45" t="s">
        <v>82</v>
      </c>
      <c r="P36" s="46"/>
      <c r="Q36" s="65">
        <v>2024</v>
      </c>
      <c r="R36" s="45" t="s">
        <v>86</v>
      </c>
      <c r="S36" s="217"/>
      <c r="T36" s="217"/>
      <c r="U36" s="217"/>
      <c r="V36" s="49"/>
      <c r="W36" s="74" t="s">
        <v>77</v>
      </c>
      <c r="X36" s="77">
        <f>0.9*$J36</f>
        <v>0</v>
      </c>
      <c r="Y36" s="77">
        <f>1.5*J36</f>
        <v>0</v>
      </c>
      <c r="Z36" s="74" t="s">
        <v>44</v>
      </c>
      <c r="AA36" s="76">
        <f>0.9*K36</f>
        <v>649.08900000000006</v>
      </c>
      <c r="AB36" s="76">
        <f>1.3*K36</f>
        <v>937.57300000000009</v>
      </c>
      <c r="AC36" s="74" t="s">
        <v>44</v>
      </c>
      <c r="AD36" s="76" t="s">
        <v>45</v>
      </c>
      <c r="AE36" s="76" t="s">
        <v>46</v>
      </c>
      <c r="AF36" s="76" t="s">
        <v>47</v>
      </c>
      <c r="AG36" s="74" t="s">
        <v>48</v>
      </c>
    </row>
    <row r="37" spans="1:33" ht="101.25" customHeight="1" ns3:dyDescent="0.2">
      <c r="A37" s="53">
        <v>213.34</v>
      </c>
      <c r="B37" s="38">
        <f t="shared" si="1"/>
        <v>4</v>
      </c>
      <c r="C37" s="42" t="s">
        <v>126</v>
      </c>
      <c r="D37" s="39" t="str">
        <f t="shared" si="0"/>
        <v xml:space="preserve">                        Integrated Heat Exchanger Building Liner</v>
      </c>
      <c r="E37" s="39" t="s">
        <v>35</v>
      </c>
      <c r="F37" s="39" t="s">
        <v>118</v>
      </c>
      <c r="G37" s="39" t="s">
        <v>119</v>
      </c>
      <c r="H37" s="39"/>
      <c r="I37" s="39"/>
      <c r="J37" s="43"/>
      <c r="K37" s="44">
        <f>60848829/9373</f>
        <v>6491.9267043635973</v>
      </c>
      <c r="L37" s="45" t="s">
        <v>92</v>
      </c>
      <c r="M37" s="47" t="s">
        <v>127</v>
      </c>
      <c r="N37" s="46">
        <v>9373</v>
      </c>
      <c r="O37" s="45" t="s">
        <v>94</v>
      </c>
      <c r="P37" s="46">
        <v>1</v>
      </c>
      <c r="Q37" s="65">
        <v>2018</v>
      </c>
      <c r="R37" s="45" t="s">
        <v>86</v>
      </c>
      <c r="S37" s="47" t="s">
        <v>95</v>
      </c>
      <c r="T37" s="47" t="s">
        <v>95</v>
      </c>
      <c r="U37" s="81" t="s">
        <v>96</v>
      </c>
      <c r="V37" s="49"/>
      <c r="W37" s="74" t="s">
        <v>77</v>
      </c>
      <c r="X37" s="77">
        <f>0.9*$J37</f>
        <v>0</v>
      </c>
      <c r="Y37" s="77">
        <f>1.5*J37</f>
        <v>0</v>
      </c>
      <c r="Z37" s="74" t="s">
        <v>44</v>
      </c>
      <c r="AA37" s="76">
        <f>0.9*K37</f>
        <v>5842.7340339272378</v>
      </c>
      <c r="AB37" s="76">
        <f>1.3*K37</f>
        <v>8439.504715672676</v>
      </c>
      <c r="AC37" s="74" t="s">
        <v>44</v>
      </c>
      <c r="AD37" s="76" t="s">
        <v>45</v>
      </c>
      <c r="AE37" s="76" t="s">
        <v>46</v>
      </c>
      <c r="AF37" s="76" t="s">
        <v>47</v>
      </c>
      <c r="AG37" s="74" t="s">
        <v>48</v>
      </c>
    </row>
    <row r="38" spans="1:33" ht="26.75" customHeight="1" ns3:dyDescent="0.2">
      <c r="A38" s="53">
        <v>214</v>
      </c>
      <c r="B38" s="38">
        <f t="shared" si="1"/>
        <v>2</v>
      </c>
      <c r="C38" s="42" t="s">
        <v>128</v>
      </c>
      <c r="D38" s="39" t="str">
        <f t="shared" ref="D38:D69" si="10">REPT("   ", B38*2) &amp; C38</f>
        <v xml:space="preserve">            Buildings to Support Main Function </v>
      </c>
      <c r="E38" s="39"/>
      <c r="F38" s="39"/>
      <c r="G38" s="39"/>
      <c r="H38" s="39"/>
      <c r="I38" s="39"/>
      <c r="J38" s="43"/>
      <c r="K38" s="44"/>
      <c r="L38" s="46"/>
      <c r="M38" s="52"/>
      <c r="N38" s="46"/>
      <c r="O38" s="46"/>
      <c r="P38" s="46"/>
      <c r="Q38" s="43"/>
      <c r="R38" s="46"/>
      <c r="S38" s="52"/>
      <c r="T38" s="45"/>
      <c r="U38" s="49"/>
      <c r="V38" s="49"/>
      <c r="W38" s="74"/>
      <c r="X38" s="77"/>
      <c r="Y38" s="77"/>
      <c r="Z38" s="74"/>
      <c r="AA38" s="76"/>
      <c r="AB38" s="76"/>
      <c r="AC38" s="74"/>
      <c r="AD38" s="76"/>
      <c r="AE38" s="76"/>
      <c r="AF38" s="76"/>
      <c r="AG38" s="74"/>
    </row>
    <row r="39" spans="1:33" ht="26.75" customHeight="1" ns3:dyDescent="0.2">
      <c r="A39" s="53">
        <v>214.1</v>
      </c>
      <c r="B39" s="38">
        <f t="shared" si="1"/>
        <v>3</v>
      </c>
      <c r="C39" s="42" t="s">
        <v>129</v>
      </c>
      <c r="D39" s="39" t="str">
        <f t="shared" si="10"/>
        <v xml:space="preserve">                  Fuel Management Buildings</v>
      </c>
      <c r="E39" s="39"/>
      <c r="F39" s="39"/>
      <c r="G39" s="39"/>
      <c r="H39" s="39"/>
      <c r="I39" s="39"/>
      <c r="J39" s="43"/>
      <c r="K39" s="44"/>
      <c r="L39" s="46"/>
      <c r="M39" s="52"/>
      <c r="N39" s="46"/>
      <c r="O39" s="46"/>
      <c r="P39" s="46"/>
      <c r="Q39" s="43"/>
      <c r="R39" s="46"/>
      <c r="S39" s="52"/>
      <c r="T39" s="45"/>
      <c r="U39" s="49"/>
      <c r="V39" s="49"/>
      <c r="W39" s="74"/>
      <c r="X39" s="77"/>
      <c r="Y39" s="77"/>
      <c r="Z39" s="74"/>
      <c r="AA39" s="76"/>
      <c r="AB39" s="76"/>
      <c r="AC39" s="74"/>
      <c r="AD39" s="76"/>
      <c r="AE39" s="76"/>
      <c r="AF39" s="76"/>
      <c r="AG39" s="74"/>
    </row>
    <row r="40" spans="1:33" ht="26.75" customHeight="1" ns3:dyDescent="0.2">
      <c r="A40" s="53">
        <v>214.11</v>
      </c>
      <c r="B40" s="38">
        <f t="shared" si="1"/>
        <v>4</v>
      </c>
      <c r="C40" s="42" t="s">
        <v>130</v>
      </c>
      <c r="D40" s="39" t="str">
        <f t="shared" si="10"/>
        <v xml:space="preserve">                        Refueling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49.75" customHeight="1" ns3:dyDescent="0.15">
      <c r="A41" s="53">
        <v>214.11099999999999</v>
      </c>
      <c r="B41" s="38">
        <f t="shared" si="1"/>
        <v>5</v>
      </c>
      <c r="C41" s="42" t="s">
        <v>131</v>
      </c>
      <c r="D41" s="39" t="str">
        <f t="shared" si="10"/>
        <v xml:space="preserve">                              Refueling Building Slab Roof</v>
      </c>
      <c r="E41" s="39" t="s">
        <v>35</v>
      </c>
      <c r="F41" s="39"/>
      <c r="G41" s="39"/>
      <c r="H41" s="39"/>
      <c r="I41" s="39"/>
      <c r="J41" s="43"/>
      <c r="K41" s="44">
        <f>1200 *1.53</f>
        <v>1836</v>
      </c>
      <c r="L41" s="45" t="s">
        <v>80</v>
      </c>
      <c r="M41" s="47" t="s">
        <v>132</v>
      </c>
      <c r="N41" s="46"/>
      <c r="O41" s="45" t="s">
        <v>82</v>
      </c>
      <c r="P41" s="46"/>
      <c r="Q41" s="65">
        <v>2024</v>
      </c>
      <c r="R41" s="45" t="s">
        <v>86</v>
      </c>
      <c r="S41" s="215" t="s">
        <v>74</v>
      </c>
      <c r="T41" s="215" t="s">
        <v>75</v>
      </c>
      <c r="U41" s="222" t="s">
        <v>76</v>
      </c>
      <c r="V41" s="49"/>
      <c r="W41" s="74" t="s">
        <v>77</v>
      </c>
      <c r="X41" s="77">
        <f>0.9*$J41</f>
        <v>0</v>
      </c>
      <c r="Y41" s="77">
        <f>1.5*J41</f>
        <v>0</v>
      </c>
      <c r="Z41" s="74"/>
      <c r="AA41" s="76">
        <f>0.9*K41</f>
        <v>1652.4</v>
      </c>
      <c r="AB41" s="76">
        <f>1.3*K41</f>
        <v>2386.8000000000002</v>
      </c>
      <c r="AC41" s="74" t="s">
        <v>44</v>
      </c>
      <c r="AD41" s="76" t="s">
        <v>45</v>
      </c>
      <c r="AE41" s="76" t="s">
        <v>46</v>
      </c>
      <c r="AF41" s="76" t="s">
        <v>47</v>
      </c>
      <c r="AG41" s="74" t="s">
        <v>48</v>
      </c>
    </row>
    <row r="42" spans="1:33" s="33" customFormat="1" ht="49.75" customHeight="1" ns3:dyDescent="0.15">
      <c r="A42" s="53">
        <v>214.11199999999999</v>
      </c>
      <c r="B42" s="38">
        <f t="shared" si="1"/>
        <v>5</v>
      </c>
      <c r="C42" s="42" t="s">
        <v>133</v>
      </c>
      <c r="D42" s="39" t="str">
        <f t="shared" si="10"/>
        <v xml:space="preserve">                              Refueling Building Basement</v>
      </c>
      <c r="E42" s="39" t="s">
        <v>35</v>
      </c>
      <c r="F42" s="39"/>
      <c r="G42" s="39"/>
      <c r="H42" s="39"/>
      <c r="I42" s="39"/>
      <c r="J42" s="43"/>
      <c r="K42" s="44">
        <f>943.9*1.53</f>
        <v>1444.1669999999999</v>
      </c>
      <c r="L42" s="45" t="s">
        <v>80</v>
      </c>
      <c r="M42" s="47" t="s">
        <v>134</v>
      </c>
      <c r="N42" s="46"/>
      <c r="O42" s="45" t="s">
        <v>82</v>
      </c>
      <c r="P42" s="46"/>
      <c r="Q42" s="65">
        <v>2024</v>
      </c>
      <c r="R42" s="45" t="s">
        <v>86</v>
      </c>
      <c r="S42" s="216"/>
      <c r="T42" s="216"/>
      <c r="U42" s="216"/>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74.75" customHeight="1" ns3:dyDescent="0.15">
      <c r="A43" s="53">
        <v>214.113</v>
      </c>
      <c r="B43" s="38">
        <f t="shared" si="1"/>
        <v>5</v>
      </c>
      <c r="C43" s="42" t="s">
        <v>135</v>
      </c>
      <c r="D43" s="39" t="str">
        <f t="shared" si="10"/>
        <v xml:space="preserve">                              Refueling Building Walls</v>
      </c>
      <c r="E43" s="39" t="s">
        <v>35</v>
      </c>
      <c r="F43" s="39"/>
      <c r="G43" s="39"/>
      <c r="H43" s="39"/>
      <c r="I43" s="39"/>
      <c r="J43" s="43"/>
      <c r="K43" s="44">
        <f>721.21*1.53</f>
        <v>1103.4513000000002</v>
      </c>
      <c r="L43" s="45" t="s">
        <v>80</v>
      </c>
      <c r="M43" s="47" t="s">
        <v>136</v>
      </c>
      <c r="N43" s="46"/>
      <c r="O43" s="45" t="s">
        <v>82</v>
      </c>
      <c r="P43" s="46"/>
      <c r="Q43" s="65">
        <v>2024</v>
      </c>
      <c r="R43" s="45" t="s">
        <v>86</v>
      </c>
      <c r="S43" s="217"/>
      <c r="T43" s="217"/>
      <c r="U43" s="217"/>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26.75" customHeight="1" ns3:dyDescent="0.2">
      <c r="A44" s="53">
        <v>214.12</v>
      </c>
      <c r="B44" s="38">
        <f t="shared" si="1"/>
        <v>4</v>
      </c>
      <c r="C44" s="42" t="s">
        <v>137</v>
      </c>
      <c r="D44" s="39" t="str">
        <f t="shared" si="10"/>
        <v xml:space="preserve">                        Spent Fuel Building</v>
      </c>
      <c r="E44" s="39"/>
      <c r="F44" s="39"/>
      <c r="G44" s="39"/>
      <c r="H44" s="39"/>
      <c r="I44" s="39"/>
      <c r="J44" s="43"/>
      <c r="K44" s="44"/>
      <c r="L44" s="46"/>
      <c r="M44" s="52"/>
      <c r="N44" s="46"/>
      <c r="O44" s="46"/>
      <c r="P44" s="46"/>
      <c r="Q44" s="43"/>
      <c r="R44" s="46"/>
      <c r="S44" s="52"/>
      <c r="T44" s="45"/>
      <c r="U44" s="49"/>
      <c r="V44" s="49"/>
      <c r="W44" s="74"/>
      <c r="X44" s="77"/>
      <c r="Y44" s="77"/>
      <c r="Z44" s="74"/>
      <c r="AA44" s="76"/>
      <c r="AB44" s="76"/>
      <c r="AC44" s="74"/>
      <c r="AD44" s="76"/>
      <c r="AE44" s="76"/>
      <c r="AF44" s="76"/>
      <c r="AG44" s="74"/>
    </row>
    <row r="45" spans="1:33" s="33" customFormat="1" ht="49.75" customHeight="1" ns3:dyDescent="0.15">
      <c r="A45" s="53">
        <v>214.12100000000001</v>
      </c>
      <c r="B45" s="38">
        <f t="shared" si="1"/>
        <v>5</v>
      </c>
      <c r="C45" s="42" t="s">
        <v>138</v>
      </c>
      <c r="D45" s="39" t="str">
        <f t="shared" si="10"/>
        <v xml:space="preserve">                              Spent Fuel Building Slab Roof</v>
      </c>
      <c r="E45" s="39" t="s">
        <v>35</v>
      </c>
      <c r="F45" s="39"/>
      <c r="G45" s="39"/>
      <c r="H45" s="39"/>
      <c r="I45" s="39"/>
      <c r="J45" s="43"/>
      <c r="K45" s="44">
        <f>1200 *1.53</f>
        <v>1836</v>
      </c>
      <c r="L45" s="45" t="s">
        <v>80</v>
      </c>
      <c r="M45" s="47" t="s">
        <v>139</v>
      </c>
      <c r="N45" s="46"/>
      <c r="O45" s="45" t="s">
        <v>82</v>
      </c>
      <c r="P45" s="46"/>
      <c r="Q45" s="65">
        <v>2024</v>
      </c>
      <c r="R45" s="46" t="s">
        <v>86</v>
      </c>
      <c r="S45" s="215" t="s">
        <v>74</v>
      </c>
      <c r="T45" s="215" t="s">
        <v>75</v>
      </c>
      <c r="U45" s="222" t="s">
        <v>76</v>
      </c>
      <c r="V45" s="49"/>
      <c r="W45" s="74" t="s">
        <v>77</v>
      </c>
      <c r="X45" s="77">
        <f>0.9*$J45</f>
        <v>0</v>
      </c>
      <c r="Y45" s="77">
        <f>1.5*J45</f>
        <v>0</v>
      </c>
      <c r="Z45" s="74" t="s">
        <v>44</v>
      </c>
      <c r="AA45" s="76">
        <f>0.9*K45</f>
        <v>1652.4</v>
      </c>
      <c r="AB45" s="76">
        <f>1.3*K45</f>
        <v>2386.8000000000002</v>
      </c>
      <c r="AC45" s="74" t="s">
        <v>44</v>
      </c>
      <c r="AD45" s="76" t="s">
        <v>45</v>
      </c>
      <c r="AE45" s="76" t="s">
        <v>46</v>
      </c>
      <c r="AF45" s="76" t="s">
        <v>47</v>
      </c>
      <c r="AG45" s="74" t="s">
        <v>48</v>
      </c>
    </row>
    <row r="46" spans="1:33" s="33" customFormat="1" ht="49.75" customHeight="1" ns3:dyDescent="0.15">
      <c r="A46" s="53">
        <v>214.12200000000001</v>
      </c>
      <c r="B46" s="38">
        <f t="shared" si="1"/>
        <v>5</v>
      </c>
      <c r="C46" s="42" t="s">
        <v>140</v>
      </c>
      <c r="D46" s="39" t="str">
        <f t="shared" si="10"/>
        <v xml:space="preserve">                              Spent Fuel Building Basement</v>
      </c>
      <c r="E46" s="39" t="s">
        <v>35</v>
      </c>
      <c r="F46" s="39"/>
      <c r="G46" s="39"/>
      <c r="H46" s="39"/>
      <c r="I46" s="39"/>
      <c r="J46" s="43"/>
      <c r="K46" s="44">
        <f>943.9*1.53</f>
        <v>1444.1669999999999</v>
      </c>
      <c r="L46" s="45" t="s">
        <v>80</v>
      </c>
      <c r="M46" s="47" t="s">
        <v>141</v>
      </c>
      <c r="N46" s="46"/>
      <c r="O46" s="45" t="s">
        <v>82</v>
      </c>
      <c r="P46" s="46"/>
      <c r="Q46" s="65">
        <v>2024</v>
      </c>
      <c r="R46" s="46" t="s">
        <v>86</v>
      </c>
      <c r="S46" s="216"/>
      <c r="T46" s="216"/>
      <c r="U46" s="216"/>
      <c r="V46" s="49"/>
      <c r="W46" s="74" t="s">
        <v>77</v>
      </c>
      <c r="X46" s="77">
        <f>0.9*$J46</f>
        <v>0</v>
      </c>
      <c r="Y46" s="77">
        <f>1.5*J46</f>
        <v>0</v>
      </c>
      <c r="Z46" s="74" t="s">
        <v>44</v>
      </c>
      <c r="AA46" s="76">
        <f>0.9*K46</f>
        <v>1299.7502999999999</v>
      </c>
      <c r="AB46" s="76">
        <f>1.3*K46</f>
        <v>1877.4170999999999</v>
      </c>
      <c r="AC46" s="74" t="s">
        <v>44</v>
      </c>
      <c r="AD46" s="76" t="s">
        <v>45</v>
      </c>
      <c r="AE46" s="76" t="s">
        <v>46</v>
      </c>
      <c r="AF46" s="76" t="s">
        <v>47</v>
      </c>
      <c r="AG46" s="74" t="s">
        <v>48</v>
      </c>
    </row>
    <row r="47" spans="1:33" s="33" customFormat="1" ht="74.75" customHeight="1" ns3:dyDescent="0.15">
      <c r="A47" s="53">
        <v>214.12299999999999</v>
      </c>
      <c r="B47" s="38">
        <f t="shared" si="1"/>
        <v>5</v>
      </c>
      <c r="C47" s="42" t="s">
        <v>142</v>
      </c>
      <c r="D47" s="39" t="str">
        <f t="shared" si="10"/>
        <v xml:space="preserve">                              Spent Fuel Building Walls</v>
      </c>
      <c r="E47" s="39" t="s">
        <v>35</v>
      </c>
      <c r="F47" s="39"/>
      <c r="G47" s="39"/>
      <c r="H47" s="39"/>
      <c r="I47" s="39"/>
      <c r="J47" s="43"/>
      <c r="K47" s="44">
        <f>721.21*1.53</f>
        <v>1103.4513000000002</v>
      </c>
      <c r="L47" s="45" t="s">
        <v>80</v>
      </c>
      <c r="M47" s="47" t="s">
        <v>143</v>
      </c>
      <c r="N47" s="46"/>
      <c r="O47" s="45" t="s">
        <v>82</v>
      </c>
      <c r="P47" s="46"/>
      <c r="Q47" s="65">
        <v>2024</v>
      </c>
      <c r="R47" s="45" t="s">
        <v>86</v>
      </c>
      <c r="S47" s="217"/>
      <c r="T47" s="217"/>
      <c r="U47" s="217"/>
      <c r="V47" s="49"/>
      <c r="W47" s="74" t="s">
        <v>77</v>
      </c>
      <c r="X47" s="77">
        <f>0.9*$J47</f>
        <v>0</v>
      </c>
      <c r="Y47" s="77">
        <f>1.5*J47</f>
        <v>0</v>
      </c>
      <c r="Z47" s="74" t="s">
        <v>44</v>
      </c>
      <c r="AA47" s="76">
        <f>0.9*K47</f>
        <v>993.10617000000013</v>
      </c>
      <c r="AB47" s="76">
        <f>1.3*K47</f>
        <v>1434.4866900000002</v>
      </c>
      <c r="AC47" s="74" t="s">
        <v>44</v>
      </c>
      <c r="AD47" s="76" t="s">
        <v>45</v>
      </c>
      <c r="AE47" s="76" t="s">
        <v>46</v>
      </c>
      <c r="AF47" s="76" t="s">
        <v>47</v>
      </c>
      <c r="AG47" s="74" t="s">
        <v>48</v>
      </c>
    </row>
    <row r="48" spans="1:33" ht="51.75" customHeight="1" ns3:dyDescent="0.2">
      <c r="A48" s="53">
        <v>214.7</v>
      </c>
      <c r="B48" s="38">
        <f t="shared" si="1"/>
        <v>3</v>
      </c>
      <c r="C48" s="42" t="s">
        <v>144</v>
      </c>
      <c r="D48" s="39" t="str">
        <f t="shared" si="10"/>
        <v xml:space="preserve">                  Emergency and Start-up Power Systems Building</v>
      </c>
      <c r="E48" s="39"/>
      <c r="F48" s="39"/>
      <c r="G48" s="39"/>
      <c r="H48" s="39"/>
      <c r="I48" s="39"/>
      <c r="J48" s="43"/>
      <c r="K48" s="44"/>
      <c r="L48" s="45"/>
      <c r="M48" s="47"/>
      <c r="N48" s="46"/>
      <c r="O48" s="45"/>
      <c r="P48" s="46"/>
      <c r="Q48" s="65"/>
      <c r="R48" s="45"/>
      <c r="S48" s="47"/>
      <c r="T48" s="45"/>
      <c r="U48" s="49"/>
      <c r="V48" s="49"/>
      <c r="W48" s="74"/>
      <c r="X48" s="77"/>
      <c r="Y48" s="77"/>
      <c r="Z48" s="74"/>
      <c r="AA48" s="76"/>
      <c r="AB48" s="76"/>
      <c r="AC48" s="74"/>
      <c r="AD48" s="76"/>
      <c r="AE48" s="76"/>
      <c r="AF48" s="76"/>
      <c r="AG48" s="74"/>
    </row>
    <row r="49" spans="1:33" ht="26.75" customHeight="1" ns3:dyDescent="0.2">
      <c r="A49" s="53">
        <v>214.71</v>
      </c>
      <c r="B49" s="38">
        <f t="shared" ref="B49:B73" si="11">IF(ISNUMBER(A49),
IF(AND(A49=INT(A49), MOD(A49, 10) = 0), 0,
IF(AND(A49=INT(A49), LEN(A49)=2), 1,
IF(AND(A49=INT(A49), LEN(A49)=3), 2,
LEN(A49) - FIND(".", A49) + 2)
)
),
"")</f>
        <v>4</v>
      </c>
      <c r="C49" s="42" t="s">
        <v>145</v>
      </c>
      <c r="D49" s="39" t="str">
        <f t="shared" si="10"/>
        <v xml:space="preserve">                        Emergency Building</v>
      </c>
      <c r="E49" s="39"/>
      <c r="F49" s="39"/>
      <c r="G49" s="39"/>
      <c r="H49" s="39"/>
      <c r="I49" s="39"/>
      <c r="J49" s="43"/>
      <c r="K49" s="44"/>
      <c r="L49" s="45"/>
      <c r="M49" s="47"/>
      <c r="N49" s="46"/>
      <c r="O49" s="45"/>
      <c r="P49" s="46"/>
      <c r="Q49" s="65"/>
      <c r="R49" s="45"/>
      <c r="S49" s="47"/>
      <c r="T49" s="45"/>
      <c r="U49" s="49"/>
      <c r="V49" s="49"/>
      <c r="W49" s="74"/>
      <c r="X49" s="77"/>
      <c r="Y49" s="77"/>
      <c r="Z49" s="74"/>
      <c r="AA49" s="76"/>
      <c r="AB49" s="76"/>
      <c r="AC49" s="74"/>
      <c r="AD49" s="76"/>
      <c r="AE49" s="76"/>
      <c r="AF49" s="76"/>
      <c r="AG49" s="74"/>
    </row>
    <row r="50" spans="1:33" s="33" customFormat="1" ht="49.75" customHeight="1" ns3:dyDescent="0.15">
      <c r="A50" s="53">
        <v>214.71100000000001</v>
      </c>
      <c r="B50" s="38">
        <f t="shared" si="11"/>
        <v>5</v>
      </c>
      <c r="C50" s="42" t="s">
        <v>146</v>
      </c>
      <c r="D50" s="39" t="str">
        <f t="shared" si="10"/>
        <v xml:space="preserve">                              Emergency Building Slab Roof</v>
      </c>
      <c r="E50" s="39" t="s">
        <v>35</v>
      </c>
      <c r="F50" s="39"/>
      <c r="G50" s="39"/>
      <c r="H50" s="39"/>
      <c r="I50" s="39"/>
      <c r="J50" s="43"/>
      <c r="K50" s="44">
        <f>1200</f>
        <v>1200</v>
      </c>
      <c r="L50" s="45" t="s">
        <v>80</v>
      </c>
      <c r="M50" s="47" t="s">
        <v>147</v>
      </c>
      <c r="N50" s="46"/>
      <c r="O50" s="45" t="s">
        <v>82</v>
      </c>
      <c r="P50" s="46"/>
      <c r="Q50" s="65">
        <v>2024</v>
      </c>
      <c r="R50" s="46" t="s">
        <v>86</v>
      </c>
      <c r="S50" s="215" t="s">
        <v>105</v>
      </c>
      <c r="T50" s="215" t="s">
        <v>75</v>
      </c>
      <c r="U50" s="222" t="s">
        <v>76</v>
      </c>
      <c r="V50" s="49"/>
      <c r="W50" s="74" t="s">
        <v>77</v>
      </c>
      <c r="X50" s="77">
        <f>0.9*$J50</f>
        <v>0</v>
      </c>
      <c r="Y50" s="77">
        <f>1.5*J50</f>
        <v>0</v>
      </c>
      <c r="Z50" s="74" t="s">
        <v>44</v>
      </c>
      <c r="AA50" s="76">
        <f>0.9*K50</f>
        <v>1080</v>
      </c>
      <c r="AB50" s="76">
        <f>1.3*K50</f>
        <v>1560</v>
      </c>
      <c r="AC50" s="74" t="s">
        <v>44</v>
      </c>
      <c r="AD50" s="76" t="s">
        <v>45</v>
      </c>
      <c r="AE50" s="76" t="s">
        <v>46</v>
      </c>
      <c r="AF50" s="76" t="s">
        <v>47</v>
      </c>
      <c r="AG50" s="74" t="s">
        <v>48</v>
      </c>
    </row>
    <row r="51" spans="1:33" s="33" customFormat="1" ht="49.75" customHeight="1" ns3:dyDescent="0.15">
      <c r="A51" s="53">
        <v>214.71199999999999</v>
      </c>
      <c r="B51" s="38">
        <f t="shared" si="11"/>
        <v>5</v>
      </c>
      <c r="C51" s="42" t="s">
        <v>148</v>
      </c>
      <c r="D51" s="39" t="str">
        <f t="shared" si="10"/>
        <v xml:space="preserve">                              Emergency Building Basement</v>
      </c>
      <c r="E51" s="39" t="s">
        <v>35</v>
      </c>
      <c r="F51" s="39"/>
      <c r="G51" s="39"/>
      <c r="H51" s="39"/>
      <c r="I51" s="39"/>
      <c r="J51" s="43"/>
      <c r="K51" s="44">
        <f>943.9</f>
        <v>943.9</v>
      </c>
      <c r="L51" s="45" t="s">
        <v>80</v>
      </c>
      <c r="M51" s="47" t="s">
        <v>149</v>
      </c>
      <c r="N51" s="46"/>
      <c r="O51" s="45" t="s">
        <v>82</v>
      </c>
      <c r="P51" s="46"/>
      <c r="Q51" s="65">
        <v>2024</v>
      </c>
      <c r="R51" s="46" t="s">
        <v>86</v>
      </c>
      <c r="S51" s="216"/>
      <c r="T51" s="216"/>
      <c r="U51" s="216"/>
      <c r="V51" s="49"/>
      <c r="W51" s="74" t="s">
        <v>77</v>
      </c>
      <c r="X51" s="77">
        <f>0.9*$J51</f>
        <v>0</v>
      </c>
      <c r="Y51" s="77">
        <f>1.5*J51</f>
        <v>0</v>
      </c>
      <c r="Z51" s="74" t="s">
        <v>44</v>
      </c>
      <c r="AA51" s="76">
        <f>0.9*K51</f>
        <v>849.51</v>
      </c>
      <c r="AB51" s="76">
        <f>1.3*K51</f>
        <v>1227.07</v>
      </c>
      <c r="AC51" s="74" t="s">
        <v>44</v>
      </c>
      <c r="AD51" s="76" t="s">
        <v>45</v>
      </c>
      <c r="AE51" s="76" t="s">
        <v>46</v>
      </c>
      <c r="AF51" s="76" t="s">
        <v>47</v>
      </c>
      <c r="AG51" s="74" t="s">
        <v>48</v>
      </c>
    </row>
    <row r="52" spans="1:33" s="33" customFormat="1" ht="74.75" customHeight="1" ns3:dyDescent="0.15">
      <c r="A52" s="53">
        <v>214.71299999999999</v>
      </c>
      <c r="B52" s="38">
        <f t="shared" si="11"/>
        <v>5</v>
      </c>
      <c r="C52" s="42" t="s">
        <v>150</v>
      </c>
      <c r="D52" s="39" t="str">
        <f t="shared" si="10"/>
        <v xml:space="preserve">                              Emergency Building Walls</v>
      </c>
      <c r="E52" s="39" t="s">
        <v>35</v>
      </c>
      <c r="F52" s="39"/>
      <c r="G52" s="39"/>
      <c r="H52" s="39"/>
      <c r="I52" s="39"/>
      <c r="J52" s="43"/>
      <c r="K52" s="44">
        <f>721.21</f>
        <v>721.21</v>
      </c>
      <c r="L52" s="45" t="s">
        <v>80</v>
      </c>
      <c r="M52" s="47" t="s">
        <v>151</v>
      </c>
      <c r="N52" s="46"/>
      <c r="O52" s="45" t="s">
        <v>82</v>
      </c>
      <c r="P52" s="46"/>
      <c r="Q52" s="65">
        <v>2024</v>
      </c>
      <c r="R52" s="45" t="s">
        <v>86</v>
      </c>
      <c r="S52" s="217"/>
      <c r="T52" s="217"/>
      <c r="U52" s="217"/>
      <c r="V52" s="49"/>
      <c r="W52" s="74" t="s">
        <v>77</v>
      </c>
      <c r="X52" s="77">
        <f>0.9*$J52</f>
        <v>0</v>
      </c>
      <c r="Y52" s="77">
        <f>1.5*J52</f>
        <v>0</v>
      </c>
      <c r="Z52" s="74" t="s">
        <v>44</v>
      </c>
      <c r="AA52" s="76">
        <f>0.9*K52</f>
        <v>649.08900000000006</v>
      </c>
      <c r="AB52" s="76">
        <f>1.3*K52</f>
        <v>937.57300000000009</v>
      </c>
      <c r="AC52" s="74" t="s">
        <v>44</v>
      </c>
      <c r="AD52" s="76" t="s">
        <v>45</v>
      </c>
      <c r="AE52" s="76" t="s">
        <v>46</v>
      </c>
      <c r="AF52" s="76" t="s">
        <v>47</v>
      </c>
      <c r="AG52" s="74" t="s">
        <v>48</v>
      </c>
    </row>
    <row r="53" spans="1:33" ht="185" customHeight="1" ns3:dyDescent="0.2">
      <c r="A53" s="53">
        <v>214.72</v>
      </c>
      <c r="B53" s="38">
        <f t="shared" si="11"/>
        <v>4</v>
      </c>
      <c r="C53" s="55" t="s">
        <v>152</v>
      </c>
      <c r="D53" s="39" t="str">
        <f t="shared" si="10"/>
        <v xml:space="preserve">                        Diesel Generator</v>
      </c>
      <c r="E53" s="39" t="s">
        <v>35</v>
      </c>
      <c r="F53" s="39"/>
      <c r="G53" s="39"/>
      <c r="H53" s="39"/>
      <c r="I53" s="39"/>
      <c r="J53" s="43"/>
      <c r="K53" s="56">
        <f>MARVEL_Cost!C11/N53</f>
        <v>2717311.5662650601</v>
      </c>
      <c r="L53" s="45" t="s">
        <v>98</v>
      </c>
      <c r="M53" s="47" t="s">
        <v>99</v>
      </c>
      <c r="N53" s="45">
        <f>'Design Variables'!B3/1000</f>
        <v>8.3000000000000004E-2</v>
      </c>
      <c r="O53" s="45" t="s">
        <v>100</v>
      </c>
      <c r="P53" s="45">
        <v>0.7</v>
      </c>
      <c r="Q53" s="65">
        <v>2024</v>
      </c>
      <c r="R53" s="45" t="s">
        <v>153</v>
      </c>
      <c r="S53" s="47" t="s">
        <v>154</v>
      </c>
      <c r="T53" s="47" t="s">
        <v>155</v>
      </c>
      <c r="U53" s="57" t="s">
        <v>156</v>
      </c>
      <c r="V53" s="49"/>
      <c r="W53" s="74" t="s">
        <v>157</v>
      </c>
      <c r="X53" s="77">
        <f>0.9*$J53</f>
        <v>0</v>
      </c>
      <c r="Y53" s="77">
        <f>1.5*J53</f>
        <v>0</v>
      </c>
      <c r="Z53" s="74" t="s">
        <v>44</v>
      </c>
      <c r="AA53" s="76">
        <f>0.9*K53</f>
        <v>2445580.4096385543</v>
      </c>
      <c r="AB53" s="76">
        <f>1.3*K53</f>
        <v>3532505.0361445784</v>
      </c>
      <c r="AC53" s="74" t="s">
        <v>44</v>
      </c>
      <c r="AD53" s="76" t="s">
        <v>45</v>
      </c>
      <c r="AE53" s="76" t="s">
        <v>46</v>
      </c>
      <c r="AF53" s="76" t="s">
        <v>47</v>
      </c>
      <c r="AG53" s="74" t="s">
        <v>48</v>
      </c>
    </row>
    <row r="54" spans="1:33" ht="22.75" customHeight="1" ns3:dyDescent="0.2">
      <c r="A54" s="53">
        <v>214.8</v>
      </c>
      <c r="B54" s="38">
        <f t="shared" si="11"/>
        <v>3</v>
      </c>
      <c r="C54" s="55" t="s">
        <v>158</v>
      </c>
      <c r="D54" s="39" t="str">
        <f t="shared" si="10"/>
        <v xml:space="preserve">                  Auxilliary Building</v>
      </c>
      <c r="E54" s="39"/>
      <c r="F54" s="39"/>
      <c r="G54" s="39"/>
      <c r="H54" s="39"/>
      <c r="I54" s="39"/>
      <c r="J54" s="43"/>
      <c r="K54" s="56"/>
      <c r="L54" s="45"/>
      <c r="M54" s="47"/>
      <c r="N54" s="45"/>
      <c r="O54" s="45"/>
      <c r="P54" s="45"/>
      <c r="Q54" s="65"/>
      <c r="R54" s="45"/>
      <c r="S54" s="47"/>
      <c r="T54" s="47"/>
      <c r="U54" s="57"/>
      <c r="V54" s="49"/>
      <c r="W54" s="74"/>
      <c r="X54" s="77"/>
      <c r="Y54" s="77"/>
      <c r="Z54" s="74"/>
      <c r="AA54" s="76"/>
      <c r="AB54" s="76"/>
      <c r="AC54" s="74"/>
      <c r="AD54" s="76"/>
      <c r="AE54" s="76"/>
      <c r="AF54" s="76"/>
      <c r="AG54" s="74"/>
    </row>
    <row r="55" spans="1:33" ht="26.75" customHeight="1" ns3:dyDescent="0.2">
      <c r="A55" s="53">
        <v>214.81</v>
      </c>
      <c r="B55" s="38">
        <f t="shared" si="11"/>
        <v>4</v>
      </c>
      <c r="C55" s="55" t="s">
        <v>159</v>
      </c>
      <c r="D55" s="39" t="str">
        <f t="shared" si="10"/>
        <v xml:space="preserve">                        Maniplator Building</v>
      </c>
      <c r="E55" s="39"/>
      <c r="F55" s="39"/>
      <c r="G55" s="45"/>
      <c r="H55" s="45"/>
      <c r="I55" s="45"/>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76.25" customHeight="1" ns3:dyDescent="0.2">
      <c r="A56" s="53">
        <v>214.81100000000001</v>
      </c>
      <c r="B56" s="38">
        <f t="shared" si="11"/>
        <v>5</v>
      </c>
      <c r="C56" s="55" t="s">
        <v>160</v>
      </c>
      <c r="D56" s="39" t="str">
        <f t="shared" si="10"/>
        <v xml:space="preserve">                              Manipulator Building Slab Roof</v>
      </c>
      <c r="E56" s="39" t="s">
        <v>35</v>
      </c>
      <c r="F56" s="39"/>
      <c r="G56" s="45"/>
      <c r="H56" s="45"/>
      <c r="I56" s="45"/>
      <c r="J56" s="43"/>
      <c r="K56" s="44">
        <f>1200</f>
        <v>1200</v>
      </c>
      <c r="L56" s="45" t="s">
        <v>80</v>
      </c>
      <c r="M56" s="55" t="s">
        <v>161</v>
      </c>
      <c r="N56" s="45"/>
      <c r="O56" s="45" t="s">
        <v>82</v>
      </c>
      <c r="P56" s="46"/>
      <c r="Q56" s="65">
        <v>2024</v>
      </c>
      <c r="R56" s="46" t="s">
        <v>86</v>
      </c>
      <c r="S56" s="215" t="s">
        <v>105</v>
      </c>
      <c r="T56" s="215" t="s">
        <v>75</v>
      </c>
      <c r="U56" s="222" t="s">
        <v>76</v>
      </c>
      <c r="V56" s="224" t="s">
        <v>162</v>
      </c>
      <c r="W56" s="74" t="s">
        <v>77</v>
      </c>
      <c r="X56" s="77">
        <f>0.9*$J56</f>
        <v>0</v>
      </c>
      <c r="Y56" s="77">
        <f>1.5*J56</f>
        <v>0</v>
      </c>
      <c r="Z56" s="74" t="s">
        <v>44</v>
      </c>
      <c r="AA56" s="76">
        <f>0.9*K56</f>
        <v>1080</v>
      </c>
      <c r="AB56" s="76">
        <f>1.3*K56</f>
        <v>1560</v>
      </c>
      <c r="AC56" s="74" t="s">
        <v>44</v>
      </c>
      <c r="AD56" s="76" t="s">
        <v>45</v>
      </c>
      <c r="AE56" s="76" t="s">
        <v>46</v>
      </c>
      <c r="AF56" s="76" t="s">
        <v>47</v>
      </c>
      <c r="AG56" s="74" t="s">
        <v>48</v>
      </c>
    </row>
    <row r="57" spans="1:33" ht="76.25" customHeight="1" ns3:dyDescent="0.2">
      <c r="A57" s="53">
        <v>214.81200000000001</v>
      </c>
      <c r="B57" s="38">
        <f t="shared" si="11"/>
        <v>5</v>
      </c>
      <c r="C57" s="55" t="s">
        <v>163</v>
      </c>
      <c r="D57" s="39" t="str">
        <f t="shared" si="10"/>
        <v xml:space="preserve">                              ManipulatorBuilding Basement</v>
      </c>
      <c r="E57" s="39" t="s">
        <v>35</v>
      </c>
      <c r="F57" s="39"/>
      <c r="G57" s="45"/>
      <c r="H57" s="45"/>
      <c r="I57" s="45"/>
      <c r="J57" s="43"/>
      <c r="K57" s="44">
        <f>943.9</f>
        <v>943.9</v>
      </c>
      <c r="L57" s="45" t="s">
        <v>80</v>
      </c>
      <c r="M57" s="55" t="s">
        <v>164</v>
      </c>
      <c r="N57" s="45"/>
      <c r="O57" s="45" t="s">
        <v>82</v>
      </c>
      <c r="P57" s="46"/>
      <c r="Q57" s="65">
        <v>2024</v>
      </c>
      <c r="R57" s="46" t="s">
        <v>86</v>
      </c>
      <c r="S57" s="216"/>
      <c r="T57" s="216"/>
      <c r="U57" s="216"/>
      <c r="V57" s="216"/>
      <c r="W57" s="74" t="s">
        <v>77</v>
      </c>
      <c r="X57" s="77">
        <f>0.9*$J57</f>
        <v>0</v>
      </c>
      <c r="Y57" s="77">
        <f>1.5*J57</f>
        <v>0</v>
      </c>
      <c r="Z57" s="74" t="s">
        <v>44</v>
      </c>
      <c r="AA57" s="76">
        <f>0.9*K57</f>
        <v>849.51</v>
      </c>
      <c r="AB57" s="76">
        <f>1.3*K57</f>
        <v>1227.07</v>
      </c>
      <c r="AC57" s="74" t="s">
        <v>44</v>
      </c>
      <c r="AD57" s="76" t="s">
        <v>45</v>
      </c>
      <c r="AE57" s="76" t="s">
        <v>46</v>
      </c>
      <c r="AF57" s="76" t="s">
        <v>47</v>
      </c>
      <c r="AG57" s="74" t="s">
        <v>48</v>
      </c>
    </row>
    <row r="58" spans="1:33" ht="76.25" customHeight="1" ns3:dyDescent="0.2">
      <c r="A58" s="53">
        <v>214.81299999999999</v>
      </c>
      <c r="B58" s="38">
        <f t="shared" si="11"/>
        <v>5</v>
      </c>
      <c r="C58" s="55" t="s">
        <v>165</v>
      </c>
      <c r="D58" s="39" t="str">
        <f t="shared" si="10"/>
        <v xml:space="preserve">                              Manipulator Building Exterior Walls</v>
      </c>
      <c r="E58" s="39" t="s">
        <v>35</v>
      </c>
      <c r="F58" s="39"/>
      <c r="G58" s="45"/>
      <c r="H58" s="45"/>
      <c r="I58" s="45"/>
      <c r="J58" s="43"/>
      <c r="K58" s="44">
        <f>721.21</f>
        <v>721.21</v>
      </c>
      <c r="L58" s="45" t="s">
        <v>80</v>
      </c>
      <c r="M58" s="55" t="s">
        <v>166</v>
      </c>
      <c r="N58" s="45"/>
      <c r="O58" s="45" t="s">
        <v>82</v>
      </c>
      <c r="P58" s="46"/>
      <c r="Q58" s="65">
        <v>2024</v>
      </c>
      <c r="R58" s="45" t="s">
        <v>86</v>
      </c>
      <c r="S58" s="217"/>
      <c r="T58" s="217"/>
      <c r="U58" s="217"/>
      <c r="V58" s="217"/>
      <c r="W58" s="74" t="s">
        <v>77</v>
      </c>
      <c r="X58" s="77">
        <f>0.9*$J58</f>
        <v>0</v>
      </c>
      <c r="Y58" s="77">
        <f>1.5*J58</f>
        <v>0</v>
      </c>
      <c r="Z58" s="74" t="s">
        <v>44</v>
      </c>
      <c r="AA58" s="76">
        <f>0.9*K58</f>
        <v>649.08900000000006</v>
      </c>
      <c r="AB58" s="76">
        <f>1.3*K58</f>
        <v>937.57300000000009</v>
      </c>
      <c r="AC58" s="74" t="s">
        <v>44</v>
      </c>
      <c r="AD58" s="76" t="s">
        <v>45</v>
      </c>
      <c r="AE58" s="76" t="s">
        <v>46</v>
      </c>
      <c r="AF58" s="76" t="s">
        <v>47</v>
      </c>
      <c r="AG58" s="74" t="s">
        <v>48</v>
      </c>
    </row>
    <row r="59" spans="1:33" ht="26.75" customHeight="1" ns3:dyDescent="0.2">
      <c r="A59" s="53">
        <v>215</v>
      </c>
      <c r="B59" s="38">
        <f t="shared" si="11"/>
        <v>2</v>
      </c>
      <c r="C59" s="55" t="s">
        <v>167</v>
      </c>
      <c r="D59" s="39" t="str">
        <f t="shared" si="10"/>
        <v xml:space="preserve">            Supply Chain Buildings</v>
      </c>
      <c r="E59" s="39"/>
      <c r="F59" s="39"/>
      <c r="G59" s="39"/>
      <c r="H59" s="39"/>
      <c r="I59" s="39"/>
      <c r="J59" s="43"/>
      <c r="K59" s="56"/>
      <c r="L59" s="45"/>
      <c r="M59" s="47"/>
      <c r="N59" s="45"/>
      <c r="O59" s="45"/>
      <c r="P59" s="45"/>
      <c r="Q59" s="65"/>
      <c r="R59" s="45"/>
      <c r="S59" s="47"/>
      <c r="T59" s="47"/>
      <c r="U59" s="57"/>
      <c r="V59" s="49"/>
      <c r="W59" s="74"/>
      <c r="X59" s="77"/>
      <c r="Y59" s="77"/>
      <c r="Z59" s="74"/>
      <c r="AA59" s="76"/>
      <c r="AB59" s="76"/>
      <c r="AC59" s="74"/>
      <c r="AD59" s="76"/>
      <c r="AE59" s="76"/>
      <c r="AF59" s="76"/>
      <c r="AG59" s="74"/>
    </row>
    <row r="60" spans="1:33" ht="26.75" customHeight="1" ns3:dyDescent="0.2">
      <c r="A60" s="53">
        <v>215.1</v>
      </c>
      <c r="B60" s="38">
        <f t="shared" si="11"/>
        <v>3</v>
      </c>
      <c r="C60" s="55" t="s">
        <v>168</v>
      </c>
      <c r="D60" s="39" t="str">
        <f t="shared" si="10"/>
        <v xml:space="preserve">                  Storage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51.75" customHeight="1" ns3:dyDescent="0.2">
      <c r="A61" s="53">
        <v>215.11</v>
      </c>
      <c r="B61" s="38">
        <f t="shared" si="11"/>
        <v>4</v>
      </c>
      <c r="C61" s="55" t="s">
        <v>169</v>
      </c>
      <c r="D61" s="39" t="str">
        <f t="shared" si="10"/>
        <v xml:space="preserve">                        Storage Building Slab Roof</v>
      </c>
      <c r="E61" s="39" t="s">
        <v>35</v>
      </c>
      <c r="F61" s="39"/>
      <c r="G61" s="39"/>
      <c r="H61" s="39"/>
      <c r="I61" s="39"/>
      <c r="J61" s="43"/>
      <c r="K61" s="44">
        <f>1200</f>
        <v>1200</v>
      </c>
      <c r="L61" s="45" t="s">
        <v>80</v>
      </c>
      <c r="M61" s="47" t="s">
        <v>170</v>
      </c>
      <c r="N61" s="45"/>
      <c r="O61" s="45" t="s">
        <v>82</v>
      </c>
      <c r="P61" s="45"/>
      <c r="Q61" s="65">
        <v>2024</v>
      </c>
      <c r="R61" s="45" t="s">
        <v>86</v>
      </c>
      <c r="S61" s="215" t="s">
        <v>105</v>
      </c>
      <c r="T61" s="215" t="s">
        <v>75</v>
      </c>
      <c r="U61" s="222" t="s">
        <v>76</v>
      </c>
      <c r="V61" s="49"/>
      <c r="W61" s="74" t="s">
        <v>77</v>
      </c>
      <c r="X61" s="77">
        <f>0.9*$J61</f>
        <v>0</v>
      </c>
      <c r="Y61" s="77">
        <f>1.5*J61</f>
        <v>0</v>
      </c>
      <c r="Z61" s="74" t="s">
        <v>44</v>
      </c>
      <c r="AA61" s="76">
        <f>0.9*K61</f>
        <v>1080</v>
      </c>
      <c r="AB61" s="76">
        <f>1.3*K61</f>
        <v>1560</v>
      </c>
      <c r="AC61" s="74" t="s">
        <v>44</v>
      </c>
      <c r="AD61" s="76" t="s">
        <v>45</v>
      </c>
      <c r="AE61" s="76" t="s">
        <v>46</v>
      </c>
      <c r="AF61" s="76" t="s">
        <v>47</v>
      </c>
      <c r="AG61" s="74" t="s">
        <v>48</v>
      </c>
    </row>
    <row r="62" spans="1:33" ht="51.75" customHeight="1" ns3:dyDescent="0.2">
      <c r="A62" s="53">
        <v>215.12</v>
      </c>
      <c r="B62" s="38">
        <f t="shared" si="11"/>
        <v>4</v>
      </c>
      <c r="C62" s="55" t="s">
        <v>171</v>
      </c>
      <c r="D62" s="39" t="str">
        <f t="shared" si="10"/>
        <v xml:space="preserve">                        Storage Building Basement</v>
      </c>
      <c r="E62" s="39" t="s">
        <v>35</v>
      </c>
      <c r="F62" s="39"/>
      <c r="G62" s="39"/>
      <c r="H62" s="39"/>
      <c r="I62" s="39"/>
      <c r="J62" s="43"/>
      <c r="K62" s="44">
        <f>943.9</f>
        <v>943.9</v>
      </c>
      <c r="L62" s="45" t="s">
        <v>80</v>
      </c>
      <c r="M62" s="47" t="s">
        <v>172</v>
      </c>
      <c r="N62" s="45"/>
      <c r="O62" s="45" t="s">
        <v>82</v>
      </c>
      <c r="P62" s="45"/>
      <c r="Q62" s="65">
        <v>2024</v>
      </c>
      <c r="R62" s="45" t="s">
        <v>86</v>
      </c>
      <c r="S62" s="216"/>
      <c r="T62" s="216"/>
      <c r="U62" s="216"/>
      <c r="V62" s="49"/>
      <c r="W62" s="74" t="s">
        <v>77</v>
      </c>
      <c r="X62" s="77">
        <f>0.9*$J62</f>
        <v>0</v>
      </c>
      <c r="Y62" s="77">
        <f>1.5*J62</f>
        <v>0</v>
      </c>
      <c r="Z62" s="74" t="s">
        <v>44</v>
      </c>
      <c r="AA62" s="76">
        <f>0.9*K62</f>
        <v>849.51</v>
      </c>
      <c r="AB62" s="76">
        <f>1.3*K62</f>
        <v>1227.07</v>
      </c>
      <c r="AC62" s="74" t="s">
        <v>44</v>
      </c>
      <c r="AD62" s="76" t="s">
        <v>45</v>
      </c>
      <c r="AE62" s="76" t="s">
        <v>46</v>
      </c>
      <c r="AF62" s="76" t="s">
        <v>47</v>
      </c>
      <c r="AG62" s="74" t="s">
        <v>48</v>
      </c>
    </row>
    <row r="63" spans="1:33" ht="76.25" customHeight="1" ns3:dyDescent="0.2">
      <c r="A63" s="53">
        <v>215.13</v>
      </c>
      <c r="B63" s="38">
        <f t="shared" si="11"/>
        <v>4</v>
      </c>
      <c r="C63" s="55" t="s">
        <v>173</v>
      </c>
      <c r="D63" s="39" t="str">
        <f t="shared" si="10"/>
        <v xml:space="preserve">                        Storage Building Walls</v>
      </c>
      <c r="E63" s="39" t="s">
        <v>35</v>
      </c>
      <c r="F63" s="39"/>
      <c r="G63" s="39"/>
      <c r="H63" s="39"/>
      <c r="I63" s="39"/>
      <c r="J63" s="43"/>
      <c r="K63" s="44">
        <f>721.21</f>
        <v>721.21</v>
      </c>
      <c r="L63" s="45" t="s">
        <v>80</v>
      </c>
      <c r="M63" s="47" t="s">
        <v>174</v>
      </c>
      <c r="N63" s="45"/>
      <c r="O63" s="45" t="s">
        <v>82</v>
      </c>
      <c r="P63" s="45"/>
      <c r="Q63" s="65">
        <v>2024</v>
      </c>
      <c r="R63" s="45" t="s">
        <v>86</v>
      </c>
      <c r="S63" s="217"/>
      <c r="T63" s="217"/>
      <c r="U63" s="217"/>
      <c r="V63" s="49"/>
      <c r="W63" s="74" t="s">
        <v>77</v>
      </c>
      <c r="X63" s="77">
        <f>0.9*$J63</f>
        <v>0</v>
      </c>
      <c r="Y63" s="77">
        <f>1.5*J63</f>
        <v>0</v>
      </c>
      <c r="Z63" s="74" t="s">
        <v>44</v>
      </c>
      <c r="AA63" s="76">
        <f>0.9*K63</f>
        <v>649.08900000000006</v>
      </c>
      <c r="AB63" s="76">
        <f>1.3*K63</f>
        <v>937.57300000000009</v>
      </c>
      <c r="AC63" s="74" t="s">
        <v>44</v>
      </c>
      <c r="AD63" s="76" t="s">
        <v>45</v>
      </c>
      <c r="AE63" s="76" t="s">
        <v>46</v>
      </c>
      <c r="AF63" s="76" t="s">
        <v>47</v>
      </c>
      <c r="AG63" s="74" t="s">
        <v>48</v>
      </c>
    </row>
    <row r="64" spans="1:33" ht="26.75" customHeight="1" ns3:dyDescent="0.2">
      <c r="A64" s="53">
        <v>215.4</v>
      </c>
      <c r="B64" s="38">
        <f t="shared" si="11"/>
        <v>3</v>
      </c>
      <c r="C64" s="55" t="s">
        <v>175</v>
      </c>
      <c r="D64" s="39" t="str">
        <f t="shared" si="10"/>
        <v xml:space="preserve">                  Radwaste Building</v>
      </c>
      <c r="E64" s="39"/>
      <c r="F64" s="39"/>
      <c r="G64" s="39"/>
      <c r="H64" s="39"/>
      <c r="I64" s="39"/>
      <c r="J64" s="43"/>
      <c r="K64" s="56"/>
      <c r="L64" s="45"/>
      <c r="M64" s="47"/>
      <c r="N64" s="45"/>
      <c r="O64" s="45"/>
      <c r="P64" s="45"/>
      <c r="Q64" s="65"/>
      <c r="R64" s="45"/>
      <c r="S64" s="47"/>
      <c r="T64" s="47"/>
      <c r="U64" s="57"/>
      <c r="V64" s="49"/>
      <c r="W64" s="74"/>
      <c r="X64" s="77"/>
      <c r="Y64" s="77"/>
      <c r="Z64" s="74"/>
      <c r="AA64" s="76"/>
      <c r="AB64" s="76"/>
      <c r="AC64" s="74"/>
      <c r="AD64" s="76"/>
      <c r="AE64" s="76"/>
      <c r="AF64" s="76"/>
      <c r="AG64" s="74"/>
    </row>
    <row r="65" spans="1:33" ht="51.75" customHeight="1" ns3:dyDescent="0.2">
      <c r="A65" s="53">
        <v>215.41</v>
      </c>
      <c r="B65" s="38">
        <f t="shared" si="11"/>
        <v>4</v>
      </c>
      <c r="C65" s="55" t="s">
        <v>176</v>
      </c>
      <c r="D65" s="39" t="str">
        <f t="shared" si="10"/>
        <v xml:space="preserve">                        Radwaste Building Slab Roof</v>
      </c>
      <c r="E65" s="39" t="s">
        <v>35</v>
      </c>
      <c r="F65" s="39"/>
      <c r="G65" s="39"/>
      <c r="H65" s="39"/>
      <c r="I65" s="39"/>
      <c r="J65" s="43"/>
      <c r="K65" s="44">
        <f>1200 *1.53</f>
        <v>1836</v>
      </c>
      <c r="L65" s="45" t="s">
        <v>80</v>
      </c>
      <c r="M65" s="47" t="s">
        <v>177</v>
      </c>
      <c r="N65" s="45"/>
      <c r="O65" s="45" t="s">
        <v>82</v>
      </c>
      <c r="P65" s="45"/>
      <c r="Q65" s="65">
        <v>2024</v>
      </c>
      <c r="R65" s="45" t="s">
        <v>86</v>
      </c>
      <c r="S65" s="215" t="s">
        <v>74</v>
      </c>
      <c r="T65" s="215" t="s">
        <v>75</v>
      </c>
      <c r="U65" s="222" t="s">
        <v>76</v>
      </c>
      <c r="V65" s="49"/>
      <c r="W65" s="74" t="s">
        <v>77</v>
      </c>
      <c r="X65" s="77">
        <f>0.9*$J65</f>
        <v>0</v>
      </c>
      <c r="Y65" s="77">
        <f>1.5*J65</f>
        <v>0</v>
      </c>
      <c r="Z65" s="74" t="s">
        <v>44</v>
      </c>
      <c r="AA65" s="76">
        <f>0.9*K65</f>
        <v>1652.4</v>
      </c>
      <c r="AB65" s="76">
        <f>1.3*K65</f>
        <v>2386.8000000000002</v>
      </c>
      <c r="AC65" s="74" t="s">
        <v>44</v>
      </c>
      <c r="AD65" s="76" t="s">
        <v>45</v>
      </c>
      <c r="AE65" s="76" t="s">
        <v>46</v>
      </c>
      <c r="AF65" s="76" t="s">
        <v>47</v>
      </c>
      <c r="AG65" s="74" t="s">
        <v>48</v>
      </c>
    </row>
    <row r="66" spans="1:33" ht="51.75" customHeight="1" ns3:dyDescent="0.2">
      <c r="A66" s="53">
        <v>215.42</v>
      </c>
      <c r="B66" s="38">
        <f t="shared" si="11"/>
        <v>4</v>
      </c>
      <c r="C66" s="55" t="s">
        <v>178</v>
      </c>
      <c r="D66" s="39" t="str">
        <f t="shared" si="10"/>
        <v xml:space="preserve">                        Radwaste Building Basement</v>
      </c>
      <c r="E66" s="39" t="s">
        <v>35</v>
      </c>
      <c r="F66" s="39"/>
      <c r="G66" s="39"/>
      <c r="H66" s="39"/>
      <c r="I66" s="39"/>
      <c r="J66" s="43"/>
      <c r="K66" s="44">
        <f>943.9*1.53</f>
        <v>1444.1669999999999</v>
      </c>
      <c r="L66" s="45" t="s">
        <v>80</v>
      </c>
      <c r="M66" s="47" t="s">
        <v>179</v>
      </c>
      <c r="N66" s="45"/>
      <c r="O66" s="45" t="s">
        <v>82</v>
      </c>
      <c r="P66" s="45"/>
      <c r="Q66" s="65">
        <v>2024</v>
      </c>
      <c r="R66" s="45" t="s">
        <v>86</v>
      </c>
      <c r="S66" s="216"/>
      <c r="T66" s="216"/>
      <c r="U66" s="216"/>
      <c r="V66" s="49"/>
      <c r="W66" s="74" t="s">
        <v>77</v>
      </c>
      <c r="X66" s="77">
        <f>0.9*$J66</f>
        <v>0</v>
      </c>
      <c r="Y66" s="77">
        <f>1.5*J66</f>
        <v>0</v>
      </c>
      <c r="Z66" s="74" t="s">
        <v>44</v>
      </c>
      <c r="AA66" s="76">
        <f>0.9*K66</f>
        <v>1299.7502999999999</v>
      </c>
      <c r="AB66" s="76">
        <f>1.3*K66</f>
        <v>1877.4170999999999</v>
      </c>
      <c r="AC66" s="74" t="s">
        <v>44</v>
      </c>
      <c r="AD66" s="76" t="s">
        <v>45</v>
      </c>
      <c r="AE66" s="76" t="s">
        <v>46</v>
      </c>
      <c r="AF66" s="76" t="s">
        <v>47</v>
      </c>
      <c r="AG66" s="74" t="s">
        <v>48</v>
      </c>
    </row>
    <row r="67" spans="1:33" ht="76.25" customHeight="1" ns3:dyDescent="0.2">
      <c r="A67" s="53">
        <v>215.43</v>
      </c>
      <c r="B67" s="38">
        <f t="shared" si="11"/>
        <v>4</v>
      </c>
      <c r="C67" s="55" t="s">
        <v>180</v>
      </c>
      <c r="D67" s="39" t="str">
        <f t="shared" si="10"/>
        <v xml:space="preserve">                        Radwaste Building Walls</v>
      </c>
      <c r="E67" s="39" t="s">
        <v>35</v>
      </c>
      <c r="F67" s="39"/>
      <c r="G67" s="39"/>
      <c r="H67" s="39"/>
      <c r="I67" s="39"/>
      <c r="J67" s="43"/>
      <c r="K67" s="44">
        <f>721.21*1.53</f>
        <v>1103.4513000000002</v>
      </c>
      <c r="L67" s="45" t="s">
        <v>80</v>
      </c>
      <c r="M67" s="47" t="s">
        <v>181</v>
      </c>
      <c r="N67" s="45"/>
      <c r="O67" s="45" t="s">
        <v>82</v>
      </c>
      <c r="P67" s="45"/>
      <c r="Q67" s="65">
        <v>2024</v>
      </c>
      <c r="R67" s="45" t="s">
        <v>86</v>
      </c>
      <c r="S67" s="217"/>
      <c r="T67" s="217"/>
      <c r="U67" s="217"/>
      <c r="V67" s="49"/>
      <c r="W67" s="74" t="s">
        <v>77</v>
      </c>
      <c r="X67" s="77">
        <f>0.9*$J67</f>
        <v>0</v>
      </c>
      <c r="Y67" s="77">
        <f>1.5*J67</f>
        <v>0</v>
      </c>
      <c r="Z67" s="74" t="s">
        <v>44</v>
      </c>
      <c r="AA67" s="76">
        <f>0.9*K67</f>
        <v>993.10617000000013</v>
      </c>
      <c r="AB67" s="76">
        <f>1.3*K67</f>
        <v>1434.4866900000002</v>
      </c>
      <c r="AC67" s="74" t="s">
        <v>44</v>
      </c>
      <c r="AD67" s="76" t="s">
        <v>45</v>
      </c>
      <c r="AE67" s="76" t="s">
        <v>46</v>
      </c>
      <c r="AF67" s="76" t="s">
        <v>47</v>
      </c>
      <c r="AG67" s="74" t="s">
        <v>48</v>
      </c>
    </row>
    <row r="68" spans="1:33" ht="26.75" customHeight="1" ns3:dyDescent="0.2">
      <c r="A68" s="37">
        <v>22</v>
      </c>
      <c r="B68" s="38">
        <f t="shared" si="11"/>
        <v>1</v>
      </c>
      <c r="C68" s="55" t="s">
        <v>182</v>
      </c>
      <c r="D68" s="39" t="str">
        <f t="shared" si="10"/>
        <v xml:space="preserve">      Reactor System</v>
      </c>
      <c r="E68" s="39"/>
      <c r="F68" s="39"/>
      <c r="G68" s="39"/>
      <c r="H68" s="39"/>
      <c r="I68" s="39"/>
      <c r="J68" s="43"/>
      <c r="K68" s="44"/>
      <c r="L68" s="46"/>
      <c r="M68" s="58"/>
      <c r="N68" s="49"/>
      <c r="O68" s="49"/>
      <c r="P68" s="49"/>
      <c r="Q68" s="65"/>
      <c r="R68" s="49"/>
      <c r="S68" s="58"/>
      <c r="T68" s="49"/>
      <c r="U68" s="49"/>
      <c r="V68" s="49"/>
      <c r="W68" s="74"/>
      <c r="X68" s="77"/>
      <c r="Y68" s="77"/>
      <c r="Z68" s="74"/>
      <c r="AA68" s="76"/>
      <c r="AB68" s="76"/>
      <c r="AC68" s="74"/>
      <c r="AD68" s="76"/>
      <c r="AE68" s="76"/>
      <c r="AF68" s="76"/>
      <c r="AG68" s="74"/>
    </row>
    <row r="69" spans="1:33" ht="26.75" customHeight="1" ns3:dyDescent="0.2">
      <c r="A69" s="53">
        <v>221</v>
      </c>
      <c r="B69" s="38">
        <f t="shared" si="11"/>
        <v>2</v>
      </c>
      <c r="C69" s="55" t="s">
        <v>183</v>
      </c>
      <c r="D69" s="39" t="str">
        <f t="shared" si="10"/>
        <v xml:space="preserve">            Reactor Components</v>
      </c>
      <c r="E69" s="39"/>
      <c r="F69" s="39"/>
      <c r="G69" s="39"/>
      <c r="H69" s="39"/>
      <c r="I69" s="39"/>
      <c r="J69" s="43"/>
      <c r="K69" s="44"/>
      <c r="L69" s="46"/>
      <c r="M69" s="58"/>
      <c r="N69" s="49"/>
      <c r="O69" s="49"/>
      <c r="P69" s="49"/>
      <c r="Q69" s="65"/>
      <c r="R69" s="49"/>
      <c r="S69" s="58"/>
      <c r="T69" s="49"/>
      <c r="U69" s="49"/>
      <c r="V69" s="49"/>
      <c r="W69" s="74"/>
      <c r="X69" s="77"/>
      <c r="Y69" s="77"/>
      <c r="Z69" s="74"/>
      <c r="AA69" s="76"/>
      <c r="AB69" s="76"/>
      <c r="AC69" s="74"/>
      <c r="AD69" s="76"/>
      <c r="AE69" s="76"/>
      <c r="AF69" s="76"/>
      <c r="AG69" s="74"/>
    </row>
    <row r="70" spans="1:33" ht="53.25" customHeight="1" ns3:dyDescent="0.2">
      <c r="A70" s="53">
        <v>221.1</v>
      </c>
      <c r="B70" s="38">
        <f t="shared" si="11"/>
        <v>3</v>
      </c>
      <c r="C70" s="55" t="s">
        <v>184</v>
      </c>
      <c r="D70" s="39" t="str">
        <f t="shared" ref="D70:D104" si="12">REPT("   ", B70*2) &amp; C70</f>
        <v xml:space="preserve">                  Reactor Vessel and Accessories</v>
      </c>
      <c r="E70" s="39"/>
      <c r="F70" s="39"/>
      <c r="G70" s="39"/>
      <c r="H70" s="39"/>
      <c r="I70" s="39"/>
      <c r="J70" s="43"/>
      <c r="K70" s="59"/>
      <c r="L70" s="49"/>
      <c r="M70" s="58"/>
      <c r="N70" s="49"/>
      <c r="O70" s="49"/>
      <c r="P70" s="49"/>
      <c r="Q70" s="65"/>
      <c r="R70" s="49"/>
      <c r="S70" s="58"/>
      <c r="T70" s="49"/>
      <c r="U70" s="49"/>
      <c r="V70" s="49"/>
      <c r="W70" s="74"/>
      <c r="X70" s="77"/>
      <c r="Y70" s="77"/>
      <c r="Z70" s="74"/>
      <c r="AA70" s="76"/>
      <c r="AB70" s="76"/>
      <c r="AC70" s="74"/>
      <c r="AD70" s="76"/>
      <c r="AE70" s="76"/>
      <c r="AF70" s="76"/>
      <c r="AG70" s="74"/>
    </row>
    <row r="71" spans="1:33" ht="112" customHeight="1" ns3:dyDescent="0.2">
      <c r="A71" s="53">
        <v>221.11</v>
      </c>
      <c r="B71" s="38">
        <f t="shared" si="11"/>
        <v>4</v>
      </c>
      <c r="C71" s="55" t="s">
        <v>185</v>
      </c>
      <c r="D71" s="39" t="str">
        <f t="shared" si="12"/>
        <v xml:space="preserve">                        Reactor Support</v>
      </c>
      <c r="E71" s="39" t="s">
        <v>35</v>
      </c>
      <c r="F71" s="39"/>
      <c r="G71" s="39"/>
      <c r="H71" s="39"/>
      <c r="I71" s="39"/>
      <c r="J71" s="43"/>
      <c r="K71" s="60">
        <f>MARVEL_Cost!C16/N71</f>
        <v>311.55798937474458</v>
      </c>
      <c r="L71" s="49" t="s">
        <v>186</v>
      </c>
      <c r="M71" s="58" t="s">
        <v>187</v>
      </c>
      <c r="N71" s="49">
        <f>1000*('Design Variables'!B52+'Design Variables'!B49)</f>
        <v>2447</v>
      </c>
      <c r="O71" s="49" t="s">
        <v>188</v>
      </c>
      <c r="P71" s="49">
        <v>0.85</v>
      </c>
      <c r="Q71" s="65">
        <v>2018</v>
      </c>
      <c r="R71" s="49" t="s">
        <v>86</v>
      </c>
      <c r="S71" s="58" t="s">
        <v>189</v>
      </c>
      <c r="T71" s="58"/>
      <c r="U71" s="55"/>
      <c r="V71" s="58" t="s">
        <v>190</v>
      </c>
      <c r="W71" s="74" t="s">
        <v>191</v>
      </c>
      <c r="X71" s="77">
        <f t="shared" ref="X71:X77" si="13">0.9*$J71</f>
        <v>0</v>
      </c>
      <c r="Y71" s="77">
        <f t="shared" ref="Y71:Y77" si="14">1.5*J71</f>
        <v>0</v>
      </c>
      <c r="Z71" s="74" t="s">
        <v>44</v>
      </c>
      <c r="AA71" s="76">
        <f t="shared" ref="AA71:AA77" si="15">0.9*K71</f>
        <v>280.40219043727012</v>
      </c>
      <c r="AB71" s="76">
        <f t="shared" ref="AB71:AB77" si="16">1.3*K71</f>
        <v>405.02538618716795</v>
      </c>
      <c r="AC71" s="74" t="s">
        <v>44</v>
      </c>
      <c r="AD71" s="76" t="s">
        <v>45</v>
      </c>
      <c r="AE71" s="76" t="s">
        <v>46</v>
      </c>
      <c r="AF71" s="76" t="s">
        <v>47</v>
      </c>
      <c r="AG71" s="74" t="s">
        <v>48</v>
      </c>
    </row>
    <row r="72" spans="1:33" ht="53.25" customHeight="1" ns3:dyDescent="0.2">
      <c r="A72" s="53">
        <v>221.12</v>
      </c>
      <c r="B72" s="38">
        <f t="shared" si="11"/>
        <v>4</v>
      </c>
      <c r="C72" s="55" t="s">
        <v>192</v>
      </c>
      <c r="D72" s="39" t="str">
        <f t="shared" si="12"/>
        <v xml:space="preserve">                        Outer Vessel Structure</v>
      </c>
      <c r="E72" s="39" t="s">
        <v>35</v>
      </c>
      <c r="F72" s="39" t="s">
        <v>193</v>
      </c>
      <c r="G72" s="39" t="s">
        <v>194</v>
      </c>
      <c r="H72" s="39"/>
      <c r="I72" s="39"/>
      <c r="J72" s="43"/>
      <c r="K72" s="60">
        <f>MARVEL_Cost!C17/N72</f>
        <v>757.20768746061754</v>
      </c>
      <c r="L72" s="49" t="s">
        <v>186</v>
      </c>
      <c r="M72" s="58" t="s">
        <v>195</v>
      </c>
      <c r="N72" s="61">
        <f>'Design Variables'!B52*1000</f>
        <v>1587</v>
      </c>
      <c r="O72" s="49" t="s">
        <v>188</v>
      </c>
      <c r="P72" s="49"/>
      <c r="Q72" s="65">
        <v>2017</v>
      </c>
      <c r="R72" s="49" t="s">
        <v>86</v>
      </c>
      <c r="S72" s="58" t="s">
        <v>196</v>
      </c>
      <c r="T72" s="220" t="s">
        <v>197</v>
      </c>
      <c r="U72" s="55"/>
      <c r="V72" s="49"/>
      <c r="W72" s="74" t="s">
        <v>191</v>
      </c>
      <c r="X72" s="77">
        <f t="shared" si="13"/>
        <v>0</v>
      </c>
      <c r="Y72" s="77">
        <f t="shared" si="14"/>
        <v>0</v>
      </c>
      <c r="Z72" s="74" t="s">
        <v>44</v>
      </c>
      <c r="AA72" s="76">
        <f t="shared" si="15"/>
        <v>681.48691871455583</v>
      </c>
      <c r="AB72" s="76">
        <f t="shared" si="16"/>
        <v>984.36999369880277</v>
      </c>
      <c r="AC72" s="74" t="s">
        <v>44</v>
      </c>
      <c r="AD72" s="76" t="s">
        <v>45</v>
      </c>
      <c r="AE72" s="76" t="s">
        <v>46</v>
      </c>
      <c r="AF72" s="76" t="s">
        <v>47</v>
      </c>
      <c r="AG72" s="74" t="s">
        <v>48</v>
      </c>
    </row>
    <row r="73" spans="1:33" ht="53.25" customHeight="1" ns3:dyDescent="0.2">
      <c r="A73" s="53">
        <v>221.12</v>
      </c>
      <c r="B73" s="38">
        <f t="shared" si="11"/>
        <v>4</v>
      </c>
      <c r="C73" s="55" t="s">
        <v>192</v>
      </c>
      <c r="D73" s="39" t="str">
        <f t="shared" si="12"/>
        <v xml:space="preserve">                        Outer Vessel Structure</v>
      </c>
      <c r="E73" s="39" t="s">
        <v>35</v>
      </c>
      <c r="F73" s="39" t="s">
        <v>193</v>
      </c>
      <c r="G73" s="39" t="s">
        <v>198</v>
      </c>
      <c r="H73" s="39"/>
      <c r="I73" s="39"/>
      <c r="J73" s="43"/>
      <c r="K73" s="60">
        <v>154.08000000000001</v>
      </c>
      <c r="L73" s="49" t="s">
        <v>186</v>
      </c>
      <c r="M73" s="58" t="s">
        <v>195</v>
      </c>
      <c r="N73" s="61"/>
      <c r="O73" s="49"/>
      <c r="P73" s="49"/>
      <c r="Q73" s="65">
        <v>2017</v>
      </c>
      <c r="R73" s="49" t="s">
        <v>86</v>
      </c>
      <c r="S73" s="58" t="s">
        <v>196</v>
      </c>
      <c r="T73" s="216"/>
      <c r="U73" s="55"/>
      <c r="V73" s="49"/>
      <c r="W73" s="74" t="s">
        <v>191</v>
      </c>
      <c r="X73" s="77">
        <f t="shared" si="13"/>
        <v>0</v>
      </c>
      <c r="Y73" s="77">
        <f t="shared" si="14"/>
        <v>0</v>
      </c>
      <c r="Z73" s="74" t="s">
        <v>44</v>
      </c>
      <c r="AA73" s="76">
        <f t="shared" si="15"/>
        <v>138.67200000000003</v>
      </c>
      <c r="AB73" s="76">
        <f t="shared" si="16"/>
        <v>200.30400000000003</v>
      </c>
      <c r="AC73" s="74" t="s">
        <v>44</v>
      </c>
      <c r="AD73" s="76" t="s">
        <v>45</v>
      </c>
      <c r="AE73" s="76" t="s">
        <v>46</v>
      </c>
      <c r="AF73" s="76" t="s">
        <v>47</v>
      </c>
      <c r="AG73" s="74" t="s">
        <v>48</v>
      </c>
    </row>
    <row r="74" spans="1:33" ht="53.25" customHeight="1" ns3:dyDescent="0.2">
      <c r="A74" s="53">
        <v>221.12</v>
      </c>
      <c r="B74" s="38">
        <f>IF(ISNUMBER(A74),
    IF(AND(A74=INT(A74), MOD(A74, 10) = 0), 0,
        IF(AND(A74=INT(A74), LEN(A74)=2), 1,
            IF(AND(A74=INT(A74), LEN(A74)=3), 2,
                LEN(A74) - FIND(".", A74) + 2)
        )
    ),
"")</f>
        <v>4</v>
      </c>
      <c r="C74" s="55" t="s">
        <v>192</v>
      </c>
      <c r="D74" s="39" t="str">
        <f t="shared" si="12"/>
        <v xml:space="preserve">                        Outer Vessel Structure</v>
      </c>
      <c r="E74" s="39" t="s">
        <v>35</v>
      </c>
      <c r="F74" s="39" t="s">
        <v>193</v>
      </c>
      <c r="G74" s="39" t="s">
        <v>199</v>
      </c>
      <c r="H74" s="39"/>
      <c r="I74" s="39"/>
      <c r="J74" s="43"/>
      <c r="K74" s="60">
        <v>444.08</v>
      </c>
      <c r="L74" s="49" t="s">
        <v>186</v>
      </c>
      <c r="M74" s="58" t="s">
        <v>195</v>
      </c>
      <c r="N74" s="61"/>
      <c r="O74" s="49"/>
      <c r="P74" s="49"/>
      <c r="Q74" s="65">
        <v>2017</v>
      </c>
      <c r="R74" s="49" t="s">
        <v>86</v>
      </c>
      <c r="S74" s="58" t="s">
        <v>196</v>
      </c>
      <c r="T74" s="216"/>
      <c r="U74" s="55"/>
      <c r="V74" s="49"/>
      <c r="W74" s="74" t="s">
        <v>191</v>
      </c>
      <c r="X74" s="77">
        <f t="shared" si="13"/>
        <v>0</v>
      </c>
      <c r="Y74" s="77">
        <f t="shared" si="14"/>
        <v>0</v>
      </c>
      <c r="Z74" s="74" t="s">
        <v>44</v>
      </c>
      <c r="AA74" s="76">
        <f t="shared" si="15"/>
        <v>399.67199999999997</v>
      </c>
      <c r="AB74" s="76">
        <f t="shared" si="16"/>
        <v>577.30399999999997</v>
      </c>
      <c r="AC74" s="74" t="s">
        <v>44</v>
      </c>
      <c r="AD74" s="76" t="s">
        <v>45</v>
      </c>
      <c r="AE74" s="76" t="s">
        <v>46</v>
      </c>
      <c r="AF74" s="76" t="s">
        <v>47</v>
      </c>
      <c r="AG74" s="74" t="s">
        <v>48</v>
      </c>
    </row>
    <row r="75" spans="1:33" ht="53.25" customHeight="1" ns3:dyDescent="0.2">
      <c r="A75" s="53">
        <v>221.13</v>
      </c>
      <c r="B75" s="38">
        <f>IF(ISNUMBER(A75),
IF(AND(A75=INT(A75), MOD(A75, 10) = 0), 0,
IF(AND(A75=INT(A75), LEN(A75)=2), 1,
IF(AND(A75=INT(A75), LEN(A75)=3), 2,
LEN(A75) - FIND(".", A75) + 2)
)
),
"")</f>
        <v>4</v>
      </c>
      <c r="C75" s="55" t="s">
        <v>200</v>
      </c>
      <c r="D75" s="39" t="str">
        <f t="shared" si="12"/>
        <v xml:space="preserve">                        Inner Vessel Structure</v>
      </c>
      <c r="E75" s="39" t="s">
        <v>35</v>
      </c>
      <c r="F75" s="39" t="s">
        <v>201</v>
      </c>
      <c r="G75" s="39" t="s">
        <v>194</v>
      </c>
      <c r="H75" s="39"/>
      <c r="I75" s="39"/>
      <c r="J75" s="43">
        <f>MARVEL_Cost!C37+MARVEL_Cost!C36</f>
        <v>3369444.6</v>
      </c>
      <c r="K75" s="60">
        <f>(MARVEL_Cost!C35)/N75</f>
        <v>1768.3558139534885</v>
      </c>
      <c r="L75" s="49" t="s">
        <v>186</v>
      </c>
      <c r="M75" s="58" t="s">
        <v>202</v>
      </c>
      <c r="N75" s="49">
        <f>1000*'Design Variables'!B49</f>
        <v>860</v>
      </c>
      <c r="O75" s="49"/>
      <c r="P75" s="49"/>
      <c r="Q75" s="65">
        <v>2017</v>
      </c>
      <c r="R75" s="49" t="s">
        <v>86</v>
      </c>
      <c r="S75" s="58" t="s">
        <v>196</v>
      </c>
      <c r="T75" s="216"/>
      <c r="U75" s="55"/>
      <c r="V75" s="58" t="s">
        <v>203</v>
      </c>
      <c r="W75" s="74" t="s">
        <v>191</v>
      </c>
      <c r="X75" s="77">
        <f t="shared" si="13"/>
        <v>3032500.14</v>
      </c>
      <c r="Y75" s="77">
        <f t="shared" si="14"/>
        <v>5054166.9000000004</v>
      </c>
      <c r="Z75" s="74" t="s">
        <v>44</v>
      </c>
      <c r="AA75" s="76">
        <f t="shared" si="15"/>
        <v>1591.5202325581397</v>
      </c>
      <c r="AB75" s="76">
        <f t="shared" si="16"/>
        <v>2298.8625581395349</v>
      </c>
      <c r="AC75" s="74" t="s">
        <v>44</v>
      </c>
      <c r="AD75" s="76" t="s">
        <v>45</v>
      </c>
      <c r="AE75" s="76" t="s">
        <v>46</v>
      </c>
      <c r="AF75" s="76" t="s">
        <v>47</v>
      </c>
      <c r="AG75" s="74" t="s">
        <v>48</v>
      </c>
    </row>
    <row r="76" spans="1:33" ht="53.25" customHeight="1" ns3:dyDescent="0.2">
      <c r="A76" s="53">
        <v>221.13</v>
      </c>
      <c r="B76" s="38">
        <f>IF(ISNUMBER(A76),
IF(AND(A76=INT(A76), MOD(A76, 10) = 0), 0,
IF(AND(A76=INT(A76), LEN(A76)=2), 1,
IF(AND(A76=INT(A76), LEN(A76)=3), 2,
LEN(A76) - FIND(".", A76) + 2)
)
),
"")</f>
        <v>4</v>
      </c>
      <c r="C76" s="55" t="s">
        <v>200</v>
      </c>
      <c r="D76" s="39" t="str">
        <f t="shared" si="12"/>
        <v xml:space="preserve">                        Inner Vessel Structure</v>
      </c>
      <c r="E76" s="39" t="s">
        <v>35</v>
      </c>
      <c r="F76" s="39" t="s">
        <v>201</v>
      </c>
      <c r="G76" s="39" t="s">
        <v>198</v>
      </c>
      <c r="H76" s="39"/>
      <c r="I76" s="39"/>
      <c r="J76" s="43"/>
      <c r="K76" s="60">
        <v>154.08000000000001</v>
      </c>
      <c r="L76" s="49" t="s">
        <v>186</v>
      </c>
      <c r="M76" s="58" t="s">
        <v>202</v>
      </c>
      <c r="N76" s="49"/>
      <c r="O76" s="49"/>
      <c r="P76" s="49"/>
      <c r="Q76" s="65">
        <v>2017</v>
      </c>
      <c r="R76" s="49" t="s">
        <v>86</v>
      </c>
      <c r="S76" s="58" t="s">
        <v>196</v>
      </c>
      <c r="T76" s="216"/>
      <c r="U76" s="55"/>
      <c r="V76" s="58"/>
      <c r="W76" s="74" t="s">
        <v>191</v>
      </c>
      <c r="X76" s="77">
        <f t="shared" si="13"/>
        <v>0</v>
      </c>
      <c r="Y76" s="77">
        <f t="shared" si="14"/>
        <v>0</v>
      </c>
      <c r="Z76" s="74" t="s">
        <v>44</v>
      </c>
      <c r="AA76" s="76">
        <f t="shared" si="15"/>
        <v>138.67200000000003</v>
      </c>
      <c r="AB76" s="76">
        <f t="shared" si="16"/>
        <v>200.30400000000003</v>
      </c>
      <c r="AC76" s="74" t="s">
        <v>44</v>
      </c>
      <c r="AD76" s="76" t="s">
        <v>45</v>
      </c>
      <c r="AE76" s="76" t="s">
        <v>46</v>
      </c>
      <c r="AF76" s="76" t="s">
        <v>47</v>
      </c>
      <c r="AG76" s="74" t="s">
        <v>48</v>
      </c>
    </row>
    <row r="77" spans="1:33" ht="53.25" customHeight="1" ns3:dyDescent="0.2">
      <c r="A77" s="53">
        <v>221.13</v>
      </c>
      <c r="B77" s="38">
        <f>IF(ISNUMBER(A77),
    IF(AND(A77=INT(A77), MOD(A77, 10) = 0), 0,
        IF(AND(A77=INT(A77), LEN(A77)=2), 1,
            IF(AND(A77=INT(A77), LEN(A77)=3), 2,
                LEN(A77) - FIND(".", A77) + 2)
        )
    ),
"")</f>
        <v>4</v>
      </c>
      <c r="C77" s="55" t="s">
        <v>200</v>
      </c>
      <c r="D77" s="39" t="str">
        <f t="shared" si="12"/>
        <v xml:space="preserve">                        Inner Vessel Structure</v>
      </c>
      <c r="E77" s="39" t="s">
        <v>35</v>
      </c>
      <c r="F77" s="39" t="s">
        <v>201</v>
      </c>
      <c r="G77" s="39" t="s">
        <v>199</v>
      </c>
      <c r="H77" s="39"/>
      <c r="I77" s="39"/>
      <c r="J77" s="43"/>
      <c r="K77" s="60">
        <v>444.08</v>
      </c>
      <c r="L77" s="49" t="s">
        <v>186</v>
      </c>
      <c r="M77" s="58" t="s">
        <v>202</v>
      </c>
      <c r="N77" s="49"/>
      <c r="O77" s="49"/>
      <c r="P77" s="49"/>
      <c r="Q77" s="65">
        <v>2017</v>
      </c>
      <c r="R77" s="49" t="s">
        <v>86</v>
      </c>
      <c r="S77" s="58" t="s">
        <v>196</v>
      </c>
      <c r="T77" s="217"/>
      <c r="U77" s="55"/>
      <c r="V77" s="58"/>
      <c r="W77" s="74" t="s">
        <v>191</v>
      </c>
      <c r="X77" s="77">
        <f t="shared" si="13"/>
        <v>0</v>
      </c>
      <c r="Y77" s="77">
        <f t="shared" si="14"/>
        <v>0</v>
      </c>
      <c r="Z77" s="74" t="s">
        <v>44</v>
      </c>
      <c r="AA77" s="76">
        <f t="shared" si="15"/>
        <v>399.67199999999997</v>
      </c>
      <c r="AB77" s="76">
        <f t="shared" si="16"/>
        <v>577.30399999999997</v>
      </c>
      <c r="AC77" s="74" t="s">
        <v>44</v>
      </c>
      <c r="AD77" s="76" t="s">
        <v>45</v>
      </c>
      <c r="AE77" s="76" t="s">
        <v>46</v>
      </c>
      <c r="AF77" s="76" t="s">
        <v>47</v>
      </c>
      <c r="AG77" s="74" t="s">
        <v>48</v>
      </c>
    </row>
    <row r="78" spans="1:33" ht="53.25" customHeight="1" ns3:dyDescent="0.2">
      <c r="A78" s="53">
        <v>221.2</v>
      </c>
      <c r="B78" s="38">
        <f>IF(ISNUMBER(A78),
IF(AND(A78=INT(A78), MOD(A78, 10) = 0), 0,
IF(AND(A78=INT(A78), LEN(A78)=2), 1,
IF(AND(A78=INT(A78), LEN(A78)=3), 2,
LEN(A78) - FIND(".", A78) + 2)
)
),
"")</f>
        <v>3</v>
      </c>
      <c r="C78" s="55" t="s">
        <v>204</v>
      </c>
      <c r="D78" s="39" t="str">
        <f t="shared" si="12"/>
        <v xml:space="preserve">                  Reactor Control Devices</v>
      </c>
      <c r="E78" s="39"/>
      <c r="F78" s="39"/>
      <c r="G78" s="39"/>
      <c r="H78" s="39"/>
      <c r="I78" s="39"/>
      <c r="J78" s="43"/>
      <c r="K78" s="60"/>
      <c r="L78" s="49"/>
      <c r="M78" s="58"/>
      <c r="N78" s="49"/>
      <c r="O78" s="49"/>
      <c r="P78" s="49"/>
      <c r="Q78" s="65"/>
      <c r="R78" s="49"/>
      <c r="S78" s="58"/>
      <c r="T78" s="49"/>
      <c r="U78" s="49"/>
      <c r="V78" s="49"/>
      <c r="W78" s="74"/>
      <c r="X78" s="77"/>
      <c r="Y78" s="77"/>
      <c r="Z78" s="74"/>
      <c r="AA78" s="76"/>
      <c r="AB78" s="76"/>
      <c r="AC78" s="74"/>
      <c r="AD78" s="76"/>
      <c r="AE78" s="76"/>
      <c r="AF78" s="76"/>
      <c r="AG78" s="74"/>
    </row>
    <row r="79" spans="1:33" ht="53.25" customHeight="1" ns3:dyDescent="0.2">
      <c r="A79" s="53">
        <v>221.21</v>
      </c>
      <c r="B79" s="38">
        <f>IF(ISNUMBER(A79),
IF(AND(A79=INT(A79), MOD(A79, 10) = 0), 0,
IF(AND(A79=INT(A79), LEN(A79)=2), 1,
IF(AND(A79=INT(A79), LEN(A79)=3), 2,
LEN(A79) - FIND(".", A79) + 2)
)
),
"")</f>
        <v>4</v>
      </c>
      <c r="C79" s="55" t="s">
        <v>205</v>
      </c>
      <c r="D79" s="39" t="str">
        <f t="shared" si="12"/>
        <v xml:space="preserve">                        Reactivity Control System </v>
      </c>
      <c r="E79" s="39"/>
      <c r="F79" s="39"/>
      <c r="G79" s="39"/>
      <c r="H79" s="39"/>
      <c r="I79" s="39"/>
      <c r="J79" s="43"/>
      <c r="K79" s="60"/>
      <c r="L79" s="49"/>
      <c r="M79" s="58"/>
      <c r="N79" s="49"/>
      <c r="O79" s="49"/>
      <c r="P79" s="49"/>
      <c r="Q79" s="65"/>
      <c r="R79" s="49"/>
      <c r="S79" s="58"/>
      <c r="T79" s="49"/>
      <c r="U79" s="49"/>
      <c r="V79" s="49"/>
      <c r="W79" s="74"/>
      <c r="X79" s="77"/>
      <c r="Y79" s="77"/>
      <c r="Z79" s="74"/>
      <c r="AA79" s="76"/>
      <c r="AB79" s="76"/>
      <c r="AC79" s="74"/>
      <c r="AD79" s="76"/>
      <c r="AE79" s="76"/>
      <c r="AF79" s="76"/>
      <c r="AG79" s="74"/>
    </row>
    <row r="80" spans="1:33" s="33" customFormat="1" ht="74.75" customHeight="1" ns3:dyDescent="0.15">
      <c r="A80" s="53">
        <v>221.21100000000001</v>
      </c>
      <c r="B80" s="38">
        <f>IF(ISNUMBER(A80),
IF(AND(A80=INT(A80), MOD(A80, 10) = 0), 0,
IF(AND(A80=INT(A80), LEN(A80)=2), 1,
IF(AND(A80=INT(A80), LEN(A80)=3), 2,
LEN(A80) - FIND(".", A80) + 2)
)
),
"")</f>
        <v>5</v>
      </c>
      <c r="C80" s="55" t="s">
        <v>206</v>
      </c>
      <c r="D80" s="39" t="str">
        <f t="shared" si="12"/>
        <v xml:space="preserve">                              Reactivity Control System Fabrication</v>
      </c>
      <c r="E80" s="39" t="s">
        <v>35</v>
      </c>
      <c r="F80" s="39"/>
      <c r="G80" s="39"/>
      <c r="H80" s="39"/>
      <c r="I80" s="39"/>
      <c r="J80" s="43"/>
      <c r="K80" s="60">
        <f>MARVEL_Cost!C21/'Design Variables'!B21</f>
        <v>347890</v>
      </c>
      <c r="L80" s="49" t="s">
        <v>207</v>
      </c>
      <c r="M80" s="58" t="s">
        <v>208</v>
      </c>
      <c r="N80" s="49"/>
      <c r="O80" s="49"/>
      <c r="P80" s="49"/>
      <c r="Q80" s="65">
        <v>2024</v>
      </c>
      <c r="R80" s="49" t="s">
        <v>86</v>
      </c>
      <c r="S80" s="58" t="s">
        <v>209</v>
      </c>
      <c r="T80" s="220" t="s">
        <v>210</v>
      </c>
      <c r="U80" s="226" t="s">
        <v>211</v>
      </c>
      <c r="V80" s="58" t="s">
        <v>212</v>
      </c>
      <c r="W80" s="74" t="s">
        <v>213</v>
      </c>
      <c r="X80" s="77">
        <f t="shared" ref="X80:X87" si="17">0.9*$J80</f>
        <v>0</v>
      </c>
      <c r="Y80" s="77">
        <f t="shared" ref="Y80:Y87" si="18">1.5*J80</f>
        <v>0</v>
      </c>
      <c r="Z80" s="74" t="s">
        <v>44</v>
      </c>
      <c r="AA80" s="76">
        <f t="shared" ref="AA80:AA87" si="19">0.9*K80</f>
        <v>313101</v>
      </c>
      <c r="AB80" s="76">
        <f t="shared" ref="AB80:AB87" si="20">1.3*K80</f>
        <v>452257</v>
      </c>
      <c r="AC80" s="74" t="s">
        <v>44</v>
      </c>
      <c r="AD80" s="76" t="s">
        <v>45</v>
      </c>
      <c r="AE80" s="76" t="s">
        <v>46</v>
      </c>
      <c r="AF80" s="76" t="s">
        <v>47</v>
      </c>
      <c r="AG80" s="74" t="s">
        <v>48</v>
      </c>
    </row>
    <row r="81" spans="1:36" s="33" customFormat="1" ns3:dyDescent="0.15">
      <c r="A81" s="53">
        <v>221.21199999999999</v>
      </c>
      <c r="B81" s="38">
        <f>IF(ISNUMBER(A81),
IF(AND(A81=INT(A81), MOD(A81, 10) = 0), 0,
IF(AND(A81=INT(A81), LEN(A81)=2), 1,
IF(AND(A81=INT(A81), LEN(A81)=3), 2,
LEN(A81) - FIND(".", A81) + 2)
)
),
"")</f>
        <v>5</v>
      </c>
      <c r="C81" s="55" t="s">
        <v>214</v>
      </c>
      <c r="D81" s="39" t="str">
        <f t="shared" si="12"/>
        <v xml:space="preserve">                              Installation</v>
      </c>
      <c r="E81" s="39" t="s">
        <v>35</v>
      </c>
      <c r="F81" s="39"/>
      <c r="G81" s="39"/>
      <c r="H81" s="39"/>
      <c r="I81" s="39"/>
      <c r="J81" s="43"/>
      <c r="K81" s="60">
        <f>MARVEL_Cost!C22/'Design Variables'!B21</f>
        <v>80665.75</v>
      </c>
      <c r="L81" s="49" t="s">
        <v>207</v>
      </c>
      <c r="M81" s="58" t="s">
        <v>208</v>
      </c>
      <c r="N81" s="49"/>
      <c r="O81" s="49"/>
      <c r="P81" s="49"/>
      <c r="Q81" s="65">
        <v>2024</v>
      </c>
      <c r="R81" s="49" t="s">
        <v>73</v>
      </c>
      <c r="S81" s="58" t="s">
        <v>209</v>
      </c>
      <c r="T81" s="216"/>
      <c r="U81" s="216"/>
      <c r="V81" s="49"/>
      <c r="W81" s="74" t="s">
        <v>213</v>
      </c>
      <c r="X81" s="77">
        <f t="shared" si="17"/>
        <v>0</v>
      </c>
      <c r="Y81" s="77">
        <f t="shared" si="18"/>
        <v>0</v>
      </c>
      <c r="Z81" s="74" t="s">
        <v>44</v>
      </c>
      <c r="AA81" s="76">
        <f t="shared" si="19"/>
        <v>72599.175000000003</v>
      </c>
      <c r="AB81" s="76">
        <f t="shared" si="20"/>
        <v>104865.47500000001</v>
      </c>
      <c r="AC81" s="74" t="s">
        <v>44</v>
      </c>
      <c r="AD81" s="76" t="s">
        <v>45</v>
      </c>
      <c r="AE81" s="76" t="s">
        <v>46</v>
      </c>
      <c r="AF81" s="76" t="s">
        <v>47</v>
      </c>
      <c r="AG81" s="74" t="s">
        <v>48</v>
      </c>
    </row>
    <row r="82" spans="1:36" s="33" customFormat="1" ht="53.25" customHeight="1" ns3:dyDescent="0.15">
      <c r="A82" s="53">
        <v>221.21299999999999</v>
      </c>
      <c r="B82" s="38">
        <f>IF(ISNUMBER(A82),
IF(AND(A82=INT(A82), MOD(A82, 10) = 0), 0,
IF(AND(A82=INT(A82), LEN(A82)=2), 1,
IF(AND(A82=INT(A82), LEN(A82)=3), 2,
LEN(A82) - FIND(".", A82) + 2)
)
),
"")</f>
        <v>5</v>
      </c>
      <c r="C82" s="55" t="s">
        <v>215</v>
      </c>
      <c r="D82" s="39" t="str">
        <f t="shared" si="12"/>
        <v xml:space="preserve">                              Control Drums Materials (Absorber)</v>
      </c>
      <c r="E82" s="39" t="s">
        <v>35</v>
      </c>
      <c r="F82" s="39" t="s">
        <v>216</v>
      </c>
      <c r="G82" s="39" t="s">
        <v>217</v>
      </c>
      <c r="H82" s="39"/>
      <c r="I82" s="39"/>
      <c r="J82" s="43"/>
      <c r="K82" s="60">
        <f>400000/N82</f>
        <v>14285.714285714286</v>
      </c>
      <c r="L82" s="49" t="s">
        <v>186</v>
      </c>
      <c r="M82" s="58" t="s">
        <v>218</v>
      </c>
      <c r="N82" s="49">
        <f>'Design Variables'!B28+'Design Variables'!B29</f>
        <v>28</v>
      </c>
      <c r="O82" s="49" t="s">
        <v>188</v>
      </c>
      <c r="P82" s="49">
        <v>1</v>
      </c>
      <c r="Q82" s="65">
        <v>2024</v>
      </c>
      <c r="R82" s="49" t="s">
        <v>219</v>
      </c>
      <c r="S82" s="58" t="s">
        <v>209</v>
      </c>
      <c r="T82" s="216"/>
      <c r="U82" s="216"/>
      <c r="V82" s="49"/>
      <c r="W82" s="74" t="s">
        <v>157</v>
      </c>
      <c r="X82" s="77">
        <f t="shared" si="17"/>
        <v>0</v>
      </c>
      <c r="Y82" s="77">
        <f t="shared" si="18"/>
        <v>0</v>
      </c>
      <c r="Z82" s="74" t="s">
        <v>44</v>
      </c>
      <c r="AA82" s="76">
        <f t="shared" si="19"/>
        <v>12857.142857142859</v>
      </c>
      <c r="AB82" s="76">
        <f t="shared" si="20"/>
        <v>18571.428571428572</v>
      </c>
      <c r="AC82" s="74" t="s">
        <v>44</v>
      </c>
      <c r="AD82" s="76" t="s">
        <v>45</v>
      </c>
      <c r="AE82" s="76" t="s">
        <v>46</v>
      </c>
      <c r="AF82" s="76" t="s">
        <v>47</v>
      </c>
      <c r="AG82" s="74" t="s">
        <v>48</v>
      </c>
    </row>
    <row r="83" spans="1:36" s="33" customFormat="1" ht="53.25" customHeight="1" ns3:dyDescent="0.15">
      <c r="A83" s="53">
        <v>221.21299999999999</v>
      </c>
      <c r="B83" s="38">
        <f>IF(ISNUMBER(A83),
    IF(AND(A83=INT(A83), MOD(A83, 10) = 0), 0,
        IF(AND(A83=INT(A83), LEN(A83)=2), 1,
            IF(AND(A83=INT(A83), LEN(A83)=3), 2,
                LEN(A83) - FIND(".", A83) + 2)
        )
    ),
"")</f>
        <v>5</v>
      </c>
      <c r="C83" s="55" t="s">
        <v>215</v>
      </c>
      <c r="D83" s="39" t="str">
        <f t="shared" si="12"/>
        <v xml:space="preserve">                              Control Drums Materials (Absorber)</v>
      </c>
      <c r="E83" s="39" t="s">
        <v>35</v>
      </c>
      <c r="F83" s="39" t="s">
        <v>216</v>
      </c>
      <c r="G83" s="39" t="s">
        <v>220</v>
      </c>
      <c r="H83" s="39"/>
      <c r="I83" s="39"/>
      <c r="J83" s="43"/>
      <c r="K83" s="60">
        <v>10064</v>
      </c>
      <c r="L83" s="49" t="s">
        <v>186</v>
      </c>
      <c r="M83" s="58" t="s">
        <v>218</v>
      </c>
      <c r="N83" s="49"/>
      <c r="O83" s="49"/>
      <c r="P83" s="49"/>
      <c r="Q83" s="65">
        <v>2023</v>
      </c>
      <c r="R83" s="49" t="s">
        <v>219</v>
      </c>
      <c r="S83" s="58" t="s">
        <v>221</v>
      </c>
      <c r="T83" s="216"/>
      <c r="U83" s="216"/>
      <c r="V83" s="49"/>
      <c r="W83" s="74" t="s">
        <v>157</v>
      </c>
      <c r="X83" s="77">
        <f t="shared" si="17"/>
        <v>0</v>
      </c>
      <c r="Y83" s="77">
        <f t="shared" si="18"/>
        <v>0</v>
      </c>
      <c r="Z83" s="74" t="s">
        <v>44</v>
      </c>
      <c r="AA83" s="76">
        <f t="shared" si="19"/>
        <v>9057.6</v>
      </c>
      <c r="AB83" s="76">
        <f t="shared" si="20"/>
        <v>13083.2</v>
      </c>
      <c r="AC83" s="74" t="s">
        <v>44</v>
      </c>
      <c r="AD83" s="76" t="s">
        <v>45</v>
      </c>
      <c r="AE83" s="76" t="s">
        <v>46</v>
      </c>
      <c r="AF83" s="76" t="s">
        <v>47</v>
      </c>
      <c r="AG83" s="74" t="s">
        <v>48</v>
      </c>
    </row>
    <row r="84" spans="1:36" s="33" customFormat="1" ht="53.25" customHeight="1" ns3:dyDescent="0.15">
      <c r="A84" s="53">
        <v>221.214</v>
      </c>
      <c r="B84" s="38">
        <f>IF(ISNUMBER(A84),
IF(AND(A84=INT(A84), MOD(A84, 10) = 0), 0,
IF(AND(A84=INT(A84), LEN(A84)=2), 1,
IF(AND(A84=INT(A84), LEN(A84)=3), 2,
LEN(A84) - FIND(".", A84) + 2)
)
),
"")</f>
        <v>5</v>
      </c>
      <c r="C84" s="55" t="s">
        <v>222</v>
      </c>
      <c r="D84" s="39" t="str">
        <f t="shared" si="12"/>
        <v xml:space="preserve">                              Control Drums Materials (Reflector)</v>
      </c>
      <c r="E84" s="39" t="s">
        <v>35</v>
      </c>
      <c r="F84" s="39" t="s">
        <v>223</v>
      </c>
      <c r="G84" s="39" t="s">
        <v>224</v>
      </c>
      <c r="H84" s="39"/>
      <c r="I84" s="39"/>
      <c r="J84" s="43"/>
      <c r="K84" s="63">
        <f>MARVEL_Cost!C27/N84</f>
        <v>10062.893081761007</v>
      </c>
      <c r="L84" s="49" t="s">
        <v>186</v>
      </c>
      <c r="M84" s="58" t="s">
        <v>225</v>
      </c>
      <c r="N84" s="49">
        <f>'Design Variables'!B17</f>
        <v>318</v>
      </c>
      <c r="O84" s="49" t="s">
        <v>188</v>
      </c>
      <c r="P84" s="49">
        <v>1</v>
      </c>
      <c r="Q84" s="65">
        <v>2024</v>
      </c>
      <c r="R84" s="49" t="s">
        <v>219</v>
      </c>
      <c r="S84" s="58" t="s">
        <v>209</v>
      </c>
      <c r="T84" s="217"/>
      <c r="U84" s="217"/>
      <c r="V84" s="49"/>
      <c r="W84" s="74" t="s">
        <v>226</v>
      </c>
      <c r="X84" s="77">
        <f t="shared" si="17"/>
        <v>0</v>
      </c>
      <c r="Y84" s="77">
        <f t="shared" si="18"/>
        <v>0</v>
      </c>
      <c r="Z84" s="74" t="s">
        <v>44</v>
      </c>
      <c r="AA84" s="76">
        <f t="shared" si="19"/>
        <v>9056.6037735849059</v>
      </c>
      <c r="AB84" s="76">
        <f t="shared" si="20"/>
        <v>13081.761006289309</v>
      </c>
      <c r="AC84" s="74" t="s">
        <v>44</v>
      </c>
      <c r="AD84" s="76" t="s">
        <v>45</v>
      </c>
      <c r="AE84" s="76" t="s">
        <v>46</v>
      </c>
      <c r="AF84" s="76" t="s">
        <v>47</v>
      </c>
      <c r="AG84" s="74" t="s">
        <v>48</v>
      </c>
    </row>
    <row r="85" spans="1:36" s="33" customFormat="1" ht="53.25" customHeight="1" ns3:dyDescent="0.15">
      <c r="A85" s="53">
        <v>221.214</v>
      </c>
      <c r="B85" s="38">
        <f>IF(ISNUMBER(A85),
IF(AND(A85=INT(A85), MOD(A85, 10) = 0), 0,
IF(AND(A85=INT(A85), LEN(A85)=2), 1,
IF(AND(A85=INT(A85), LEN(A85)=3), 2,
LEN(A85) - FIND(".", A85) + 2)
)
),
"")</f>
        <v>5</v>
      </c>
      <c r="C85" s="71" t="s">
        <v>222</v>
      </c>
      <c r="D85" s="39" t="str">
        <f t="shared" si="12"/>
        <v xml:space="preserve">                              Control Drums Materials (Reflector)</v>
      </c>
      <c r="E85" s="39" t="s">
        <v>35</v>
      </c>
      <c r="F85" s="39" t="s">
        <v>223</v>
      </c>
      <c r="G85" s="39" t="s">
        <v>227</v>
      </c>
      <c r="H85" s="39"/>
      <c r="I85" s="39"/>
      <c r="J85" s="46"/>
      <c r="K85" s="63">
        <f>MARVEL_Cost!C28/N85</f>
        <v>44736.84210526316</v>
      </c>
      <c r="L85" s="49" t="s">
        <v>186</v>
      </c>
      <c r="M85" s="58" t="s">
        <v>225</v>
      </c>
      <c r="N85" s="49">
        <f>1000*'Design Variables'!B19</f>
        <v>19</v>
      </c>
      <c r="O85" s="49" t="s">
        <v>188</v>
      </c>
      <c r="P85" s="49">
        <v>1</v>
      </c>
      <c r="Q85" s="65">
        <v>2024</v>
      </c>
      <c r="R85" s="49" t="s">
        <v>219</v>
      </c>
      <c r="S85" s="58" t="s">
        <v>209</v>
      </c>
      <c r="T85" s="75"/>
      <c r="U85" s="64"/>
      <c r="V85" s="49"/>
      <c r="W85" s="74" t="s">
        <v>228</v>
      </c>
      <c r="X85" s="77">
        <f t="shared" si="17"/>
        <v>0</v>
      </c>
      <c r="Y85" s="77">
        <f t="shared" si="18"/>
        <v>0</v>
      </c>
      <c r="Z85" s="74" t="s">
        <v>44</v>
      </c>
      <c r="AA85" s="76">
        <f t="shared" si="19"/>
        <v>40263.157894736847</v>
      </c>
      <c r="AB85" s="76">
        <f t="shared" si="20"/>
        <v>58157.894736842107</v>
      </c>
      <c r="AC85" s="74" t="s">
        <v>44</v>
      </c>
      <c r="AD85" s="76" t="s">
        <v>45</v>
      </c>
      <c r="AE85" s="76" t="s">
        <v>46</v>
      </c>
      <c r="AF85" s="76" t="s">
        <v>47</v>
      </c>
      <c r="AG85" s="74" t="s">
        <v>48</v>
      </c>
      <c r="AJ85" s="36"/>
    </row>
    <row r="86" spans="1:36" s="33" customFormat="1" ht="53.25" customHeight="1" ns3:dyDescent="0.15">
      <c r="A86" s="53">
        <v>221.214</v>
      </c>
      <c r="B86" s="38">
        <f>IF(ISNUMBER(A86),
    IF(AND(A86=INT(A86), MOD(A86, 10) = 0), 0,
        IF(AND(A86=INT(A86), LEN(A86)=2), 1,
            IF(AND(A86=INT(A86), LEN(A86)=3), 2,
                LEN(A86) - FIND(".", A86) + 2)
        )
    ),
"")</f>
        <v>5</v>
      </c>
      <c r="C86" s="55" t="s">
        <v>222</v>
      </c>
      <c r="D86" s="39" t="str">
        <f t="shared" si="12"/>
        <v xml:space="preserve">                              Control Drums Materials (Reflector)</v>
      </c>
      <c r="E86" s="39" t="s">
        <v>35</v>
      </c>
      <c r="F86" s="39" t="s">
        <v>223</v>
      </c>
      <c r="G86" s="39" t="s">
        <v>229</v>
      </c>
      <c r="H86" s="39"/>
      <c r="I86" s="39"/>
      <c r="J86" s="43"/>
      <c r="K86" s="63">
        <v>80</v>
      </c>
      <c r="L86" s="49" t="s">
        <v>186</v>
      </c>
      <c r="M86" s="58" t="s">
        <v>225</v>
      </c>
      <c r="N86" s="49"/>
      <c r="O86" s="49"/>
      <c r="P86" s="49"/>
      <c r="Q86" s="65">
        <v>2022</v>
      </c>
      <c r="R86" s="49" t="s">
        <v>219</v>
      </c>
      <c r="S86" s="58" t="s">
        <v>230</v>
      </c>
      <c r="T86" s="62" t="s">
        <v>231</v>
      </c>
      <c r="U86" s="64"/>
      <c r="V86" s="49"/>
      <c r="W86" s="74" t="s">
        <v>157</v>
      </c>
      <c r="X86" s="77">
        <f t="shared" si="17"/>
        <v>0</v>
      </c>
      <c r="Y86" s="77">
        <f t="shared" si="18"/>
        <v>0</v>
      </c>
      <c r="Z86" s="74" t="s">
        <v>44</v>
      </c>
      <c r="AA86" s="76">
        <f t="shared" si="19"/>
        <v>72</v>
      </c>
      <c r="AB86" s="76">
        <f t="shared" si="20"/>
        <v>104</v>
      </c>
      <c r="AC86" s="74" t="s">
        <v>44</v>
      </c>
      <c r="AD86" s="76" t="s">
        <v>45</v>
      </c>
      <c r="AE86" s="76" t="s">
        <v>46</v>
      </c>
      <c r="AF86" s="76" t="s">
        <v>47</v>
      </c>
      <c r="AG86" s="74" t="s">
        <v>48</v>
      </c>
    </row>
    <row r="87" spans="1:36" s="33" customFormat="1" ht="53.25" customHeight="1" ns3:dyDescent="0.15">
      <c r="A87" s="53">
        <v>221.215</v>
      </c>
      <c r="B87" s="38">
        <f>IF(ISNUMBER(A87),
IF(AND(A87=INT(A87), MOD(A87, 10) = 0), 0,
IF(AND(A87=INT(A87), LEN(A87)=2), 1,
IF(AND(A87=INT(A87), LEN(A87)=3), 2,
LEN(A87) - FIND(".", A87) + 2)
)
),
"")</f>
        <v>5</v>
      </c>
      <c r="C87" s="55" t="s">
        <v>232</v>
      </c>
      <c r="D87" s="39" t="str">
        <f t="shared" si="12"/>
        <v xml:space="preserve">                              Control System Drive Mechanism</v>
      </c>
      <c r="E87" s="39" t="s">
        <v>35</v>
      </c>
      <c r="F87" s="39"/>
      <c r="G87" s="39"/>
      <c r="H87" s="39"/>
      <c r="I87" s="39"/>
      <c r="J87" s="43"/>
      <c r="K87" s="60">
        <v>74759</v>
      </c>
      <c r="L87" s="49" t="s">
        <v>207</v>
      </c>
      <c r="M87" s="58" t="s">
        <v>208</v>
      </c>
      <c r="N87" s="49"/>
      <c r="O87" s="49"/>
      <c r="P87" s="49"/>
      <c r="Q87" s="65">
        <v>2023</v>
      </c>
      <c r="R87" s="49" t="s">
        <v>86</v>
      </c>
      <c r="S87" s="58" t="s">
        <v>221</v>
      </c>
      <c r="T87" s="62" t="s">
        <v>233</v>
      </c>
      <c r="U87" s="64"/>
      <c r="V87" s="49" t="s">
        <v>234</v>
      </c>
      <c r="W87" s="74" t="s">
        <v>213</v>
      </c>
      <c r="X87" s="77">
        <f t="shared" si="17"/>
        <v>0</v>
      </c>
      <c r="Y87" s="77">
        <f t="shared" si="18"/>
        <v>0</v>
      </c>
      <c r="Z87" s="74" t="s">
        <v>44</v>
      </c>
      <c r="AA87" s="76">
        <f t="shared" si="19"/>
        <v>67283.100000000006</v>
      </c>
      <c r="AB87" s="76">
        <f t="shared" si="20"/>
        <v>97186.7</v>
      </c>
      <c r="AC87" s="74" t="s">
        <v>44</v>
      </c>
      <c r="AD87" s="76" t="s">
        <v>45</v>
      </c>
      <c r="AE87" s="76" t="s">
        <v>46</v>
      </c>
      <c r="AF87" s="76" t="s">
        <v>47</v>
      </c>
      <c r="AG87" s="74" t="s">
        <v>48</v>
      </c>
    </row>
    <row r="88" spans="1:36" s="33" customFormat="1" ht="40" customHeight="1" ns3:dyDescent="0.2">
      <c r="A88" s="53">
        <v>221.21600000000001</v>
      </c>
      <c r="B88" s="38">
        <f>IF(ISNUMBER(A88),IF(AND(A88=INT(A88),MOD(A88,10)=0),0,IF(AND(A88=INT(A88),LEN(A88)=2),1,IF(AND(A88=INT(A88),LEN(A88)=3),2,LEN(A88)-FIND(".",A88)+2))),"")</f>
        <v>5</v>
      </c>
      <c r="C88" s="55" t="s">
        <v>799</v>
      </c>
      <c r="D88" s="39" t="str">
        <f>REPT("   ",B88*2)&amp;C88</f>
        <v xml:space="preserve">                              Shutdown Rod Absorber Material</v>
      </c>
      <c r="E88" s="39" t="s">
        <v>35</v>
      </c>
      <c r="F88" s="39" t="s">
        <v>800</v>
      </c>
      <c r="G88" s="39" t="s">
        <v>217</v>
      </c>
      <c r="H88" s="39"/>
      <c r="I88" s="39"/>
      <c r="J88" s="43"/>
      <c r="K88" s="60">
        <v>14285.714285714286</v>
      </c>
      <c r="L88" s="49" t="s">
        <v>186</v>
      </c>
      <c r="M88" s="58" t="s">
        <v>801</v>
      </c>
      <c r="N88" s="49">
        <v>28</v>
      </c>
      <c r="O88" s="49" t="s">
        <v>188</v>
      </c>
      <c r="P88" s="49">
        <v>1</v>
      </c>
      <c r="Q88" s="65">
        <v>2024</v>
      </c>
      <c r="R88" s="49" t="s">
        <v>219</v>
      </c>
      <c r="S88" s="58" t="s">
        <v>209</v>
      </c>
      <c r="T88" s="204"/>
      <c r="U88" s="204"/>
      <c r="V88" s="49" t="s">
        <v>802</v>
      </c>
      <c r="W88" s="74" t="s">
        <v>157</v>
      </c>
      <c r="X88" s="77">
        <f>0.9*$J88</f>
        <v>0</v>
      </c>
      <c r="Y88" s="77">
        <f>1.5*J88</f>
        <v>0</v>
      </c>
      <c r="Z88" s="74" t="s">
        <v>44</v>
      </c>
      <c r="AA88" s="76">
        <f>0.9*K88</f>
        <v>12857.142857142859</v>
      </c>
      <c r="AB88" s="76">
        <f>1.3*K88</f>
        <v>18571.428571428572</v>
      </c>
      <c r="AC88" s="74"/>
      <c r="AD88" s="76"/>
      <c r="AE88" s="76"/>
      <c r="AF88" s="76"/>
      <c r="AG88" s="74"/>
    </row>
    <row r="89" spans="1:36" s="33" customFormat="1" ht="40" customHeight="1" ns3:dyDescent="0.2">
      <c r="A89" s="53">
        <v>221.21600000000001</v>
      </c>
      <c r="B89" s="38">
        <f>IF(ISNUMBER(A89),IF(AND(A89=INT(A89),MOD(A89,10)=0),0,IF(AND(A89=INT(A89),LEN(A89)=2),1,IF(AND(A89=INT(A89),LEN(A89)=3),2,LEN(A89)-FIND(".",A89)+2))),"")</f>
        <v>5</v>
      </c>
      <c r="C89" s="55" t="s">
        <v>799</v>
      </c>
      <c r="D89" s="39" t="str">
        <f>REPT("   ",B89*2)&amp;C89</f>
        <v xml:space="preserve">                              Shutdown Rod Absorber Material</v>
      </c>
      <c r="E89" s="39" t="s">
        <v>35</v>
      </c>
      <c r="F89" s="39" t="s">
        <v>800</v>
      </c>
      <c r="G89" s="39" t="s">
        <v>220</v>
      </c>
      <c r="H89" s="39"/>
      <c r="I89" s="39"/>
      <c r="J89" s="43"/>
      <c r="K89" s="60">
        <v>10064</v>
      </c>
      <c r="L89" s="49" t="s">
        <v>186</v>
      </c>
      <c r="M89" s="58" t="s">
        <v>801</v>
      </c>
      <c r="N89" s="49"/>
      <c r="O89" s="49" t="s">
        <v>188</v>
      </c>
      <c r="P89" s="49">
        <v>1</v>
      </c>
      <c r="Q89" s="65">
        <v>2023</v>
      </c>
      <c r="R89" s="49" t="s">
        <v>219</v>
      </c>
      <c r="S89" s="58" t="s">
        <v>221</v>
      </c>
      <c r="T89" s="204" t="s">
        <v>803</v>
      </c>
      <c r="U89" s="204"/>
      <c r="V89" s="49" t="s">
        <v>804</v>
      </c>
      <c r="W89" s="74" t="s">
        <v>157</v>
      </c>
      <c r="X89" s="77">
        <f>0.9*$J89</f>
        <v>0</v>
      </c>
      <c r="Y89" s="77">
        <f>1.5*J89</f>
        <v>0</v>
      </c>
      <c r="Z89" s="74" t="s">
        <v>44</v>
      </c>
      <c r="AA89" s="76">
        <f>0.9*K89</f>
        <v>9057.6</v>
      </c>
      <c r="AB89" s="76">
        <f>1.3*K89</f>
        <v>13083.2</v>
      </c>
      <c r="AC89" s="74"/>
      <c r="AD89" s="76"/>
      <c r="AE89" s="76"/>
      <c r="AF89" s="76"/>
      <c r="AG89" s="74"/>
    </row>
    <row r="90" spans="1:36" s="33" customFormat="1" ht="40" customHeight="1" ns3:dyDescent="0.2">
      <c r="A90" s="53">
        <v>221.21700000000001</v>
      </c>
      <c r="B90" s="38">
        <f>IF(ISNUMBER(A90),IF(AND(A90=INT(A90),MOD(A90,10)=0),0,IF(AND(A90=INT(A90),LEN(A90)=2),1,IF(AND(A90=INT(A90),LEN(A90)=3),2,LEN(A90)-FIND(".",A90)+2))),"")</f>
        <v>5</v>
      </c>
      <c r="C90" s="55" t="s">
        <v>805</v>
      </c>
      <c r="D90" s="39" t="str">
        <f>REPT("   ",B90*2)&amp;C90</f>
        <v xml:space="preserve">                              Shutdown Rod Cladding Material</v>
      </c>
      <c r="E90" s="39" t="s">
        <v>35</v>
      </c>
      <c r="F90" s="39" t="s">
        <v>806</v>
      </c>
      <c r="G90" s="39" t="s">
        <v>807</v>
      </c>
      <c r="H90" s="39"/>
      <c r="I90" s="39"/>
      <c r="J90" s="43"/>
      <c r="K90" s="60">
        <v>757.20768746061754</v>
      </c>
      <c r="L90" s="49" t="s">
        <v>186</v>
      </c>
      <c r="M90" s="58" t="s">
        <v>808</v>
      </c>
      <c r="N90" s="49">
        <v>1587</v>
      </c>
      <c r="O90" s="49" t="s">
        <v>188</v>
      </c>
      <c r="P90" s="49">
        <v>1</v>
      </c>
      <c r="Q90" s="65">
        <v>2017</v>
      </c>
      <c r="R90" s="49" t="s">
        <v>86</v>
      </c>
      <c r="S90" s="58" t="s">
        <v>196</v>
      </c>
      <c r="T90" s="204" t="s">
        <v>809</v>
      </c>
      <c r="U90" s="216"/>
      <c r="V90" s="49" t="s">
        <v>810</v>
      </c>
      <c r="W90" s="74" t="s">
        <v>157</v>
      </c>
      <c r="X90" s="77">
        <f>0.9*$J90</f>
        <v>0</v>
      </c>
      <c r="Y90" s="77">
        <f>1.5*J90</f>
        <v>0</v>
      </c>
      <c r="Z90" s="74" t="s">
        <v>44</v>
      </c>
      <c r="AA90" s="76">
        <f>0.9*K90</f>
        <v>681.48691871455583</v>
      </c>
      <c r="AB90" s="76">
        <f>1.3*K90</f>
        <v>984.36999369880277</v>
      </c>
      <c r="AC90" s="74"/>
      <c r="AD90" s="76"/>
      <c r="AE90" s="76"/>
      <c r="AF90" s="76"/>
      <c r="AG90" s="74"/>
    </row>
    <row r="91" spans="1:36" ht="26.75" customHeight="1" ns3:dyDescent="0.2">
      <c r="A91" s="53">
        <v>221.3</v>
      </c>
      <c r="B91" s="38">
        <f>IF(ISNUMBER(A91),
IF(AND(A91=INT(A91), MOD(A91, 10) = 0), 0,
IF(AND(A91=INT(A91), LEN(A91)=2), 1,
IF(AND(A91=INT(A91), LEN(A91)=3), 2,
LEN(A91) - FIND(".", A91) + 2)
)
),
"")</f>
        <v>3</v>
      </c>
      <c r="C91" s="55" t="s">
        <v>235</v>
      </c>
      <c r="D91" s="39" t="str">
        <f t="shared" si="12"/>
        <v xml:space="preserve">                  Non-Fuel Core Internals</v>
      </c>
      <c r="E91" s="39" t="s">
        <v>35</v>
      </c>
      <c r="F91" s="39"/>
      <c r="G91" s="39"/>
      <c r="H91" s="39"/>
      <c r="I91" s="39"/>
      <c r="J91" s="43"/>
      <c r="K91" s="60"/>
      <c r="L91" s="49"/>
      <c r="M91" s="49"/>
      <c r="N91" s="49"/>
      <c r="O91" s="49"/>
      <c r="P91" s="49"/>
      <c r="Q91" s="65"/>
      <c r="R91" s="49"/>
      <c r="S91" s="58"/>
      <c r="T91" s="49"/>
      <c r="U91" s="219"/>
      <c r="V91" s="49"/>
      <c r="W91" s="74"/>
      <c r="X91" s="77"/>
      <c r="Y91" s="77"/>
      <c r="Z91" s="74"/>
      <c r="AA91" s="76"/>
      <c r="AB91" s="76"/>
      <c r="AC91" s="74"/>
      <c r="AD91" s="76"/>
      <c r="AE91" s="76"/>
      <c r="AF91" s="76"/>
      <c r="AG91" s="74"/>
    </row>
    <row r="92" spans="1:36" ht="25.75" customHeight="1" ns3:dyDescent="0.2">
      <c r="A92" s="53">
        <v>221.31</v>
      </c>
      <c r="B92" s="38">
        <f>IF(ISNUMBER(A92),
    IF(AND(A92=INT(A92), MOD(A92, 10) = 0), 0,
        IF(AND(A92=INT(A92), LEN(A92)=2), 1,
            IF(AND(A92=INT(A92), LEN(A92)=3), 2,
                LEN(A92) - FIND(".", A92) + 2)
        )
    ),
"")</f>
        <v>4</v>
      </c>
      <c r="C92" s="55" t="s">
        <v>236</v>
      </c>
      <c r="D92" s="39" t="str">
        <f t="shared" si="12"/>
        <v xml:space="preserve">                        Reflector</v>
      </c>
      <c r="E92" s="39"/>
      <c r="F92" s="39"/>
      <c r="G92" s="39"/>
      <c r="H92" s="39"/>
      <c r="I92" s="39"/>
      <c r="J92" s="43"/>
      <c r="K92" s="63"/>
      <c r="L92" s="49"/>
      <c r="M92" s="58"/>
      <c r="N92" s="49"/>
      <c r="O92" s="49"/>
      <c r="P92" s="49"/>
      <c r="Q92" s="65"/>
      <c r="R92" s="49"/>
      <c r="S92" s="58"/>
      <c r="T92" s="58"/>
      <c r="U92" s="219"/>
      <c r="V92" s="49"/>
      <c r="W92" s="74"/>
      <c r="X92" s="77"/>
      <c r="Y92" s="77"/>
      <c r="Z92" s="74"/>
      <c r="AA92" s="76"/>
      <c r="AB92" s="76"/>
      <c r="AC92" s="74"/>
      <c r="AD92" s="76"/>
      <c r="AE92" s="76"/>
      <c r="AF92" s="76"/>
      <c r="AG92" s="74"/>
    </row>
    <row r="93" spans="1:36" ht="25.75" customHeight="1" ns3:dyDescent="0.2">
      <c r="A93" s="53">
        <v>221.31100000000001</v>
      </c>
      <c r="B93" s="38">
        <f>IF(ISNUMBER(A93),
IF(AND(A93=INT(A93), MOD(A93, 10) = 0), 0,
IF(AND(A93=INT(A93), LEN(A93)=2), 1,
IF(AND(A93=INT(A93), LEN(A93)=3), 2,
LEN(A93) - FIND(".", A93) + 2)
)
),
"")</f>
        <v>5</v>
      </c>
      <c r="C93" s="55" t="s">
        <v>237</v>
      </c>
      <c r="D93" s="39" t="str">
        <f t="shared" si="12"/>
        <v xml:space="preserve">                              Radial Reflector</v>
      </c>
      <c r="E93" s="39" t="s">
        <v>35</v>
      </c>
      <c r="F93" s="39" t="s">
        <v>237</v>
      </c>
      <c r="G93" s="39" t="s">
        <v>224</v>
      </c>
      <c r="H93" s="39"/>
      <c r="I93" s="39"/>
      <c r="J93" s="43">
        <f>MARVEL_Cost!C29</f>
        <v>120231</v>
      </c>
      <c r="K93" s="63">
        <f>MARVEL_Cost!C27/N93</f>
        <v>10062.893081761007</v>
      </c>
      <c r="L93" s="49" t="s">
        <v>186</v>
      </c>
      <c r="M93" s="58" t="s">
        <v>238</v>
      </c>
      <c r="N93" s="49">
        <f>'Design Variables'!B17</f>
        <v>318</v>
      </c>
      <c r="O93" s="49" t="s">
        <v>188</v>
      </c>
      <c r="P93" s="49">
        <v>1</v>
      </c>
      <c r="Q93" s="65">
        <v>2024</v>
      </c>
      <c r="R93" s="49" t="s">
        <v>219</v>
      </c>
      <c r="S93" s="58" t="s">
        <v>209</v>
      </c>
      <c r="T93" s="58" t="s">
        <v>210</v>
      </c>
      <c r="U93" s="226" t="s">
        <v>211</v>
      </c>
      <c r="V93" s="49"/>
      <c r="W93" s="74" t="s">
        <v>226</v>
      </c>
      <c r="X93" s="77">
        <f t="shared" ref="X93:X100" si="21">0.9*$J93</f>
        <v>108207.90000000001</v>
      </c>
      <c r="Y93" s="77">
        <f t="shared" ref="Y93:Y100" si="22">1.5*J93</f>
        <v>180346.5</v>
      </c>
      <c r="Z93" s="74" t="s">
        <v>44</v>
      </c>
      <c r="AA93" s="76">
        <f t="shared" ref="AA93:AA100" si="23">0.9*K93</f>
        <v>9056.6037735849059</v>
      </c>
      <c r="AB93" s="76">
        <f t="shared" ref="AB93:AB100" si="24">1.3*K93</f>
        <v>13081.761006289309</v>
      </c>
      <c r="AC93" s="74" t="s">
        <v>44</v>
      </c>
      <c r="AD93" s="76" t="s">
        <v>45</v>
      </c>
      <c r="AE93" s="76" t="s">
        <v>46</v>
      </c>
      <c r="AF93" s="76" t="s">
        <v>47</v>
      </c>
      <c r="AG93" s="74" t="s">
        <v>48</v>
      </c>
    </row>
    <row r="94" spans="1:36" ht="25.75" customHeight="1" ns3:dyDescent="0.2">
      <c r="A94" s="53">
        <v>221.31200000000001</v>
      </c>
      <c r="B94" s="38">
        <f t="shared" ref="B94:B100" si="25">IF(ISNUMBER(A94),
    IF(AND(A94=INT(A94), MOD(A94, 10) = 0), 0,
        IF(AND(A94=INT(A94), LEN(A94)=2), 1,
            IF(AND(A94=INT(A94), LEN(A94)=3), 2,
                LEN(A94) - FIND(".", A94) + 2)
        )
    ),
"")</f>
        <v>5</v>
      </c>
      <c r="C94" s="55" t="s">
        <v>239</v>
      </c>
      <c r="D94" s="39" t="str">
        <f t="shared" si="12"/>
        <v xml:space="preserve">                              Axial Reflector</v>
      </c>
      <c r="E94" s="39" t="s">
        <v>35</v>
      </c>
      <c r="F94" s="39" t="s">
        <v>239</v>
      </c>
      <c r="G94" s="39" t="s">
        <v>224</v>
      </c>
      <c r="H94" s="39"/>
      <c r="I94" s="39"/>
      <c r="J94" s="43">
        <v>120231</v>
      </c>
      <c r="K94" s="63">
        <v>10062.893081761011</v>
      </c>
      <c r="L94" s="49" t="s">
        <v>186</v>
      </c>
      <c r="M94" s="58" t="s">
        <v>240</v>
      </c>
      <c r="N94" s="49">
        <v>318</v>
      </c>
      <c r="O94" s="49" t="s">
        <v>188</v>
      </c>
      <c r="P94" s="49">
        <v>1</v>
      </c>
      <c r="Q94" s="65">
        <v>2024</v>
      </c>
      <c r="R94" s="49" t="s">
        <v>219</v>
      </c>
      <c r="S94" s="58" t="s">
        <v>209</v>
      </c>
      <c r="T94" s="58" t="s">
        <v>210</v>
      </c>
      <c r="U94" s="216"/>
      <c r="V94" s="49"/>
      <c r="W94" s="74" t="s">
        <v>226</v>
      </c>
      <c r="X94" s="77">
        <f t="shared" si="21"/>
        <v>108207.90000000001</v>
      </c>
      <c r="Y94" s="77">
        <f t="shared" si="22"/>
        <v>180346.5</v>
      </c>
      <c r="Z94" s="74" t="s">
        <v>44</v>
      </c>
      <c r="AA94" s="76">
        <f t="shared" si="23"/>
        <v>9056.6037735849095</v>
      </c>
      <c r="AB94" s="76">
        <f t="shared" si="24"/>
        <v>13081.761006289315</v>
      </c>
      <c r="AC94" s="74" t="s">
        <v>44</v>
      </c>
      <c r="AD94" s="76" t="s">
        <v>45</v>
      </c>
      <c r="AE94" s="76" t="s">
        <v>46</v>
      </c>
      <c r="AF94" s="76" t="s">
        <v>47</v>
      </c>
      <c r="AG94" s="74" t="s">
        <v>48</v>
      </c>
    </row>
    <row r="95" spans="1:36" ht="25.75" customHeight="1" ns3:dyDescent="0.2">
      <c r="A95" s="53">
        <v>221.31100000000001</v>
      </c>
      <c r="B95" s="38">
        <f t="shared" si="25"/>
        <v>5</v>
      </c>
      <c r="C95" s="55" t="s">
        <v>237</v>
      </c>
      <c r="D95" s="39" t="str">
        <f t="shared" si="12"/>
        <v xml:space="preserve">                              Radial Reflector</v>
      </c>
      <c r="E95" s="39" t="s">
        <v>35</v>
      </c>
      <c r="F95" s="39" t="s">
        <v>237</v>
      </c>
      <c r="G95" s="39" t="s">
        <v>227</v>
      </c>
      <c r="H95" s="39"/>
      <c r="I95" s="39"/>
      <c r="J95" s="43"/>
      <c r="K95" s="63">
        <f>MARVEL_Cost!C28/N85</f>
        <v>44736.84210526316</v>
      </c>
      <c r="L95" s="49" t="s">
        <v>186</v>
      </c>
      <c r="M95" s="58" t="s">
        <v>238</v>
      </c>
      <c r="N95" s="49">
        <f>1000*'Design Variables'!B19</f>
        <v>19</v>
      </c>
      <c r="O95" s="49" t="s">
        <v>188</v>
      </c>
      <c r="P95" s="49">
        <v>1</v>
      </c>
      <c r="Q95" s="65">
        <v>2024</v>
      </c>
      <c r="R95" s="49" t="s">
        <v>219</v>
      </c>
      <c r="S95" s="58" t="s">
        <v>209</v>
      </c>
      <c r="T95" s="58" t="s">
        <v>210</v>
      </c>
      <c r="U95" s="216"/>
      <c r="V95" s="49"/>
      <c r="W95" s="74" t="s">
        <v>228</v>
      </c>
      <c r="X95" s="77">
        <f t="shared" si="21"/>
        <v>0</v>
      </c>
      <c r="Y95" s="77">
        <f t="shared" si="22"/>
        <v>0</v>
      </c>
      <c r="Z95" s="74" t="s">
        <v>44</v>
      </c>
      <c r="AA95" s="76">
        <f t="shared" si="23"/>
        <v>40263.157894736847</v>
      </c>
      <c r="AB95" s="76">
        <f t="shared" si="24"/>
        <v>58157.894736842107</v>
      </c>
      <c r="AC95" s="74" t="s">
        <v>44</v>
      </c>
      <c r="AD95" s="76" t="s">
        <v>45</v>
      </c>
      <c r="AE95" s="76" t="s">
        <v>46</v>
      </c>
      <c r="AF95" s="76" t="s">
        <v>47</v>
      </c>
      <c r="AG95" s="74" t="s">
        <v>48</v>
      </c>
    </row>
    <row r="96" spans="1:36" ht="25.75" customHeight="1" ns3:dyDescent="0.2">
      <c r="A96" s="53">
        <v>221.31200000000001</v>
      </c>
      <c r="B96" s="38">
        <f t="shared" si="25"/>
        <v>5</v>
      </c>
      <c r="C96" s="55" t="s">
        <v>239</v>
      </c>
      <c r="D96" s="39" t="str">
        <f t="shared" si="12"/>
        <v xml:space="preserve">                              Axial Reflector</v>
      </c>
      <c r="E96" s="39" t="s">
        <v>35</v>
      </c>
      <c r="F96" s="39" t="s">
        <v>239</v>
      </c>
      <c r="G96" s="39" t="s">
        <v>227</v>
      </c>
      <c r="H96" s="39"/>
      <c r="I96" s="39"/>
      <c r="J96" s="43"/>
      <c r="K96" s="63">
        <v>44736.84210526316</v>
      </c>
      <c r="L96" s="49" t="s">
        <v>186</v>
      </c>
      <c r="M96" s="58" t="s">
        <v>240</v>
      </c>
      <c r="N96" s="49">
        <v>19</v>
      </c>
      <c r="O96" s="49" t="s">
        <v>188</v>
      </c>
      <c r="P96" s="49">
        <v>1</v>
      </c>
      <c r="Q96" s="65">
        <v>2024</v>
      </c>
      <c r="R96" s="49" t="s">
        <v>219</v>
      </c>
      <c r="S96" s="58" t="s">
        <v>209</v>
      </c>
      <c r="T96" s="58" t="s">
        <v>210</v>
      </c>
      <c r="U96" s="216"/>
      <c r="V96" s="49"/>
      <c r="W96" s="74" t="s">
        <v>228</v>
      </c>
      <c r="X96" s="77">
        <f t="shared" si="21"/>
        <v>0</v>
      </c>
      <c r="Y96" s="77">
        <f t="shared" si="22"/>
        <v>0</v>
      </c>
      <c r="Z96" s="74" t="s">
        <v>44</v>
      </c>
      <c r="AA96" s="76">
        <f t="shared" si="23"/>
        <v>40263.157894736847</v>
      </c>
      <c r="AB96" s="76">
        <f t="shared" si="24"/>
        <v>58157.894736842107</v>
      </c>
      <c r="AC96" s="74" t="s">
        <v>44</v>
      </c>
      <c r="AD96" s="76" t="s">
        <v>45</v>
      </c>
      <c r="AE96" s="76" t="s">
        <v>46</v>
      </c>
      <c r="AF96" s="76" t="s">
        <v>47</v>
      </c>
      <c r="AG96" s="74" t="s">
        <v>48</v>
      </c>
    </row>
    <row r="97" spans="1:33" ht="101.25" customHeight="1" ns3:dyDescent="0.2">
      <c r="A97" s="53">
        <v>221.31100000000001</v>
      </c>
      <c r="B97" s="38">
        <f t="shared" si="25"/>
        <v>5</v>
      </c>
      <c r="C97" s="55" t="s">
        <v>237</v>
      </c>
      <c r="D97" s="39" t="str">
        <f t="shared" si="12"/>
        <v xml:space="preserve">                              Radial Reflector</v>
      </c>
      <c r="E97" s="39" t="s">
        <v>35</v>
      </c>
      <c r="F97" s="39" t="s">
        <v>237</v>
      </c>
      <c r="G97" s="39" t="s">
        <v>229</v>
      </c>
      <c r="H97" s="39"/>
      <c r="I97" s="39"/>
      <c r="J97" s="43"/>
      <c r="K97" s="63">
        <v>80</v>
      </c>
      <c r="L97" s="49" t="s">
        <v>186</v>
      </c>
      <c r="M97" s="58" t="s">
        <v>238</v>
      </c>
      <c r="N97" s="49"/>
      <c r="O97" s="49"/>
      <c r="P97" s="49"/>
      <c r="Q97" s="65">
        <v>2022</v>
      </c>
      <c r="R97" s="49" t="s">
        <v>219</v>
      </c>
      <c r="S97" s="58" t="s">
        <v>230</v>
      </c>
      <c r="T97" s="58" t="s">
        <v>231</v>
      </c>
      <c r="U97" s="216"/>
      <c r="V97" s="49"/>
      <c r="W97" s="74" t="s">
        <v>157</v>
      </c>
      <c r="X97" s="77">
        <f t="shared" si="21"/>
        <v>0</v>
      </c>
      <c r="Y97" s="77">
        <f t="shared" si="22"/>
        <v>0</v>
      </c>
      <c r="Z97" s="74" t="s">
        <v>44</v>
      </c>
      <c r="AA97" s="76">
        <f t="shared" si="23"/>
        <v>72</v>
      </c>
      <c r="AB97" s="76">
        <f t="shared" si="24"/>
        <v>104</v>
      </c>
      <c r="AC97" s="74" t="s">
        <v>44</v>
      </c>
      <c r="AD97" s="76" t="s">
        <v>45</v>
      </c>
      <c r="AE97" s="76" t="s">
        <v>46</v>
      </c>
      <c r="AF97" s="76" t="s">
        <v>47</v>
      </c>
      <c r="AG97" s="74" t="s">
        <v>48</v>
      </c>
    </row>
    <row r="98" spans="1:33" ht="101.25" customHeight="1" ns3:dyDescent="0.2">
      <c r="A98" s="53">
        <v>221.31200000000001</v>
      </c>
      <c r="B98" s="38">
        <f t="shared" si="25"/>
        <v>5</v>
      </c>
      <c r="C98" s="55" t="s">
        <v>239</v>
      </c>
      <c r="D98" s="39" t="str">
        <f t="shared" si="12"/>
        <v xml:space="preserve">                              Axial Reflector</v>
      </c>
      <c r="E98" s="39" t="s">
        <v>35</v>
      </c>
      <c r="F98" s="39" t="s">
        <v>239</v>
      </c>
      <c r="G98" s="39" t="s">
        <v>229</v>
      </c>
      <c r="H98" s="39"/>
      <c r="I98" s="39"/>
      <c r="J98" s="43"/>
      <c r="K98" s="63">
        <v>80</v>
      </c>
      <c r="L98" s="49" t="s">
        <v>186</v>
      </c>
      <c r="M98" s="58" t="s">
        <v>240</v>
      </c>
      <c r="N98" s="49"/>
      <c r="O98" s="49"/>
      <c r="P98" s="49"/>
      <c r="Q98" s="65">
        <v>2022</v>
      </c>
      <c r="R98" s="49" t="s">
        <v>219</v>
      </c>
      <c r="S98" s="58" t="s">
        <v>230</v>
      </c>
      <c r="T98" s="58" t="s">
        <v>231</v>
      </c>
      <c r="U98" s="216"/>
      <c r="V98" s="49"/>
      <c r="W98" s="74" t="s">
        <v>157</v>
      </c>
      <c r="X98" s="77">
        <f t="shared" si="21"/>
        <v>0</v>
      </c>
      <c r="Y98" s="77">
        <f t="shared" si="22"/>
        <v>0</v>
      </c>
      <c r="Z98" s="74" t="s">
        <v>44</v>
      </c>
      <c r="AA98" s="76">
        <f t="shared" si="23"/>
        <v>72</v>
      </c>
      <c r="AB98" s="76">
        <f t="shared" si="24"/>
        <v>104</v>
      </c>
      <c r="AC98" s="74" t="s">
        <v>44</v>
      </c>
      <c r="AD98" s="76" t="s">
        <v>45</v>
      </c>
      <c r="AE98" s="76" t="s">
        <v>46</v>
      </c>
      <c r="AF98" s="76" t="s">
        <v>47</v>
      </c>
      <c r="AG98" s="74" t="s">
        <v>48</v>
      </c>
    </row>
    <row r="99" spans="1:33" ht="51.75" customHeight="1" ns3:dyDescent="0.2">
      <c r="A99" s="53">
        <v>221.31100000000001</v>
      </c>
      <c r="B99" s="38">
        <f t="shared" si="25"/>
        <v>5</v>
      </c>
      <c r="C99" s="55" t="s">
        <v>237</v>
      </c>
      <c r="D99" s="39" t="str">
        <f t="shared" si="12"/>
        <v xml:space="preserve">                              Radial Reflector</v>
      </c>
      <c r="E99" s="39" t="s">
        <v>35</v>
      </c>
      <c r="F99" s="39" t="s">
        <v>237</v>
      </c>
      <c r="G99" s="39" t="s">
        <v>241</v>
      </c>
      <c r="H99" s="39"/>
      <c r="I99" s="39"/>
      <c r="J99" s="43"/>
      <c r="K99" s="63">
        <v>134.1</v>
      </c>
      <c r="L99" s="49" t="s">
        <v>186</v>
      </c>
      <c r="M99" s="58" t="s">
        <v>238</v>
      </c>
      <c r="N99" s="49"/>
      <c r="O99" s="49"/>
      <c r="P99" s="49"/>
      <c r="Q99" s="65">
        <v>2017</v>
      </c>
      <c r="R99" s="49" t="s">
        <v>219</v>
      </c>
      <c r="S99" s="58" t="s">
        <v>242</v>
      </c>
      <c r="T99" s="58"/>
      <c r="U99" s="216"/>
      <c r="V99" s="49"/>
      <c r="W99" s="74" t="s">
        <v>157</v>
      </c>
      <c r="X99" s="77">
        <f t="shared" si="21"/>
        <v>0</v>
      </c>
      <c r="Y99" s="77">
        <f t="shared" si="22"/>
        <v>0</v>
      </c>
      <c r="Z99" s="74" t="s">
        <v>44</v>
      </c>
      <c r="AA99" s="76">
        <f t="shared" si="23"/>
        <v>120.69</v>
      </c>
      <c r="AB99" s="76">
        <f t="shared" si="24"/>
        <v>174.33</v>
      </c>
      <c r="AC99" s="74" t="s">
        <v>44</v>
      </c>
      <c r="AD99" s="76" t="s">
        <v>45</v>
      </c>
      <c r="AE99" s="76" t="s">
        <v>46</v>
      </c>
      <c r="AF99" s="76" t="s">
        <v>47</v>
      </c>
      <c r="AG99" s="74" t="s">
        <v>48</v>
      </c>
    </row>
    <row r="100" spans="1:33" ht="26.75" customHeight="1" ns3:dyDescent="0.2">
      <c r="A100" s="53">
        <v>221.31200000000001</v>
      </c>
      <c r="B100" s="38">
        <f t="shared" si="25"/>
        <v>5</v>
      </c>
      <c r="C100" s="55" t="s">
        <v>239</v>
      </c>
      <c r="D100" s="39" t="str">
        <f t="shared" si="12"/>
        <v xml:space="preserve">                              Axial Reflector</v>
      </c>
      <c r="E100" s="39" t="s">
        <v>35</v>
      </c>
      <c r="F100" s="39" t="s">
        <v>239</v>
      </c>
      <c r="G100" s="39" t="s">
        <v>241</v>
      </c>
      <c r="H100" s="39"/>
      <c r="I100" s="39"/>
      <c r="J100" s="43"/>
      <c r="K100" s="63">
        <v>134.1</v>
      </c>
      <c r="L100" s="49" t="s">
        <v>186</v>
      </c>
      <c r="M100" s="58" t="s">
        <v>240</v>
      </c>
      <c r="N100" s="49"/>
      <c r="O100" s="49"/>
      <c r="P100" s="49"/>
      <c r="Q100" s="65">
        <v>2017</v>
      </c>
      <c r="R100" s="49" t="s">
        <v>219</v>
      </c>
      <c r="S100" s="58" t="s">
        <v>242</v>
      </c>
      <c r="T100" s="58"/>
      <c r="U100" s="216"/>
      <c r="V100" s="49"/>
      <c r="W100" s="74" t="s">
        <v>157</v>
      </c>
      <c r="X100" s="77">
        <f t="shared" si="21"/>
        <v>0</v>
      </c>
      <c r="Y100" s="77">
        <f t="shared" si="22"/>
        <v>0</v>
      </c>
      <c r="Z100" s="74" t="s">
        <v>44</v>
      </c>
      <c r="AA100" s="76">
        <f t="shared" si="23"/>
        <v>120.69</v>
      </c>
      <c r="AB100" s="76">
        <f t="shared" si="24"/>
        <v>174.33</v>
      </c>
      <c r="AC100" s="74" t="s">
        <v>44</v>
      </c>
      <c r="AD100" s="76" t="s">
        <v>45</v>
      </c>
      <c r="AE100" s="76" t="s">
        <v>46</v>
      </c>
      <c r="AF100" s="76" t="s">
        <v>47</v>
      </c>
      <c r="AG100" s="74" t="s">
        <v>48</v>
      </c>
    </row>
    <row r="101" spans="1:33" ht="26.75" customHeight="1" ns3:dyDescent="0.2">
      <c r="A101" s="53">
        <v>221.32</v>
      </c>
      <c r="B101" s="38">
        <f>IF(ISNUMBER(A101),
IF(AND(A101=INT(A101), MOD(A101, 10) = 0), 0,
IF(AND(A101=INT(A101), LEN(A101)=2), 1,
IF(AND(A101=INT(A101), LEN(A101)=3), 2,
LEN(A101) - FIND(".", A101) + 2)
)
),
"")</f>
        <v>4</v>
      </c>
      <c r="C101" s="55" t="s">
        <v>243</v>
      </c>
      <c r="D101" s="39" t="str">
        <f t="shared" si="12"/>
        <v xml:space="preserve">                        Shield</v>
      </c>
      <c r="E101" s="39"/>
      <c r="F101" s="39"/>
      <c r="G101" s="39"/>
      <c r="H101" s="39"/>
      <c r="I101" s="39"/>
      <c r="J101" s="43"/>
      <c r="K101" s="60"/>
      <c r="L101" s="49"/>
      <c r="M101" s="58"/>
      <c r="N101" s="49"/>
      <c r="O101" s="49"/>
      <c r="P101" s="49"/>
      <c r="Q101" s="65"/>
      <c r="R101" s="49"/>
      <c r="S101" s="58"/>
      <c r="T101" s="58"/>
      <c r="U101" s="204"/>
      <c r="V101" s="49"/>
      <c r="W101" s="74"/>
      <c r="X101" s="77"/>
      <c r="Y101" s="77"/>
      <c r="Z101" s="74"/>
      <c r="AA101" s="76"/>
      <c r="AB101" s="76"/>
      <c r="AC101" s="74"/>
      <c r="AD101" s="76"/>
      <c r="AE101" s="76"/>
      <c r="AF101" s="76"/>
      <c r="AG101" s="74"/>
    </row>
    <row r="102" spans="1:33" s="33" customFormat="1" ht="53.25" customHeight="1" ns3:dyDescent="0.2">
      <c r="A102" s="53">
        <v>221.321</v>
      </c>
      <c r="B102" s="38">
        <f>IF(ISNUMBER(A102),
IF(AND(A102=INT(A102), MOD(A102, 10) = 0), 0,
IF(AND(A102=INT(A102), LEN(A102)=2), 1,
IF(AND(A102=INT(A102), LEN(A102)=3), 2,
LEN(A102) - FIND(".", A102) + 2)
)
),
"")</f>
        <v>5</v>
      </c>
      <c r="C102" s="55" t="s">
        <v>244</v>
      </c>
      <c r="D102" s="39" t="str">
        <f t="shared" si="12"/>
        <v xml:space="preserve">                              In Vessel Shield Materials</v>
      </c>
      <c r="E102" s="39" t="s">
        <v>35</v>
      </c>
      <c r="F102" s="39" t="s">
        <v>245</v>
      </c>
      <c r="G102" s="39" t="s">
        <v>217</v>
      </c>
      <c r="H102" s="39"/>
      <c r="I102" s="39"/>
      <c r="J102" s="43">
        <f>MARVEL_Cost!C30</f>
        <v>647990.6</v>
      </c>
      <c r="K102" s="60">
        <f>K82</f>
        <v>14285.714285714286</v>
      </c>
      <c r="L102" s="49" t="s">
        <v>186</v>
      </c>
      <c r="M102" s="58" t="s">
        <v>246</v>
      </c>
      <c r="N102" s="49">
        <f>N82</f>
        <v>28</v>
      </c>
      <c r="O102" s="49" t="s">
        <v>188</v>
      </c>
      <c r="P102" s="49">
        <v>1</v>
      </c>
      <c r="Q102" s="65">
        <v>2024</v>
      </c>
      <c r="R102" s="49" t="s">
        <v>219</v>
      </c>
      <c r="S102" s="58" t="s">
        <v>209</v>
      </c>
      <c r="T102" s="58"/>
      <c r="U102" s="204"/>
      <c r="V102" s="49"/>
      <c r="W102" s="74" t="s">
        <v>157</v>
      </c>
      <c r="X102" s="77">
        <f>0.9*$J102</f>
        <v>583191.54</v>
      </c>
      <c r="Y102" s="77">
        <f>1.5*J102</f>
        <v>971985.89999999991</v>
      </c>
      <c r="Z102" s="74" t="s">
        <v>44</v>
      </c>
      <c r="AA102" s="76">
        <f t="shared" ref="AA102:AA110" si="26">0.9*K102</f>
        <v>12857.142857142859</v>
      </c>
      <c r="AB102" s="76">
        <f t="shared" ref="AB102:AB110" si="27">1.3*K102</f>
        <v>18571.428571428572</v>
      </c>
      <c r="AC102" s="74" t="s">
        <v>44</v>
      </c>
      <c r="AD102" s="76" t="s">
        <v>45</v>
      </c>
      <c r="AE102" s="76" t="s">
        <v>46</v>
      </c>
      <c r="AF102" s="76" t="s">
        <v>47</v>
      </c>
      <c r="AG102" s="74" t="s">
        <v>48</v>
      </c>
    </row>
    <row r="103" spans="1:33" s="33" customFormat="1" ht="53.25" customHeight="1" ns3:dyDescent="0.2">
      <c r="A103" s="53">
        <v>221.322</v>
      </c>
      <c r="B103" s="38">
        <f>IF(ISNUMBER(A103),
IF(AND(A103=INT(A103), MOD(A103, 10) = 0), 0,
IF(AND(A103=INT(A103), LEN(A103)=2), 1,
IF(AND(A103=INT(A103), LEN(A103)=3), 2,
LEN(A103) - FIND(".", A103) + 2)
)
),
"")</f>
        <v>5</v>
      </c>
      <c r="C103" s="55" t="s">
        <v>247</v>
      </c>
      <c r="D103" s="39" t="str">
        <f t="shared" si="12"/>
        <v xml:space="preserve">                              Out The Vessel Shield Materials</v>
      </c>
      <c r="E103" s="39" t="s">
        <v>35</v>
      </c>
      <c r="F103" s="39" t="s">
        <v>248</v>
      </c>
      <c r="G103" s="39" t="s">
        <v>249</v>
      </c>
      <c r="H103" s="39"/>
      <c r="I103" s="39"/>
      <c r="J103" s="43"/>
      <c r="K103" s="60">
        <v>20</v>
      </c>
      <c r="L103" s="49" t="s">
        <v>186</v>
      </c>
      <c r="M103" s="58" t="s">
        <v>250</v>
      </c>
      <c r="N103" s="49">
        <f>'Design Variables'!B43</f>
        <v>925.3</v>
      </c>
      <c r="O103" s="49" t="s">
        <v>188</v>
      </c>
      <c r="P103" s="49">
        <v>1</v>
      </c>
      <c r="Q103" s="65">
        <v>2024</v>
      </c>
      <c r="R103" s="49" t="s">
        <v>219</v>
      </c>
      <c r="S103" s="58" t="s">
        <v>209</v>
      </c>
      <c r="T103" s="58"/>
      <c r="U103" s="205"/>
      <c r="V103" s="49"/>
      <c r="W103" s="74" t="s">
        <v>157</v>
      </c>
      <c r="X103" s="77">
        <f>0.9*$J103</f>
        <v>0</v>
      </c>
      <c r="Y103" s="77">
        <f>1.5*J103</f>
        <v>0</v>
      </c>
      <c r="Z103" s="74" t="s">
        <v>44</v>
      </c>
      <c r="AA103" s="76">
        <f t="shared" si="26"/>
        <v>18</v>
      </c>
      <c r="AB103" s="76">
        <f t="shared" si="27"/>
        <v>26</v>
      </c>
      <c r="AC103" s="74" t="s">
        <v>44</v>
      </c>
      <c r="AD103" s="76" t="s">
        <v>45</v>
      </c>
      <c r="AE103" s="76" t="s">
        <v>46</v>
      </c>
      <c r="AF103" s="76" t="s">
        <v>47</v>
      </c>
      <c r="AG103" s="74" t="s">
        <v>48</v>
      </c>
    </row>
    <row r="104" spans="1:33" ht="122.75" customHeight="1" ns3:dyDescent="0.2">
      <c r="A104" s="85">
        <v>221.33</v>
      </c>
      <c r="B104" s="86">
        <f>IF(ISNUMBER(A104),
IF(AND(A104=INT(A104), MOD(A104, 10) = 0), 0,
IF(AND(A104=INT(A104), LEN(A104)=2), 1,
IF(AND(A104=INT(A104), LEN(A104)=3), 2,
LEN(A104) - FIND(".", A104) + 2)
)
),
"")</f>
        <v>4</v>
      </c>
      <c r="C104" s="55" t="s">
        <v>251</v>
      </c>
      <c r="D104" s="39" t="str">
        <f t="shared" si="12"/>
        <v xml:space="preserve">                        Moderator</v>
      </c>
      <c r="E104" s="39" t="s">
        <v>35</v>
      </c>
      <c r="F104" s="39" t="s">
        <v>251</v>
      </c>
      <c r="G104" s="39" t="s">
        <v>229</v>
      </c>
      <c r="H104" s="84"/>
      <c r="I104" s="84"/>
      <c r="K104" s="60">
        <v>80</v>
      </c>
      <c r="L104" s="49" t="s">
        <v>186</v>
      </c>
      <c r="M104" s="58" t="s">
        <v>252</v>
      </c>
      <c r="O104" s="49" t="s">
        <v>188</v>
      </c>
      <c r="Q104" s="65">
        <v>2022</v>
      </c>
      <c r="R104" s="49" t="s">
        <v>219</v>
      </c>
      <c r="S104" s="58" t="s">
        <v>230</v>
      </c>
      <c r="T104" s="62" t="s">
        <v>231</v>
      </c>
      <c r="W104" s="74" t="s">
        <v>157</v>
      </c>
      <c r="Z104" s="74" t="s">
        <v>44</v>
      </c>
      <c r="AA104" s="76">
        <f t="shared" si="26"/>
        <v>72</v>
      </c>
      <c r="AB104" s="76">
        <f t="shared" si="27"/>
        <v>104</v>
      </c>
      <c r="AC104" s="74" t="s">
        <v>44</v>
      </c>
      <c r="AD104" s="76" t="s">
        <v>45</v>
      </c>
      <c r="AE104" s="76" t="s">
        <v>46</v>
      </c>
      <c r="AF104" s="76" t="s">
        <v>47</v>
      </c>
      <c r="AG104" s="74" t="s">
        <v>48</v>
      </c>
    </row>
    <row r="105" spans="1:33" ht="122.75" customHeight="1" ns3:dyDescent="0.2">
      <c r="A105" s="85">
        <v>221.33</v>
      </c>
      <c r="B105" s="86">
        <f>IF(ISNUMBER(A105),
    IF(AND(A105=INT(A105), MOD(A105, 10) = 0), 0,
        IF(AND(A105=INT(A105), LEN(A105)=2), 1,
            IF(AND(A105=INT(A105), LEN(A105)=3), 2,
                LEN(A105) - FIND(".", A105) + 2)
        )
    ),
"")</f>
        <v>4</v>
      </c>
      <c r="C105" s="55" t="s">
        <v>251</v>
      </c>
      <c r="D105" s="39" t="str">
        <f t="shared" ref="D105:D136" si="28">REPT("   ", B105*2) &amp; C105</f>
        <v xml:space="preserve">                        Moderator</v>
      </c>
      <c r="E105" s="39" t="s">
        <v>35</v>
      </c>
      <c r="F105" s="39" t="s">
        <v>251</v>
      </c>
      <c r="G105" s="39" t="s">
        <v>253</v>
      </c>
      <c r="H105" s="84"/>
      <c r="I105" s="84"/>
      <c r="K105" s="60">
        <f>2*K104</f>
        <v>160</v>
      </c>
      <c r="L105" s="49" t="s">
        <v>186</v>
      </c>
      <c r="M105" s="58" t="s">
        <v>252</v>
      </c>
      <c r="O105" s="49" t="s">
        <v>188</v>
      </c>
      <c r="Q105" s="65">
        <v>2022</v>
      </c>
      <c r="R105" s="49" t="s">
        <v>219</v>
      </c>
      <c r="S105" s="58" t="s">
        <v>254</v>
      </c>
      <c r="T105" s="62"/>
      <c r="W105" s="74" t="s">
        <v>157</v>
      </c>
      <c r="Z105" s="74" t="s">
        <v>44</v>
      </c>
      <c r="AA105" s="76">
        <f t="shared" si="26"/>
        <v>144</v>
      </c>
      <c r="AB105" s="76">
        <f t="shared" si="27"/>
        <v>208</v>
      </c>
      <c r="AC105" s="74" t="s">
        <v>44</v>
      </c>
      <c r="AD105" s="76" t="s">
        <v>45</v>
      </c>
      <c r="AE105" s="76" t="s">
        <v>46</v>
      </c>
      <c r="AF105" s="76" t="s">
        <v>47</v>
      </c>
      <c r="AG105" s="74" t="s">
        <v>48</v>
      </c>
    </row>
    <row r="106" spans="1:33" ht="122.75" customHeight="1" ns3:dyDescent="0.2">
      <c r="A106" s="85">
        <v>221.33</v>
      </c>
      <c r="B106" s="86">
        <f>IF(ISNUMBER(A106),
IF(AND(A106=INT(A106), MOD(A106, 10) = 0), 0,
IF(AND(A106=INT(A106), LEN(A106)=2), 1,
IF(AND(A106=INT(A106), LEN(A106)=3), 2,
LEN(A106) - FIND(".", A106) + 2)
)
),
"")</f>
        <v>4</v>
      </c>
      <c r="C106" s="55" t="s">
        <v>251</v>
      </c>
      <c r="D106" s="39" t="str">
        <f t="shared" si="28"/>
        <v xml:space="preserve">                        Moderator</v>
      </c>
      <c r="E106" s="39" t="s">
        <v>35</v>
      </c>
      <c r="F106" s="39" t="s">
        <v>251</v>
      </c>
      <c r="G106" s="39" t="s">
        <v>255</v>
      </c>
      <c r="H106" s="84"/>
      <c r="I106" s="84"/>
      <c r="K106" s="60">
        <v>1520</v>
      </c>
      <c r="L106" s="49" t="s">
        <v>186</v>
      </c>
      <c r="M106" s="58" t="s">
        <v>252</v>
      </c>
      <c r="O106" s="49" t="s">
        <v>188</v>
      </c>
      <c r="Q106" s="65">
        <v>2017</v>
      </c>
      <c r="R106" s="49" t="s">
        <v>219</v>
      </c>
      <c r="S106" s="58" t="s">
        <v>256</v>
      </c>
      <c r="T106" s="62" t="s">
        <v>257</v>
      </c>
      <c r="W106" s="74" t="s">
        <v>157</v>
      </c>
      <c r="Z106" s="74" t="s">
        <v>44</v>
      </c>
      <c r="AA106" s="76">
        <f t="shared" si="26"/>
        <v>1368</v>
      </c>
      <c r="AB106" s="76">
        <f t="shared" si="27"/>
        <v>1976</v>
      </c>
      <c r="AC106" s="74" t="s">
        <v>44</v>
      </c>
      <c r="AD106" s="76" t="s">
        <v>45</v>
      </c>
      <c r="AE106" s="76" t="s">
        <v>46</v>
      </c>
      <c r="AF106" s="76" t="s">
        <v>47</v>
      </c>
      <c r="AG106" s="74" t="s">
        <v>48</v>
      </c>
    </row>
    <row r="107" spans="1:33" ht="122.75" customHeight="1" ns3:dyDescent="0.2">
      <c r="A107" s="85">
        <v>221.33</v>
      </c>
      <c r="B107" s="86">
        <f>IF(ISNUMBER(A107),
    IF(AND(A107=INT(A107), MOD(A107, 10) = 0), 0,
        IF(AND(A107=INT(A107), LEN(A107)=2), 1,
            IF(AND(A107=INT(A107), LEN(A107)=3), 2,
                LEN(A107) - FIND(".", A107) + 2)
        )
    ),
"")</f>
        <v>4</v>
      </c>
      <c r="C107" s="55" t="s">
        <v>251</v>
      </c>
      <c r="D107" s="39" t="str">
        <f t="shared" si="28"/>
        <v xml:space="preserve">                        Moderator</v>
      </c>
      <c r="E107" s="39" t="s">
        <v>35</v>
      </c>
      <c r="F107" s="39" t="s">
        <v>251</v>
      </c>
      <c r="G107" s="39" t="s">
        <v>258</v>
      </c>
      <c r="H107" s="84"/>
      <c r="I107" s="84"/>
      <c r="K107" s="60">
        <v>1520</v>
      </c>
      <c r="L107" s="49" t="s">
        <v>186</v>
      </c>
      <c r="M107" s="58" t="s">
        <v>252</v>
      </c>
      <c r="O107" s="49" t="s">
        <v>188</v>
      </c>
      <c r="Q107" s="65">
        <v>2017</v>
      </c>
      <c r="R107" s="49" t="s">
        <v>219</v>
      </c>
      <c r="S107" s="58"/>
      <c r="T107" s="62" t="s">
        <v>259</v>
      </c>
      <c r="W107" s="74" t="s">
        <v>157</v>
      </c>
      <c r="Z107" s="74" t="s">
        <v>44</v>
      </c>
      <c r="AA107" s="76">
        <f t="shared" si="26"/>
        <v>1368</v>
      </c>
      <c r="AB107" s="76">
        <f t="shared" si="27"/>
        <v>1976</v>
      </c>
      <c r="AC107" s="74" t="s">
        <v>44</v>
      </c>
      <c r="AD107" s="76" t="s">
        <v>45</v>
      </c>
      <c r="AE107" s="76" t="s">
        <v>46</v>
      </c>
      <c r="AF107" s="76" t="s">
        <v>47</v>
      </c>
      <c r="AG107" s="74" t="s">
        <v>48</v>
      </c>
    </row>
    <row r="108" spans="1:33" ht="122.75" customHeight="1" ns3:dyDescent="0.2">
      <c r="A108" s="85">
        <v>221.34</v>
      </c>
      <c r="B108" s="86">
        <f>IF(ISNUMBER(A108),
IF(AND(A108=INT(A108), MOD(A108, 10) = 0), 0,
IF(AND(A108=INT(A108), LEN(A108)=2), 1,
IF(AND(A108=INT(A108), LEN(A108)=3), 2,
LEN(A108) - FIND(".", A108) + 2)
)
),
"")</f>
        <v>4</v>
      </c>
      <c r="C108" s="55" t="s">
        <v>260</v>
      </c>
      <c r="D108" s="39" t="str">
        <f t="shared" si="28"/>
        <v xml:space="preserve">                        Moderator (Booster)</v>
      </c>
      <c r="E108" s="39" t="s">
        <v>35</v>
      </c>
      <c r="F108" s="39" t="s">
        <v>261</v>
      </c>
      <c r="G108" s="39" t="s">
        <v>229</v>
      </c>
      <c r="H108" s="84"/>
      <c r="I108" s="84"/>
      <c r="K108" s="60">
        <v>80</v>
      </c>
      <c r="L108" s="49" t="s">
        <v>186</v>
      </c>
      <c r="M108" s="58" t="s">
        <v>262</v>
      </c>
      <c r="O108" s="49" t="s">
        <v>188</v>
      </c>
      <c r="Q108" s="65">
        <v>2022</v>
      </c>
      <c r="R108" s="49" t="s">
        <v>219</v>
      </c>
      <c r="S108" s="58" t="s">
        <v>230</v>
      </c>
      <c r="T108" s="62" t="s">
        <v>231</v>
      </c>
      <c r="W108" s="74" t="s">
        <v>157</v>
      </c>
      <c r="Z108" s="74" t="s">
        <v>44</v>
      </c>
      <c r="AA108" s="76">
        <f t="shared" si="26"/>
        <v>72</v>
      </c>
      <c r="AB108" s="76">
        <f t="shared" si="27"/>
        <v>104</v>
      </c>
      <c r="AC108" s="74" t="s">
        <v>44</v>
      </c>
      <c r="AD108" s="76" t="s">
        <v>45</v>
      </c>
      <c r="AE108" s="76" t="s">
        <v>46</v>
      </c>
      <c r="AF108" s="76" t="s">
        <v>47</v>
      </c>
      <c r="AG108" s="74" t="s">
        <v>48</v>
      </c>
    </row>
    <row r="109" spans="1:33" ht="122.75" customHeight="1" ns3:dyDescent="0.2">
      <c r="A109" s="85">
        <v>221.34</v>
      </c>
      <c r="B109" s="86">
        <f>IF(ISNUMBER(A109),
IF(AND(A109=INT(A109), MOD(A109, 10) = 0), 0,
IF(AND(A109=INT(A109), LEN(A109)=2), 1,
IF(AND(A109=INT(A109), LEN(A109)=3), 2,
LEN(A109) - FIND(".", A109) + 2)
)
),
"")</f>
        <v>4</v>
      </c>
      <c r="C109" s="55" t="s">
        <v>260</v>
      </c>
      <c r="D109" s="39" t="str">
        <f t="shared" si="28"/>
        <v xml:space="preserve">                        Moderator (Booster)</v>
      </c>
      <c r="E109" s="39" t="s">
        <v>35</v>
      </c>
      <c r="F109" s="39" t="s">
        <v>261</v>
      </c>
      <c r="G109" s="39" t="s">
        <v>258</v>
      </c>
      <c r="H109" s="84"/>
      <c r="I109" s="84"/>
      <c r="K109" s="60">
        <v>1520</v>
      </c>
      <c r="L109" s="49" t="s">
        <v>186</v>
      </c>
      <c r="M109" s="58" t="s">
        <v>263</v>
      </c>
      <c r="O109" s="49" t="s">
        <v>188</v>
      </c>
      <c r="Q109" s="65">
        <v>2017</v>
      </c>
      <c r="R109" s="49" t="s">
        <v>219</v>
      </c>
      <c r="S109" s="58"/>
      <c r="T109" s="62" t="s">
        <v>259</v>
      </c>
      <c r="W109" s="74" t="s">
        <v>157</v>
      </c>
      <c r="Z109" s="74" t="s">
        <v>44</v>
      </c>
      <c r="AA109" s="76">
        <f t="shared" si="26"/>
        <v>1368</v>
      </c>
      <c r="AB109" s="76">
        <f t="shared" si="27"/>
        <v>1976</v>
      </c>
      <c r="AC109" s="74" t="s">
        <v>44</v>
      </c>
      <c r="AD109" s="76" t="s">
        <v>45</v>
      </c>
      <c r="AE109" s="76" t="s">
        <v>46</v>
      </c>
      <c r="AF109" s="76" t="s">
        <v>47</v>
      </c>
      <c r="AG109" s="74" t="s">
        <v>48</v>
      </c>
    </row>
    <row r="110" spans="1:33" ht="122.75" customHeight="1" ns3:dyDescent="0.2">
      <c r="A110" s="85">
        <v>221.34</v>
      </c>
      <c r="B110" s="86">
        <f>IF(ISNUMBER(A110),
IF(AND(A110=INT(A110), MOD(A110, 10) = 0), 0,
IF(AND(A110=INT(A110), LEN(A110)=2), 1,
IF(AND(A110=INT(A110), LEN(A110)=3), 2,
LEN(A110) - FIND(".", A110) + 2)
)
),
"")</f>
        <v>4</v>
      </c>
      <c r="C110" s="55" t="s">
        <v>260</v>
      </c>
      <c r="D110" s="39" t="str">
        <f t="shared" si="28"/>
        <v xml:space="preserve">                        Moderator (Booster)</v>
      </c>
      <c r="E110" s="39" t="s">
        <v>35</v>
      </c>
      <c r="F110" s="39" t="s">
        <v>261</v>
      </c>
      <c r="G110" s="39" t="s">
        <v>255</v>
      </c>
      <c r="H110" s="84"/>
      <c r="I110" s="84"/>
      <c r="K110" s="60">
        <v>1520</v>
      </c>
      <c r="L110" s="49" t="s">
        <v>186</v>
      </c>
      <c r="M110" s="58" t="s">
        <v>264</v>
      </c>
      <c r="O110" s="49" t="s">
        <v>188</v>
      </c>
      <c r="Q110" s="65">
        <v>2017</v>
      </c>
      <c r="R110" s="49" t="s">
        <v>219</v>
      </c>
      <c r="S110" s="58" t="s">
        <v>256</v>
      </c>
      <c r="T110" s="220" t="s">
        <v>257</v>
      </c>
      <c r="U110" s="218"/>
      <c r="V110" s="218"/>
      <c r="W110" s="74" t="s">
        <v>157</v>
      </c>
      <c r="Z110" s="74" t="s">
        <v>44</v>
      </c>
      <c r="AA110" s="76">
        <f t="shared" si="26"/>
        <v>1368</v>
      </c>
      <c r="AB110" s="76">
        <f t="shared" si="27"/>
        <v>1976</v>
      </c>
      <c r="AC110" s="74" t="s">
        <v>44</v>
      </c>
      <c r="AD110" s="76" t="s">
        <v>45</v>
      </c>
      <c r="AE110" s="76" t="s">
        <v>46</v>
      </c>
      <c r="AF110" s="76" t="s">
        <v>47</v>
      </c>
      <c r="AG110" s="74" t="s">
        <v>48</v>
      </c>
    </row>
    <row r="111" spans="1:33" ht="53.25" customHeight="1" ns3:dyDescent="0.2">
      <c r="A111" s="53">
        <v>222</v>
      </c>
      <c r="B111" s="38">
        <f>IF(ISNUMBER(A111),
IF(AND(A111=INT(A111), MOD(A111, 10) = 0), 0,
IF(AND(A111=INT(A111), LEN(A111)=2), 1,
IF(AND(A111=INT(A111), LEN(A111)=3), 2,
LEN(A111) - FIND(".", A111) + 2)
)
),
"")</f>
        <v>2</v>
      </c>
      <c r="C111" s="55" t="s">
        <v>265</v>
      </c>
      <c r="D111" s="39" t="str">
        <f t="shared" si="28"/>
        <v xml:space="preserve">            Main Heat Transport System</v>
      </c>
      <c r="E111" s="39"/>
      <c r="F111" s="39"/>
      <c r="G111" s="39"/>
      <c r="H111" s="39"/>
      <c r="I111" s="39"/>
      <c r="J111" s="43"/>
      <c r="K111" s="60"/>
      <c r="L111" s="49"/>
      <c r="M111" s="58"/>
      <c r="N111" s="49"/>
      <c r="O111" s="49"/>
      <c r="P111" s="49"/>
      <c r="Q111" s="65"/>
      <c r="R111" s="49"/>
      <c r="S111" s="58"/>
      <c r="T111" s="220"/>
      <c r="U111" s="219"/>
      <c r="V111" s="219"/>
      <c r="W111" s="74"/>
      <c r="X111" s="77"/>
      <c r="Y111" s="77"/>
      <c r="Z111" s="74"/>
      <c r="AA111" s="76"/>
      <c r="AB111" s="76"/>
      <c r="AC111" s="74"/>
      <c r="AD111" s="76"/>
      <c r="AE111" s="76"/>
      <c r="AF111" s="76"/>
      <c r="AG111" s="74"/>
    </row>
    <row r="112" spans="1:33" ht="26.75" customHeight="1" ns3:dyDescent="0.2">
      <c r="A112" s="53">
        <v>222.1</v>
      </c>
      <c r="B112" s="38">
        <f>IF(ISNUMBER(A112),
    IF(AND(A112=INT(A112), MOD(A112, 10) = 0), 0,
        IF(AND(A112=INT(A112), LEN(A112)=2), 1,
            IF(AND(A112=INT(A112), LEN(A112)=3), 2,
                LEN(A112) - FIND(".", A112) + 2)
        )
    ),
"")</f>
        <v>3</v>
      </c>
      <c r="C112" s="55" t="s">
        <v>266</v>
      </c>
      <c r="D112" s="39" t="str">
        <f t="shared" si="28"/>
        <v xml:space="preserve">                  Fluid Circulation Drive System</v>
      </c>
      <c r="E112" s="39"/>
      <c r="F112" s="39"/>
      <c r="G112" s="39"/>
      <c r="H112" s="39"/>
      <c r="I112" s="39"/>
      <c r="J112" s="43"/>
      <c r="K112" s="65"/>
      <c r="L112" s="49"/>
      <c r="M112" s="58"/>
      <c r="N112" s="49"/>
      <c r="O112" s="49"/>
      <c r="P112" s="49"/>
      <c r="Q112" s="65"/>
      <c r="R112" s="49"/>
      <c r="S112" s="58"/>
      <c r="T112" s="49"/>
      <c r="U112" s="49"/>
      <c r="V112" s="49"/>
      <c r="W112" s="74"/>
      <c r="X112" s="77"/>
      <c r="Y112" s="77"/>
      <c r="Z112" s="74"/>
      <c r="AA112" s="76"/>
      <c r="AB112" s="76"/>
      <c r="AC112" s="74"/>
      <c r="AD112" s="76"/>
      <c r="AE112" s="76"/>
      <c r="AF112" s="76"/>
      <c r="AG112" s="74"/>
    </row>
    <row r="113" spans="1:33" ht="109" customHeight="1" ns3:dyDescent="0.2">
      <c r="A113" s="42">
        <v>222.11</v>
      </c>
      <c r="B113" s="38">
        <f>IF(ISNUMBER(A113),
IF(AND(A113=INT(A113), MOD(A113, 10) = 0), 0,
IF(AND(A113=INT(A113), LEN(A113)=2), 1,
IF(AND(A113=INT(A113), LEN(A113)=3), 2,
LEN(A113) - FIND(".", A113) + 2)
)
),
"")</f>
        <v>4</v>
      </c>
      <c r="C113" s="55" t="s">
        <v>267</v>
      </c>
      <c r="D113" s="39" t="str">
        <f t="shared" si="28"/>
        <v xml:space="preserve">                        Primary Pump</v>
      </c>
      <c r="E113" s="39" t="s">
        <v>268</v>
      </c>
      <c r="F113" s="39" t="s">
        <v>267</v>
      </c>
      <c r="G113" s="39" t="s">
        <v>269</v>
      </c>
      <c r="H113" s="39"/>
      <c r="I113" s="39"/>
      <c r="J113" s="43"/>
      <c r="K113" s="60">
        <f>12.5*705.48</f>
        <v>8818.5</v>
      </c>
      <c r="L113" s="49" t="s">
        <v>270</v>
      </c>
      <c r="M113" s="58" t="s">
        <v>271</v>
      </c>
      <c r="N113" s="49"/>
      <c r="O113" s="49"/>
      <c r="P113" s="49">
        <v>0.71</v>
      </c>
      <c r="Q113" s="65">
        <v>2003</v>
      </c>
      <c r="R113" s="49" t="s">
        <v>86</v>
      </c>
      <c r="S113" s="58" t="s">
        <v>272</v>
      </c>
      <c r="T113" s="62" t="s">
        <v>273</v>
      </c>
      <c r="U113" s="206" t="s">
        <v>274</v>
      </c>
      <c r="V113" s="62"/>
      <c r="W113" s="74" t="s">
        <v>157</v>
      </c>
      <c r="X113" s="77">
        <f t="shared" ref="X113:X118" si="29">0.9*$J113</f>
        <v>0</v>
      </c>
      <c r="Y113" s="77">
        <f t="shared" ref="Y113:Y118" si="30">1.5*J113</f>
        <v>0</v>
      </c>
      <c r="Z113" s="74" t="s">
        <v>44</v>
      </c>
      <c r="AA113" s="76">
        <f t="shared" ref="AA113:AA118" si="31">0.9*K113</f>
        <v>7936.6500000000005</v>
      </c>
      <c r="AB113" s="76">
        <f t="shared" ref="AB113:AB118" si="32">1.3*K113</f>
        <v>11464.050000000001</v>
      </c>
      <c r="AC113" s="74" t="s">
        <v>44</v>
      </c>
      <c r="AD113" s="76" t="s">
        <v>45</v>
      </c>
      <c r="AE113" s="76" t="s">
        <v>46</v>
      </c>
      <c r="AF113" s="76" t="s">
        <v>47</v>
      </c>
      <c r="AG113" s="74" t="s">
        <v>48</v>
      </c>
    </row>
    <row r="114" spans="1:33" ht="51.75" customHeight="1" ns3:dyDescent="0.2">
      <c r="A114" s="42">
        <v>222.12</v>
      </c>
      <c r="B114" s="38">
        <f>IF(ISNUMBER(A114),
IF(AND(A114=INT(A114), MOD(A114, 10) = 0), 0,
IF(AND(A114=INT(A114), LEN(A114)=2), 1,
IF(AND(A114=INT(A114), LEN(A114)=3), 2,
LEN(A114) - FIND(".", A114) + 2)
)
),
"")</f>
        <v>4</v>
      </c>
      <c r="C114" s="55" t="s">
        <v>275</v>
      </c>
      <c r="D114" s="39" t="str">
        <f t="shared" si="28"/>
        <v xml:space="preserve">                        Secondary Pump</v>
      </c>
      <c r="E114" s="39" t="s">
        <v>268</v>
      </c>
      <c r="F114" s="39" t="s">
        <v>275</v>
      </c>
      <c r="G114" s="39" t="s">
        <v>269</v>
      </c>
      <c r="H114" s="39"/>
      <c r="I114" s="39"/>
      <c r="J114" s="43"/>
      <c r="K114" s="60">
        <v>705.48</v>
      </c>
      <c r="L114" s="49" t="s">
        <v>270</v>
      </c>
      <c r="M114" s="58" t="s">
        <v>276</v>
      </c>
      <c r="N114" s="49"/>
      <c r="O114" s="49"/>
      <c r="P114" s="49">
        <v>0.71</v>
      </c>
      <c r="Q114" s="65">
        <v>2003</v>
      </c>
      <c r="R114" s="49" t="s">
        <v>86</v>
      </c>
      <c r="S114" s="58" t="s">
        <v>277</v>
      </c>
      <c r="T114" s="205"/>
      <c r="U114" s="205"/>
      <c r="V114" s="205"/>
      <c r="W114" s="74" t="s">
        <v>157</v>
      </c>
      <c r="X114" s="77">
        <f t="shared" si="29"/>
        <v>0</v>
      </c>
      <c r="Y114" s="77">
        <f t="shared" si="30"/>
        <v>0</v>
      </c>
      <c r="Z114" s="74" t="s">
        <v>44</v>
      </c>
      <c r="AA114" s="76">
        <f t="shared" si="31"/>
        <v>634.93200000000002</v>
      </c>
      <c r="AB114" s="76">
        <f t="shared" si="32"/>
        <v>917.12400000000002</v>
      </c>
      <c r="AC114" s="74" t="s">
        <v>44</v>
      </c>
      <c r="AD114" s="76" t="s">
        <v>45</v>
      </c>
      <c r="AE114" s="76" t="s">
        <v>46</v>
      </c>
      <c r="AF114" s="76" t="s">
        <v>47</v>
      </c>
      <c r="AG114" s="74" t="s">
        <v>48</v>
      </c>
    </row>
    <row r="115" spans="1:33" ht="176" customHeight="1" ns3:dyDescent="0.2">
      <c r="A115" s="42">
        <v>222.13</v>
      </c>
      <c r="B115" s="38">
        <f>IF(ISNUMBER(A115),
IF(AND(A115=INT(A115), MOD(A115, 10) = 0), 0,
IF(AND(A115=INT(A115), LEN(A115)=2), 1,
IF(AND(A115=INT(A115), LEN(A115)=3), 2,
LEN(A115) - FIND(".", A115) + 2)
)
),
"")</f>
        <v>4</v>
      </c>
      <c r="C115" s="55" t="s">
        <v>278</v>
      </c>
      <c r="D115" s="39" t="str">
        <f t="shared" si="28"/>
        <v xml:space="preserve">                        Compressor</v>
      </c>
      <c r="E115" s="39" t="s">
        <v>268</v>
      </c>
      <c r="F115" s="39" t="s">
        <v>118</v>
      </c>
      <c r="G115" s="39" t="s">
        <v>119</v>
      </c>
      <c r="H115" s="39"/>
      <c r="I115" s="39"/>
      <c r="J115" s="43"/>
      <c r="K115" s="60">
        <v>7100000</v>
      </c>
      <c r="L115" s="49" t="s">
        <v>279</v>
      </c>
      <c r="M115" s="58"/>
      <c r="N115" s="49"/>
      <c r="O115" s="49"/>
      <c r="P115" s="49"/>
      <c r="Q115" s="65">
        <v>2020</v>
      </c>
      <c r="R115" s="49" t="s">
        <v>86</v>
      </c>
      <c r="S115" s="58" t="s">
        <v>280</v>
      </c>
      <c r="T115" s="62" t="s">
        <v>281</v>
      </c>
      <c r="U115" s="66"/>
      <c r="V115" s="62" t="s">
        <v>282</v>
      </c>
      <c r="W115" s="74" t="s">
        <v>157</v>
      </c>
      <c r="X115" s="77">
        <f t="shared" si="29"/>
        <v>0</v>
      </c>
      <c r="Y115" s="77">
        <f t="shared" si="30"/>
        <v>0</v>
      </c>
      <c r="Z115" s="74" t="s">
        <v>44</v>
      </c>
      <c r="AA115" s="76">
        <f t="shared" si="31"/>
        <v>6390000</v>
      </c>
      <c r="AB115" s="76">
        <f t="shared" si="32"/>
        <v>9230000</v>
      </c>
      <c r="AC115" s="74" t="s">
        <v>44</v>
      </c>
      <c r="AD115" s="76" t="s">
        <v>45</v>
      </c>
      <c r="AE115" s="76" t="s">
        <v>46</v>
      </c>
      <c r="AF115" s="76" t="s">
        <v>47</v>
      </c>
      <c r="AG115" s="74" t="s">
        <v>48</v>
      </c>
    </row>
    <row r="116" spans="1:33" ht="53.25" customHeight="1" ns3:dyDescent="0.2">
      <c r="A116" s="53">
        <v>222.2</v>
      </c>
      <c r="B116" s="38">
        <f>IF(ISNUMBER(A116),
IF(AND(A116=INT(A116), MOD(A116, 10) = 0), 0,
IF(AND(A116=INT(A116), LEN(A116)=2), 1,
IF(AND(A116=INT(A116), LEN(A116)=3), 2,
LEN(A116) - FIND(".", A116) + 2)
)
),
"")</f>
        <v>3</v>
      </c>
      <c r="C116" s="55" t="s">
        <v>283</v>
      </c>
      <c r="D116" s="39" t="str">
        <f t="shared" si="28"/>
        <v xml:space="preserve">                  Reactor Heat Transfer Piping System</v>
      </c>
      <c r="E116" s="39" t="s">
        <v>35</v>
      </c>
      <c r="F116" s="39" t="s">
        <v>118</v>
      </c>
      <c r="G116" s="39" t="s">
        <v>119</v>
      </c>
      <c r="H116" s="39"/>
      <c r="I116" s="39"/>
      <c r="J116" s="43"/>
      <c r="K116" s="60">
        <v>20000</v>
      </c>
      <c r="L116" s="49" t="s">
        <v>50</v>
      </c>
      <c r="M116" s="45" t="s">
        <v>51</v>
      </c>
      <c r="N116" s="49"/>
      <c r="O116" s="49"/>
      <c r="P116" s="49"/>
      <c r="Q116" s="65">
        <v>2017</v>
      </c>
      <c r="R116" s="49" t="s">
        <v>153</v>
      </c>
      <c r="S116" s="58" t="s">
        <v>284</v>
      </c>
      <c r="T116" s="58" t="s">
        <v>197</v>
      </c>
      <c r="U116" s="49"/>
      <c r="V116" s="49"/>
      <c r="W116" s="74" t="s">
        <v>157</v>
      </c>
      <c r="X116" s="77">
        <f t="shared" si="29"/>
        <v>0</v>
      </c>
      <c r="Y116" s="77">
        <f t="shared" si="30"/>
        <v>0</v>
      </c>
      <c r="Z116" s="74" t="s">
        <v>44</v>
      </c>
      <c r="AA116" s="76">
        <f t="shared" si="31"/>
        <v>18000</v>
      </c>
      <c r="AB116" s="76">
        <f t="shared" si="32"/>
        <v>26000</v>
      </c>
      <c r="AC116" s="74" t="s">
        <v>44</v>
      </c>
      <c r="AD116" s="76" t="s">
        <v>45</v>
      </c>
      <c r="AE116" s="76" t="s">
        <v>46</v>
      </c>
      <c r="AF116" s="76" t="s">
        <v>47</v>
      </c>
      <c r="AG116" s="74" t="s">
        <v>48</v>
      </c>
    </row>
    <row r="117" spans="1:33" ht="53.25" customHeight="1" ns3:dyDescent="0.2">
      <c r="A117" s="53">
        <v>222.2</v>
      </c>
      <c r="B117" s="38">
        <f>IF(ISNUMBER(A117),
    IF(AND(A117=INT(A117), MOD(A117, 10) = 0), 0,
        IF(AND(A117=INT(A117), LEN(A117)=2), 1,
            IF(AND(A117=INT(A117), LEN(A117)=3), 2,
                LEN(A117) - FIND(".", A117) + 2)
        )
    ),
"")</f>
        <v>3</v>
      </c>
      <c r="C117" s="55" t="s">
        <v>283</v>
      </c>
      <c r="D117" s="39" t="str">
        <f t="shared" si="28"/>
        <v xml:space="preserve">                  Reactor Heat Transfer Piping System</v>
      </c>
      <c r="E117" s="39" t="s">
        <v>35</v>
      </c>
      <c r="F117" s="39" t="s">
        <v>118</v>
      </c>
      <c r="G117" s="39" t="s">
        <v>285</v>
      </c>
      <c r="H117" s="39"/>
      <c r="I117" s="39"/>
      <c r="J117" s="43"/>
      <c r="K117" s="60">
        <v>20000</v>
      </c>
      <c r="L117" s="49" t="s">
        <v>50</v>
      </c>
      <c r="M117" s="45" t="s">
        <v>51</v>
      </c>
      <c r="N117" s="49"/>
      <c r="O117" s="49"/>
      <c r="P117" s="49"/>
      <c r="Q117" s="65">
        <v>2017</v>
      </c>
      <c r="R117" s="49" t="s">
        <v>153</v>
      </c>
      <c r="S117" s="58" t="s">
        <v>284</v>
      </c>
      <c r="T117" s="58" t="s">
        <v>197</v>
      </c>
      <c r="U117" s="49"/>
      <c r="V117" s="49"/>
      <c r="W117" s="74" t="s">
        <v>157</v>
      </c>
      <c r="X117" s="77">
        <f t="shared" si="29"/>
        <v>0</v>
      </c>
      <c r="Y117" s="77">
        <f t="shared" si="30"/>
        <v>0</v>
      </c>
      <c r="Z117" s="74" t="s">
        <v>44</v>
      </c>
      <c r="AA117" s="76">
        <f t="shared" si="31"/>
        <v>18000</v>
      </c>
      <c r="AB117" s="76">
        <f t="shared" si="32"/>
        <v>26000</v>
      </c>
      <c r="AC117" s="74" t="s">
        <v>44</v>
      </c>
      <c r="AD117" s="76" t="s">
        <v>45</v>
      </c>
      <c r="AE117" s="76" t="s">
        <v>46</v>
      </c>
      <c r="AF117" s="76" t="s">
        <v>47</v>
      </c>
      <c r="AG117" s="74" t="s">
        <v>48</v>
      </c>
    </row>
    <row r="118" spans="1:33" ht="53.25" customHeight="1" ns3:dyDescent="0.2">
      <c r="A118" s="53">
        <v>222.2</v>
      </c>
      <c r="B118" s="38">
        <f>IF(ISNUMBER(A118),
IF(AND(A118=INT(A118), MOD(A118, 10) = 0), 0,
IF(AND(A118=INT(A118), LEN(A118)=2), 1,
IF(AND(A118=INT(A118), LEN(A118)=3), 2,
LEN(A118) - FIND(".", A118) + 2)
)
),
"")</f>
        <v>3</v>
      </c>
      <c r="C118" s="55" t="s">
        <v>283</v>
      </c>
      <c r="D118" s="39" t="str">
        <f t="shared" si="28"/>
        <v xml:space="preserve">                  Reactor Heat Transfer Piping System</v>
      </c>
      <c r="E118" s="39" t="s">
        <v>35</v>
      </c>
      <c r="F118" s="39" t="s">
        <v>118</v>
      </c>
      <c r="G118" s="39" t="s">
        <v>286</v>
      </c>
      <c r="H118" s="39"/>
      <c r="I118" s="39"/>
      <c r="J118" s="43"/>
      <c r="K118" s="60">
        <v>10000</v>
      </c>
      <c r="L118" s="49" t="s">
        <v>287</v>
      </c>
      <c r="M118" s="45" t="s">
        <v>288</v>
      </c>
      <c r="N118" s="49">
        <v>1</v>
      </c>
      <c r="O118" s="49"/>
      <c r="P118" s="49">
        <v>0.7</v>
      </c>
      <c r="Q118" s="65">
        <v>2017</v>
      </c>
      <c r="R118" s="49" t="s">
        <v>153</v>
      </c>
      <c r="S118" s="58" t="s">
        <v>289</v>
      </c>
      <c r="T118" s="58"/>
      <c r="U118" s="49"/>
      <c r="V118" s="49"/>
      <c r="W118" s="74" t="s">
        <v>157</v>
      </c>
      <c r="X118" s="77">
        <f t="shared" si="29"/>
        <v>0</v>
      </c>
      <c r="Y118" s="77">
        <f t="shared" si="30"/>
        <v>0</v>
      </c>
      <c r="Z118" s="74" t="s">
        <v>44</v>
      </c>
      <c r="AA118" s="76">
        <f t="shared" si="31"/>
        <v>9000</v>
      </c>
      <c r="AB118" s="76">
        <f t="shared" si="32"/>
        <v>13000</v>
      </c>
      <c r="AC118" s="74" t="s">
        <v>44</v>
      </c>
      <c r="AD118" s="76" t="s">
        <v>45</v>
      </c>
      <c r="AE118" s="76" t="s">
        <v>46</v>
      </c>
      <c r="AF118" s="76" t="s">
        <v>47</v>
      </c>
      <c r="AG118" s="74" t="s">
        <v>48</v>
      </c>
    </row>
    <row r="119" spans="1:33" ht="26.75" customHeight="1" ns3:dyDescent="0.2">
      <c r="A119" s="53">
        <v>222.3</v>
      </c>
      <c r="B119" s="38">
        <f>IF(ISNUMBER(A119),
IF(AND(A119=INT(A119), MOD(A119, 10) = 0), 0,
IF(AND(A119=INT(A119), LEN(A119)=2), 1,
IF(AND(A119=INT(A119), LEN(A119)=3), 2,
LEN(A119) - FIND(".", A119) + 2)
)
),
"")</f>
        <v>3</v>
      </c>
      <c r="C119" s="55" t="s">
        <v>290</v>
      </c>
      <c r="D119" s="39" t="str">
        <f t="shared" si="28"/>
        <v xml:space="preserve">                  Heat Exchangers</v>
      </c>
      <c r="E119" s="39"/>
      <c r="F119" s="39"/>
      <c r="G119" s="39"/>
      <c r="H119" s="39"/>
      <c r="I119" s="39"/>
      <c r="J119" s="43"/>
      <c r="K119" s="60"/>
      <c r="L119" s="49"/>
      <c r="M119" s="58"/>
      <c r="N119" s="49"/>
      <c r="O119" s="49"/>
      <c r="P119" s="49"/>
      <c r="Q119" s="65"/>
      <c r="R119" s="49"/>
      <c r="S119" s="58"/>
      <c r="T119" s="49"/>
      <c r="U119" s="49"/>
      <c r="V119" s="49"/>
      <c r="W119" s="74"/>
      <c r="X119" s="77"/>
      <c r="Y119" s="77"/>
      <c r="Z119" s="74"/>
      <c r="AA119" s="76"/>
      <c r="AB119" s="76"/>
      <c r="AC119" s="74"/>
      <c r="AD119" s="76"/>
      <c r="AE119" s="76"/>
      <c r="AF119" s="76"/>
      <c r="AG119" s="74"/>
    </row>
    <row r="120" spans="1:33" ht="53.25" customHeight="1" ns3:dyDescent="0.2">
      <c r="A120" s="53">
        <v>222.31</v>
      </c>
      <c r="B120" s="38">
        <f>IF(ISNUMBER(A120),
    IF(AND(A120=INT(A120), MOD(A120, 10) = 0), 0,
        IF(AND(A120=INT(A120), LEN(A120)=2), 1,
            IF(AND(A120=INT(A120), LEN(A120)=3), 2,
                LEN(A120) - FIND(".", A120) + 2)
        )
    ),
"")</f>
        <v>4</v>
      </c>
      <c r="C120" s="55" t="s">
        <v>291</v>
      </c>
      <c r="D120" s="39" t="str">
        <f t="shared" si="28"/>
        <v xml:space="preserve">                        Primary Heat Exchanger</v>
      </c>
      <c r="E120" s="39" t="s">
        <v>35</v>
      </c>
      <c r="F120" s="39" t="s">
        <v>292</v>
      </c>
      <c r="G120" s="39" t="s">
        <v>293</v>
      </c>
      <c r="H120" s="39"/>
      <c r="I120" s="39"/>
      <c r="J120" s="43"/>
      <c r="K120" s="60">
        <v>50</v>
      </c>
      <c r="L120" s="49" t="s">
        <v>186</v>
      </c>
      <c r="M120" s="58" t="s">
        <v>294</v>
      </c>
      <c r="N120" s="49"/>
      <c r="O120" s="49" t="s">
        <v>188</v>
      </c>
      <c r="P120" s="49"/>
      <c r="Q120" s="65">
        <v>2004</v>
      </c>
      <c r="R120" s="49" t="s">
        <v>153</v>
      </c>
      <c r="S120" s="58" t="s">
        <v>295</v>
      </c>
      <c r="T120" s="62" t="s">
        <v>296</v>
      </c>
      <c r="U120" s="49"/>
      <c r="V120" s="49"/>
      <c r="W120" s="74" t="s">
        <v>157</v>
      </c>
      <c r="X120" s="77">
        <f>0.9*$J120</f>
        <v>0</v>
      </c>
      <c r="Y120" s="77">
        <f>1.5*J120</f>
        <v>0</v>
      </c>
      <c r="Z120" s="74" t="s">
        <v>44</v>
      </c>
      <c r="AA120" s="76">
        <f t="shared" ref="AA120:AA125" si="33">0.9*K120</f>
        <v>45</v>
      </c>
      <c r="AB120" s="76">
        <f t="shared" ref="AB120:AB125" si="34">1.3*K120</f>
        <v>65</v>
      </c>
      <c r="AC120" s="74" t="s">
        <v>44</v>
      </c>
      <c r="AD120" s="76" t="s">
        <v>45</v>
      </c>
      <c r="AE120" s="76" t="s">
        <v>46</v>
      </c>
      <c r="AF120" s="76" t="s">
        <v>47</v>
      </c>
      <c r="AG120" s="74" t="s">
        <v>48</v>
      </c>
    </row>
    <row r="121" spans="1:33" ht="53.25" customHeight="1" ns3:dyDescent="0.2">
      <c r="A121" s="53">
        <v>222.31</v>
      </c>
      <c r="B121" s="38">
        <f>IF(ISNUMBER(A121),
    IF(AND(A121=INT(A121), MOD(A121, 10) = 0), 0,
        IF(AND(A121=INT(A121), LEN(A121)=2), 1,
            IF(AND(A121=INT(A121), LEN(A121)=3), 2,
                LEN(A121) - FIND(".", A121) + 2)
        )
    ),
"")</f>
        <v>4</v>
      </c>
      <c r="C121" s="55" t="s">
        <v>291</v>
      </c>
      <c r="D121" s="39" t="str">
        <f t="shared" si="28"/>
        <v xml:space="preserve">                        Primary Heat Exchanger</v>
      </c>
      <c r="E121" s="39" t="s">
        <v>35</v>
      </c>
      <c r="F121" s="39" t="s">
        <v>292</v>
      </c>
      <c r="G121" s="39" t="s">
        <v>297</v>
      </c>
      <c r="H121" s="39"/>
      <c r="I121" s="39"/>
      <c r="J121" s="43"/>
      <c r="K121" s="60">
        <v>120</v>
      </c>
      <c r="L121" s="49" t="s">
        <v>186</v>
      </c>
      <c r="M121" s="58" t="s">
        <v>294</v>
      </c>
      <c r="N121" s="49"/>
      <c r="O121" s="49" t="s">
        <v>188</v>
      </c>
      <c r="P121" s="49"/>
      <c r="Q121" s="65">
        <v>2013</v>
      </c>
      <c r="R121" s="49" t="s">
        <v>153</v>
      </c>
      <c r="S121" s="58" t="s">
        <v>295</v>
      </c>
      <c r="T121" s="62" t="s">
        <v>298</v>
      </c>
      <c r="U121" s="49"/>
      <c r="V121" s="49"/>
      <c r="W121" s="74" t="s">
        <v>157</v>
      </c>
      <c r="X121" s="77">
        <f>0.9*$J121</f>
        <v>0</v>
      </c>
      <c r="Y121" s="77">
        <f>1.5*J121</f>
        <v>0</v>
      </c>
      <c r="Z121" s="74" t="s">
        <v>44</v>
      </c>
      <c r="AA121" s="76">
        <f t="shared" si="33"/>
        <v>108</v>
      </c>
      <c r="AB121" s="76">
        <f t="shared" si="34"/>
        <v>156</v>
      </c>
      <c r="AC121" s="74" t="s">
        <v>44</v>
      </c>
      <c r="AD121" s="76" t="s">
        <v>45</v>
      </c>
      <c r="AE121" s="76" t="s">
        <v>46</v>
      </c>
      <c r="AF121" s="76" t="s">
        <v>47</v>
      </c>
      <c r="AG121" s="74" t="s">
        <v>48</v>
      </c>
    </row>
    <row r="122" spans="1:33" ht="53.25" customHeight="1" ns3:dyDescent="0.2">
      <c r="A122" s="53">
        <v>222.32</v>
      </c>
      <c r="B122" s="38">
        <f>IF(ISNUMBER(A122),
    IF(AND(A122=INT(A122), MOD(A122, 10) = 0), 0,
        IF(AND(A122=INT(A122), LEN(A122)=2), 1,
            IF(AND(A122=INT(A122), LEN(A122)=3), 2,
                LEN(A122) - FIND(".", A122) + 2)
        )
    ),
"")</f>
        <v>4</v>
      </c>
      <c r="C122" s="55" t="s">
        <v>299</v>
      </c>
      <c r="D122" s="39" t="str">
        <f t="shared" si="28"/>
        <v xml:space="preserve">                        Secondary Heat Exchanger</v>
      </c>
      <c r="E122" s="39" t="s">
        <v>35</v>
      </c>
      <c r="F122" s="39" t="s">
        <v>292</v>
      </c>
      <c r="G122" s="39" t="s">
        <v>293</v>
      </c>
      <c r="H122" s="39"/>
      <c r="I122" s="39"/>
      <c r="J122" s="43"/>
      <c r="K122" s="60">
        <v>50</v>
      </c>
      <c r="L122" s="49" t="s">
        <v>186</v>
      </c>
      <c r="M122" s="58" t="s">
        <v>300</v>
      </c>
      <c r="N122" s="49"/>
      <c r="O122" s="49" t="s">
        <v>188</v>
      </c>
      <c r="P122" s="49"/>
      <c r="Q122" s="65">
        <v>2004</v>
      </c>
      <c r="R122" s="49" t="s">
        <v>153</v>
      </c>
      <c r="S122" s="58" t="s">
        <v>295</v>
      </c>
      <c r="T122" s="62" t="s">
        <v>296</v>
      </c>
      <c r="U122" s="49"/>
      <c r="V122" s="49"/>
      <c r="W122" s="74" t="s">
        <v>157</v>
      </c>
      <c r="X122" s="77">
        <f>0.9*$J122</f>
        <v>0</v>
      </c>
      <c r="Y122" s="77">
        <f>1.5*J122</f>
        <v>0</v>
      </c>
      <c r="Z122" s="74" t="s">
        <v>44</v>
      </c>
      <c r="AA122" s="76">
        <f t="shared" si="33"/>
        <v>45</v>
      </c>
      <c r="AB122" s="76">
        <f t="shared" si="34"/>
        <v>65</v>
      </c>
      <c r="AC122" s="74" t="s">
        <v>44</v>
      </c>
      <c r="AD122" s="76" t="s">
        <v>45</v>
      </c>
      <c r="AE122" s="76" t="s">
        <v>46</v>
      </c>
      <c r="AF122" s="76" t="s">
        <v>47</v>
      </c>
      <c r="AG122" s="74" t="s">
        <v>48</v>
      </c>
    </row>
    <row r="123" spans="1:33" ht="53.25" customHeight="1" ns3:dyDescent="0.2">
      <c r="A123" s="53">
        <v>222.32</v>
      </c>
      <c r="B123" s="38">
        <f>IF(ISNUMBER(A123),
    IF(AND(A123=INT(A123), MOD(A123, 10) = 0), 0,
        IF(AND(A123=INT(A123), LEN(A123)=2), 1,
            IF(AND(A123=INT(A123), LEN(A123)=3), 2,
                LEN(A123) - FIND(".", A123) + 2)
        )
    ),
"")</f>
        <v>4</v>
      </c>
      <c r="C123" s="55" t="s">
        <v>299</v>
      </c>
      <c r="D123" s="39" t="str">
        <f t="shared" si="28"/>
        <v xml:space="preserve">                        Secondary Heat Exchanger</v>
      </c>
      <c r="E123" s="39" t="s">
        <v>35</v>
      </c>
      <c r="F123" s="39" t="s">
        <v>292</v>
      </c>
      <c r="G123" s="39" t="s">
        <v>297</v>
      </c>
      <c r="H123" s="39"/>
      <c r="I123" s="39"/>
      <c r="J123" s="43"/>
      <c r="K123" s="60">
        <v>120</v>
      </c>
      <c r="L123" s="49" t="s">
        <v>186</v>
      </c>
      <c r="M123" s="58" t="s">
        <v>300</v>
      </c>
      <c r="N123" s="49"/>
      <c r="O123" s="49" t="s">
        <v>188</v>
      </c>
      <c r="P123" s="49"/>
      <c r="Q123" s="65">
        <v>2013</v>
      </c>
      <c r="R123" s="49" t="s">
        <v>153</v>
      </c>
      <c r="S123" s="58" t="s">
        <v>295</v>
      </c>
      <c r="T123" s="62" t="s">
        <v>298</v>
      </c>
      <c r="U123" s="49"/>
      <c r="V123" s="49"/>
      <c r="W123" s="74" t="s">
        <v>157</v>
      </c>
      <c r="X123" s="77">
        <f>0.9*$J123</f>
        <v>0</v>
      </c>
      <c r="Y123" s="77">
        <f>1.5*J123</f>
        <v>0</v>
      </c>
      <c r="Z123" s="74" t="s">
        <v>44</v>
      </c>
      <c r="AA123" s="76">
        <f t="shared" si="33"/>
        <v>108</v>
      </c>
      <c r="AB123" s="76">
        <f t="shared" si="34"/>
        <v>156</v>
      </c>
      <c r="AC123" s="74" t="s">
        <v>44</v>
      </c>
      <c r="AD123" s="76" t="s">
        <v>45</v>
      </c>
      <c r="AE123" s="76" t="s">
        <v>46</v>
      </c>
      <c r="AF123" s="76" t="s">
        <v>47</v>
      </c>
      <c r="AG123" s="74" t="s">
        <v>48</v>
      </c>
    </row>
    <row r="124" spans="1:33" ht="53.25" customHeight="1" ns3:dyDescent="0.2">
      <c r="A124" s="53">
        <v>222.5</v>
      </c>
      <c r="B124" s="38">
        <f>IF(ISNUMBER(A124),
IF(AND(A124=INT(A124), MOD(A124, 10) = 0), 0,
IF(AND(A124=INT(A124), LEN(A124)=2), 1,
IF(AND(A124=INT(A124), LEN(A124)=3), 2,
LEN(A124) - FIND(".", A124) + 2)
)
),
"")</f>
        <v>3</v>
      </c>
      <c r="C124" s="55" t="s">
        <v>301</v>
      </c>
      <c r="D124" s="39" t="str">
        <f t="shared" si="28"/>
        <v xml:space="preserve">                  Initial Coolant Inventory</v>
      </c>
      <c r="E124" s="39" t="s">
        <v>35</v>
      </c>
      <c r="F124" s="39" t="s">
        <v>302</v>
      </c>
      <c r="G124" s="39" t="s">
        <v>303</v>
      </c>
      <c r="H124" s="39"/>
      <c r="I124" s="39"/>
      <c r="J124" s="43"/>
      <c r="K124" s="60">
        <v>170</v>
      </c>
      <c r="L124" s="49" t="s">
        <v>186</v>
      </c>
      <c r="M124" s="58" t="s">
        <v>304</v>
      </c>
      <c r="N124" s="49"/>
      <c r="O124" s="49" t="s">
        <v>188</v>
      </c>
      <c r="P124" s="49"/>
      <c r="Q124" s="65">
        <v>2024</v>
      </c>
      <c r="R124" s="49" t="s">
        <v>219</v>
      </c>
      <c r="S124" s="58" t="s">
        <v>305</v>
      </c>
      <c r="T124" s="62" t="s">
        <v>305</v>
      </c>
      <c r="U124" s="80" t="s">
        <v>306</v>
      </c>
      <c r="V124" s="219" t="s">
        <v>307</v>
      </c>
      <c r="W124" s="74" t="s">
        <v>43</v>
      </c>
      <c r="X124" s="77">
        <f>0.9*$J124</f>
        <v>0</v>
      </c>
      <c r="Y124" s="77">
        <f>1.5*J124</f>
        <v>0</v>
      </c>
      <c r="Z124" s="74" t="s">
        <v>44</v>
      </c>
      <c r="AA124" s="76">
        <f t="shared" si="33"/>
        <v>153</v>
      </c>
      <c r="AB124" s="76">
        <f t="shared" si="34"/>
        <v>221</v>
      </c>
      <c r="AC124" s="74" t="s">
        <v>44</v>
      </c>
      <c r="AD124" s="76" t="s">
        <v>45</v>
      </c>
      <c r="AE124" s="76" t="s">
        <v>46</v>
      </c>
      <c r="AF124" s="76" t="s">
        <v>47</v>
      </c>
      <c r="AG124" s="74" t="s">
        <v>48</v>
      </c>
    </row>
    <row r="125" spans="1:33" ht="53.25" customHeight="1" ns3:dyDescent="0.2">
      <c r="A125" s="53">
        <v>222.5</v>
      </c>
      <c r="B125" s="38">
        <f>IF(ISNUMBER(A125),
    IF(AND(A125=INT(A125), MOD(A125, 10) = 0), 0,
        IF(AND(A125=INT(A125), LEN(A125)=2), 1,
            IF(AND(A125=INT(A125), LEN(A125)=3), 2,
                LEN(A125) - FIND(".", A125) + 2)
        )
    ),
"")</f>
        <v>3</v>
      </c>
      <c r="C125" s="55" t="s">
        <v>301</v>
      </c>
      <c r="D125" s="39" t="str">
        <f t="shared" si="28"/>
        <v xml:space="preserve">                  Initial Coolant Inventory</v>
      </c>
      <c r="E125" s="39" t="s">
        <v>35</v>
      </c>
      <c r="F125" s="39" t="s">
        <v>302</v>
      </c>
      <c r="G125" s="39" t="s">
        <v>308</v>
      </c>
      <c r="H125" s="39"/>
      <c r="I125" s="39"/>
      <c r="J125" s="43"/>
      <c r="K125" s="60">
        <v>118</v>
      </c>
      <c r="L125" s="49" t="s">
        <v>186</v>
      </c>
      <c r="M125" s="58" t="s">
        <v>304</v>
      </c>
      <c r="N125" s="49"/>
      <c r="O125" s="49" t="s">
        <v>188</v>
      </c>
      <c r="P125" s="49"/>
      <c r="Q125" s="65">
        <v>2023</v>
      </c>
      <c r="R125" s="49" t="s">
        <v>219</v>
      </c>
      <c r="S125" s="58"/>
      <c r="T125" s="62"/>
      <c r="U125" s="80"/>
      <c r="V125" s="219"/>
      <c r="W125" s="74" t="s">
        <v>43</v>
      </c>
      <c r="X125" s="77"/>
      <c r="Y125" s="77"/>
      <c r="Z125" s="74"/>
      <c r="AA125" s="76">
        <f t="shared" si="33"/>
        <v>106.2</v>
      </c>
      <c r="AB125" s="76">
        <f t="shared" si="34"/>
        <v>153.4</v>
      </c>
      <c r="AC125" s="74" t="s">
        <v>44</v>
      </c>
      <c r="AD125" s="76" t="s">
        <v>45</v>
      </c>
      <c r="AE125" s="76" t="s">
        <v>46</v>
      </c>
      <c r="AF125" s="76">
        <v>0</v>
      </c>
      <c r="AG125" s="74" t="s">
        <v>48</v>
      </c>
    </row>
    <row r="126" spans="1:33" ht="53.25" customHeight="1" ns3:dyDescent="0.2">
      <c r="A126" s="53">
        <v>222.6</v>
      </c>
      <c r="B126" s="38">
        <f t="shared" ref="B126:B133" si="35">IF(ISNUMBER(A126),
IF(AND(A126=INT(A126), MOD(A126, 10) = 0), 0,
IF(AND(A126=INT(A126), LEN(A126)=2), 1,
IF(AND(A126=INT(A126), LEN(A126)=3), 2,
LEN(A126) - FIND(".", A126) + 2)
)
),
"")</f>
        <v>3</v>
      </c>
      <c r="C126" s="55" t="s">
        <v>309</v>
      </c>
      <c r="D126" s="39" t="str">
        <f t="shared" si="28"/>
        <v xml:space="preserve">                  Integrated Heat Transfer Vessel</v>
      </c>
      <c r="E126" s="39"/>
      <c r="F126" s="39" t="s">
        <v>118</v>
      </c>
      <c r="G126" s="39" t="s">
        <v>119</v>
      </c>
      <c r="H126" s="39"/>
      <c r="I126" s="39"/>
      <c r="J126" s="43"/>
      <c r="K126" s="60"/>
      <c r="L126" s="49"/>
      <c r="M126" s="58"/>
      <c r="N126" s="49"/>
      <c r="O126" s="49"/>
      <c r="P126" s="49"/>
      <c r="Q126" s="65"/>
      <c r="R126" s="49"/>
      <c r="S126" s="58"/>
      <c r="T126" s="62"/>
      <c r="U126" s="80"/>
      <c r="V126" s="49"/>
      <c r="W126" s="74"/>
      <c r="X126" s="77"/>
      <c r="Y126" s="77"/>
      <c r="Z126" s="74"/>
      <c r="AA126" s="76"/>
      <c r="AB126" s="76"/>
      <c r="AC126" s="74"/>
      <c r="AD126" s="76"/>
      <c r="AE126" s="76"/>
      <c r="AF126" s="76"/>
      <c r="AG126" s="74"/>
    </row>
    <row r="127" spans="1:33" ht="53.25" customHeight="1" ns3:dyDescent="0.2">
      <c r="A127" s="53">
        <v>222.61</v>
      </c>
      <c r="B127" s="38">
        <f t="shared" si="35"/>
        <v>4</v>
      </c>
      <c r="C127" s="55" t="s">
        <v>309</v>
      </c>
      <c r="D127" s="39" t="str">
        <f t="shared" si="28"/>
        <v xml:space="preserve">                        Integrated Heat Transfer Vessel</v>
      </c>
      <c r="E127" s="39" t="s">
        <v>35</v>
      </c>
      <c r="F127" s="39" t="s">
        <v>118</v>
      </c>
      <c r="G127" s="39" t="s">
        <v>119</v>
      </c>
      <c r="H127" s="39"/>
      <c r="I127" s="39"/>
      <c r="J127" s="43"/>
      <c r="K127" s="60">
        <v>50</v>
      </c>
      <c r="L127" s="49" t="s">
        <v>186</v>
      </c>
      <c r="M127" s="58" t="s">
        <v>310</v>
      </c>
      <c r="N127" s="49"/>
      <c r="O127" s="49" t="s">
        <v>188</v>
      </c>
      <c r="P127" s="49"/>
      <c r="Q127" s="65">
        <v>2004</v>
      </c>
      <c r="R127" s="49" t="s">
        <v>86</v>
      </c>
      <c r="S127" s="58" t="s">
        <v>295</v>
      </c>
      <c r="T127" s="62" t="s">
        <v>296</v>
      </c>
      <c r="U127" s="80"/>
      <c r="V127" s="62" t="s">
        <v>311</v>
      </c>
      <c r="W127" s="74" t="s">
        <v>157</v>
      </c>
      <c r="X127" s="77">
        <f>0.9*$J127</f>
        <v>0</v>
      </c>
      <c r="Y127" s="77">
        <f>1.5*J127</f>
        <v>0</v>
      </c>
      <c r="Z127" s="74" t="s">
        <v>44</v>
      </c>
      <c r="AA127" s="76">
        <f>0.9*K127</f>
        <v>45</v>
      </c>
      <c r="AB127" s="76">
        <f>1.3*K127</f>
        <v>65</v>
      </c>
      <c r="AC127" s="74" t="s">
        <v>44</v>
      </c>
      <c r="AD127" s="76" t="s">
        <v>45</v>
      </c>
      <c r="AE127" s="76" t="s">
        <v>46</v>
      </c>
      <c r="AF127" s="76" t="s">
        <v>47</v>
      </c>
      <c r="AG127" s="74" t="s">
        <v>48</v>
      </c>
    </row>
    <row r="128" spans="1:33" ht="53.25" customHeight="1" ns3:dyDescent="0.2">
      <c r="A128" s="53">
        <v>222.62</v>
      </c>
      <c r="B128" s="38">
        <f t="shared" si="35"/>
        <v>4</v>
      </c>
      <c r="C128" s="55" t="s">
        <v>312</v>
      </c>
      <c r="D128" s="39" t="str">
        <f t="shared" si="28"/>
        <v xml:space="preserve">                        Integrated Heat Transfer System Support</v>
      </c>
      <c r="E128" s="39" t="s">
        <v>35</v>
      </c>
      <c r="F128" s="39" t="s">
        <v>118</v>
      </c>
      <c r="G128" s="39" t="s">
        <v>119</v>
      </c>
      <c r="H128" s="39"/>
      <c r="I128" s="39"/>
      <c r="J128" s="43"/>
      <c r="K128" s="60">
        <f>3171011/N128</f>
        <v>8.1938268733850137</v>
      </c>
      <c r="L128" s="49" t="s">
        <v>186</v>
      </c>
      <c r="M128" s="58" t="s">
        <v>310</v>
      </c>
      <c r="N128" s="49">
        <v>387000</v>
      </c>
      <c r="O128" s="49" t="s">
        <v>188</v>
      </c>
      <c r="P128" s="49">
        <v>0.85</v>
      </c>
      <c r="Q128" s="65">
        <v>2018</v>
      </c>
      <c r="R128" s="49" t="s">
        <v>86</v>
      </c>
      <c r="S128" s="58" t="s">
        <v>189</v>
      </c>
      <c r="T128" s="62" t="s">
        <v>296</v>
      </c>
      <c r="U128" s="80"/>
      <c r="V128" s="205"/>
      <c r="W128" s="74" t="s">
        <v>157</v>
      </c>
      <c r="X128" s="77">
        <f>0.9*$J128</f>
        <v>0</v>
      </c>
      <c r="Y128" s="77">
        <f>1.5*J128</f>
        <v>0</v>
      </c>
      <c r="Z128" s="74" t="s">
        <v>44</v>
      </c>
      <c r="AA128" s="76">
        <f>0.9*K128</f>
        <v>7.3744441860465129</v>
      </c>
      <c r="AB128" s="76">
        <f>1.3*K128</f>
        <v>10.651974935400519</v>
      </c>
      <c r="AC128" s="74" t="s">
        <v>44</v>
      </c>
      <c r="AD128" s="76" t="s">
        <v>45</v>
      </c>
      <c r="AE128" s="76" t="s">
        <v>46</v>
      </c>
      <c r="AF128" s="76" t="s">
        <v>47</v>
      </c>
      <c r="AG128" s="74" t="s">
        <v>48</v>
      </c>
    </row>
    <row r="129" spans="1:33" ht="26.75" customHeight="1" ns3:dyDescent="0.2">
      <c r="A129" s="53">
        <v>223</v>
      </c>
      <c r="B129" s="38">
        <f t="shared" si="35"/>
        <v>2</v>
      </c>
      <c r="C129" s="55" t="s">
        <v>313</v>
      </c>
      <c r="D129" s="39" t="str">
        <f t="shared" si="28"/>
        <v xml:space="preserve">            Safety Systems</v>
      </c>
      <c r="E129" s="39"/>
      <c r="F129" s="39"/>
      <c r="G129" s="39"/>
      <c r="H129" s="39"/>
      <c r="I129" s="39"/>
      <c r="J129" s="43"/>
      <c r="K129" s="60"/>
      <c r="L129" s="49"/>
      <c r="M129" s="58"/>
      <c r="N129" s="49"/>
      <c r="O129" s="49"/>
      <c r="P129" s="49"/>
      <c r="Q129" s="65"/>
      <c r="R129" s="49"/>
      <c r="S129" s="58"/>
      <c r="T129" s="49"/>
      <c r="U129" s="49"/>
      <c r="V129" s="49"/>
      <c r="W129" s="74"/>
      <c r="X129" s="77"/>
      <c r="Y129" s="77"/>
      <c r="Z129" s="74"/>
      <c r="AA129" s="76"/>
      <c r="AB129" s="76"/>
      <c r="AC129" s="74"/>
      <c r="AD129" s="76"/>
      <c r="AE129" s="76"/>
      <c r="AF129" s="76"/>
      <c r="AG129" s="74"/>
    </row>
    <row r="130" spans="1:33" ht="26.75" customHeight="1" ns3:dyDescent="0.2">
      <c r="A130" s="53">
        <v>223.2</v>
      </c>
      <c r="B130" s="38">
        <f t="shared" si="35"/>
        <v>3</v>
      </c>
      <c r="C130" s="55" t="s">
        <v>314</v>
      </c>
      <c r="D130" s="39" t="str">
        <f t="shared" si="28"/>
        <v xml:space="preserve">                  Reactor Cavity Cooling System (Rvacs)</v>
      </c>
      <c r="E130" s="39"/>
      <c r="F130" s="39"/>
      <c r="G130" s="39"/>
      <c r="H130" s="39"/>
      <c r="I130" s="39"/>
      <c r="J130" s="43"/>
      <c r="K130" s="60"/>
      <c r="L130" s="49"/>
      <c r="M130" s="58"/>
      <c r="N130" s="49"/>
      <c r="O130" s="49"/>
      <c r="P130" s="49"/>
      <c r="Q130" s="65"/>
      <c r="R130" s="49"/>
      <c r="S130" s="58"/>
      <c r="T130" s="49"/>
      <c r="U130" s="49"/>
      <c r="V130" s="49"/>
      <c r="W130" s="74"/>
      <c r="X130" s="77"/>
      <c r="Y130" s="77"/>
      <c r="Z130" s="74"/>
      <c r="AA130" s="76"/>
      <c r="AB130" s="76"/>
      <c r="AC130" s="74"/>
      <c r="AD130" s="76"/>
      <c r="AE130" s="76"/>
      <c r="AF130" s="76"/>
      <c r="AG130" s="74"/>
    </row>
    <row r="131" spans="1:33" ht="53.25" customHeight="1" ns3:dyDescent="0.2">
      <c r="A131" s="53">
        <v>223.21</v>
      </c>
      <c r="B131" s="38">
        <f t="shared" si="35"/>
        <v>4</v>
      </c>
      <c r="C131" s="55" t="s">
        <v>315</v>
      </c>
      <c r="D131" s="39" t="str">
        <f t="shared" si="28"/>
        <v xml:space="preserve">                        Rvacs (Cooling Vessel)</v>
      </c>
      <c r="E131" s="39" t="s">
        <v>35</v>
      </c>
      <c r="F131" s="39"/>
      <c r="G131" s="45"/>
      <c r="H131" s="45"/>
      <c r="I131" s="45"/>
      <c r="J131" s="65"/>
      <c r="K131" s="60">
        <f>K72</f>
        <v>757.20768746061754</v>
      </c>
      <c r="L131" s="49" t="s">
        <v>186</v>
      </c>
      <c r="M131" s="58" t="s">
        <v>316</v>
      </c>
      <c r="N131" s="49"/>
      <c r="O131" s="49"/>
      <c r="P131" s="49"/>
      <c r="Q131" s="65">
        <v>2017</v>
      </c>
      <c r="R131" s="49" t="s">
        <v>86</v>
      </c>
      <c r="S131" s="58" t="s">
        <v>196</v>
      </c>
      <c r="T131" s="62" t="s">
        <v>197</v>
      </c>
      <c r="U131" s="49"/>
      <c r="V131" s="49"/>
      <c r="W131" s="74" t="s">
        <v>157</v>
      </c>
      <c r="X131" s="77">
        <f t="shared" ref="X131:X136" si="36">0.9*$J131</f>
        <v>0</v>
      </c>
      <c r="Y131" s="77">
        <f t="shared" ref="Y131:Y136" si="37">1.5*J131</f>
        <v>0</v>
      </c>
      <c r="Z131" s="74" t="s">
        <v>44</v>
      </c>
      <c r="AA131" s="76">
        <f t="shared" ref="AA131:AA136" si="38">0.9*K131</f>
        <v>681.48691871455583</v>
      </c>
      <c r="AB131" s="76">
        <f t="shared" ref="AB131:AB136" si="39">1.3*K131</f>
        <v>984.36999369880277</v>
      </c>
      <c r="AC131" s="74" t="s">
        <v>44</v>
      </c>
      <c r="AD131" s="76" t="s">
        <v>45</v>
      </c>
      <c r="AE131" s="76" t="s">
        <v>46</v>
      </c>
      <c r="AF131" s="76" t="s">
        <v>47</v>
      </c>
      <c r="AG131" s="74" t="s">
        <v>48</v>
      </c>
    </row>
    <row r="132" spans="1:33" ht="53.25" customHeight="1" ns3:dyDescent="0.2">
      <c r="A132" s="53">
        <v>223.22</v>
      </c>
      <c r="B132" s="38">
        <f t="shared" si="35"/>
        <v>4</v>
      </c>
      <c r="C132" s="55" t="s">
        <v>317</v>
      </c>
      <c r="D132" s="39" t="str">
        <f t="shared" si="28"/>
        <v xml:space="preserve">                        Rvacs (Intake Vessel)</v>
      </c>
      <c r="E132" s="39" t="s">
        <v>35</v>
      </c>
      <c r="F132" s="39"/>
      <c r="G132" s="45"/>
      <c r="H132" s="45"/>
      <c r="I132" s="45"/>
      <c r="J132" s="65"/>
      <c r="K132" s="60">
        <f>K131</f>
        <v>757.20768746061754</v>
      </c>
      <c r="L132" s="49" t="s">
        <v>186</v>
      </c>
      <c r="M132" s="58" t="s">
        <v>318</v>
      </c>
      <c r="N132" s="49"/>
      <c r="O132" s="49"/>
      <c r="P132" s="49"/>
      <c r="Q132" s="65">
        <v>2017</v>
      </c>
      <c r="R132" s="49" t="s">
        <v>86</v>
      </c>
      <c r="S132" s="58" t="s">
        <v>196</v>
      </c>
      <c r="T132" s="62" t="s">
        <v>197</v>
      </c>
      <c r="U132" s="49"/>
      <c r="V132" s="49"/>
      <c r="W132" s="74" t="s">
        <v>157</v>
      </c>
      <c r="X132" s="77">
        <f t="shared" si="36"/>
        <v>0</v>
      </c>
      <c r="Y132" s="77">
        <f t="shared" si="37"/>
        <v>0</v>
      </c>
      <c r="Z132" s="74" t="s">
        <v>44</v>
      </c>
      <c r="AA132" s="76">
        <f t="shared" si="38"/>
        <v>681.48691871455583</v>
      </c>
      <c r="AB132" s="76">
        <f t="shared" si="39"/>
        <v>984.36999369880277</v>
      </c>
      <c r="AC132" s="74" t="s">
        <v>44</v>
      </c>
      <c r="AD132" s="76" t="s">
        <v>45</v>
      </c>
      <c r="AE132" s="76" t="s">
        <v>46</v>
      </c>
      <c r="AF132" s="76" t="s">
        <v>47</v>
      </c>
      <c r="AG132" s="74" t="s">
        <v>48</v>
      </c>
    </row>
    <row r="133" spans="1:33" ht="53.25" customHeight="1" ns3:dyDescent="0.2">
      <c r="A133" s="53">
        <v>226</v>
      </c>
      <c r="B133" s="38">
        <f t="shared" si="35"/>
        <v>2</v>
      </c>
      <c r="C133" s="55" t="s">
        <v>319</v>
      </c>
      <c r="D133" s="39" t="str">
        <f t="shared" si="28"/>
        <v xml:space="preserve">            Other Reactor Plant Equipment</v>
      </c>
      <c r="E133" s="39" t="s">
        <v>35</v>
      </c>
      <c r="F133" s="39" t="s">
        <v>118</v>
      </c>
      <c r="G133" s="45" t="s">
        <v>285</v>
      </c>
      <c r="H133" s="45"/>
      <c r="I133" s="45"/>
      <c r="J133" s="60">
        <f>MARVEL_Cost!C42</f>
        <v>456297</v>
      </c>
      <c r="K133" s="60"/>
      <c r="L133" s="49"/>
      <c r="M133" s="58"/>
      <c r="N133" s="49"/>
      <c r="O133" s="49"/>
      <c r="P133" s="49"/>
      <c r="Q133" s="65">
        <v>2024</v>
      </c>
      <c r="R133" s="49" t="s">
        <v>153</v>
      </c>
      <c r="S133" s="58" t="s">
        <v>320</v>
      </c>
      <c r="T133" s="49"/>
      <c r="U133" s="49"/>
      <c r="V133" s="49"/>
      <c r="W133" s="74" t="s">
        <v>157</v>
      </c>
      <c r="X133" s="77">
        <f t="shared" si="36"/>
        <v>410667.3</v>
      </c>
      <c r="Y133" s="77">
        <f t="shared" si="37"/>
        <v>684445.5</v>
      </c>
      <c r="Z133" s="74" t="s">
        <v>44</v>
      </c>
      <c r="AA133" s="76">
        <f t="shared" si="38"/>
        <v>0</v>
      </c>
      <c r="AB133" s="76">
        <f t="shared" si="39"/>
        <v>0</v>
      </c>
      <c r="AC133" s="74" t="s">
        <v>44</v>
      </c>
      <c r="AD133" s="76" t="s">
        <v>45</v>
      </c>
      <c r="AE133" s="76" t="s">
        <v>46</v>
      </c>
      <c r="AF133" s="76" t="s">
        <v>47</v>
      </c>
      <c r="AG133" s="74" t="s">
        <v>48</v>
      </c>
    </row>
    <row r="134" spans="1:33" ht="53.25" customHeight="1" ns3:dyDescent="0.2">
      <c r="A134" s="53">
        <v>226</v>
      </c>
      <c r="B134" s="38">
        <v>2</v>
      </c>
      <c r="C134" s="55" t="s">
        <v>319</v>
      </c>
      <c r="D134" s="39" t="str">
        <f t="shared" si="28"/>
        <v xml:space="preserve">            Other Reactor Plant Equipment</v>
      </c>
      <c r="E134" s="39" t="s">
        <v>35</v>
      </c>
      <c r="F134" s="39" t="s">
        <v>118</v>
      </c>
      <c r="G134" s="45" t="s">
        <v>119</v>
      </c>
      <c r="H134" s="45"/>
      <c r="I134" s="45"/>
      <c r="J134" s="60"/>
      <c r="K134" s="60">
        <f>8844770/N134*8.15527886031535</f>
        <v>118207.77405377067</v>
      </c>
      <c r="L134" s="49" t="s">
        <v>279</v>
      </c>
      <c r="M134" s="58" t="s">
        <v>321</v>
      </c>
      <c r="N134" s="49">
        <v>610.21</v>
      </c>
      <c r="O134" s="49" t="s">
        <v>322</v>
      </c>
      <c r="P134" s="49">
        <v>0.6</v>
      </c>
      <c r="Q134" s="65">
        <v>2023</v>
      </c>
      <c r="R134" s="49" t="s">
        <v>86</v>
      </c>
      <c r="S134" s="58" t="s">
        <v>323</v>
      </c>
      <c r="T134" s="49" t="s">
        <v>324</v>
      </c>
      <c r="U134" s="72" t="s">
        <v>325</v>
      </c>
      <c r="V134" s="49" t="s">
        <v>326</v>
      </c>
      <c r="W134" s="74" t="s">
        <v>157</v>
      </c>
      <c r="X134" s="77">
        <f t="shared" si="36"/>
        <v>0</v>
      </c>
      <c r="Y134" s="77">
        <f t="shared" si="37"/>
        <v>0</v>
      </c>
      <c r="Z134" s="74" t="s">
        <v>44</v>
      </c>
      <c r="AA134" s="76">
        <f t="shared" si="38"/>
        <v>106386.9966483936</v>
      </c>
      <c r="AB134" s="76">
        <f t="shared" si="39"/>
        <v>153670.10626990188</v>
      </c>
      <c r="AC134" s="74" t="s">
        <v>44</v>
      </c>
      <c r="AD134" s="76" t="s">
        <v>45</v>
      </c>
      <c r="AE134" s="76" t="s">
        <v>46</v>
      </c>
      <c r="AF134" s="76" t="s">
        <v>47</v>
      </c>
      <c r="AG134" s="74" t="s">
        <v>48</v>
      </c>
    </row>
    <row r="135" spans="1:33" ht="76.25" customHeight="1" ns3:dyDescent="0.2">
      <c r="A135" s="53">
        <v>227</v>
      </c>
      <c r="B135" s="38">
        <f>IF(ISNUMBER(A135),
    IF(AND(A135=INT(A135), MOD(A135, 10) = 0), 0,
        IF(AND(A135=INT(A135), LEN(A135)=2), 1,
            IF(AND(A135=INT(A135), LEN(A135)=3), 2,
                LEN(A135) - FIND(".", A135) + 2)
        )
    ),
"")</f>
        <v>2</v>
      </c>
      <c r="C135" s="55" t="s">
        <v>327</v>
      </c>
      <c r="D135" s="39" t="str">
        <f t="shared" si="28"/>
        <v xml:space="preserve">            Reactor Instrumentation and Control (I&amp;C)</v>
      </c>
      <c r="E135" s="39" t="s">
        <v>35</v>
      </c>
      <c r="F135" s="39"/>
      <c r="G135" s="45"/>
      <c r="H135" s="45"/>
      <c r="I135" s="45"/>
      <c r="J135" s="60">
        <v>8500000</v>
      </c>
      <c r="K135" s="60"/>
      <c r="L135" s="49"/>
      <c r="M135" s="58"/>
      <c r="N135" s="49"/>
      <c r="O135" s="49"/>
      <c r="P135" s="49"/>
      <c r="Q135" s="65">
        <v>2023</v>
      </c>
      <c r="R135" s="49" t="s">
        <v>73</v>
      </c>
      <c r="S135" s="58" t="s">
        <v>328</v>
      </c>
      <c r="T135" s="58" t="s">
        <v>329</v>
      </c>
      <c r="U135" s="72" t="s">
        <v>330</v>
      </c>
      <c r="V135" s="49" t="s">
        <v>331</v>
      </c>
      <c r="W135" s="3" t="s">
        <v>340</v>
      </c>
      <c r="X135" s="77">
        <f t="shared" si="36"/>
        <v>7650000</v>
      </c>
      <c r="Y135" s="77">
        <f t="shared" si="37"/>
        <v>12750000</v>
      </c>
      <c r="Z135" s="74" t="s">
        <v>44</v>
      </c>
      <c r="AA135" s="76">
        <f t="shared" si="38"/>
        <v>0</v>
      </c>
      <c r="AB135" s="76">
        <f t="shared" si="39"/>
        <v>0</v>
      </c>
      <c r="AC135" s="74" t="s">
        <v>44</v>
      </c>
      <c r="AD135" s="76" t="s">
        <v>45</v>
      </c>
      <c r="AE135" s="76" t="s">
        <v>46</v>
      </c>
      <c r="AF135" s="76" t="s">
        <v>47</v>
      </c>
      <c r="AG135" s="74" t="s">
        <v>48</v>
      </c>
    </row>
    <row r="136" spans="1:33" ht="26.75" customHeight="1" ns3:dyDescent="0.2">
      <c r="A136" s="53">
        <v>228</v>
      </c>
      <c r="B136" s="38">
        <f t="shared" ref="B136:B152" si="40">IF(ISNUMBER(A136),
IF(AND(A136=INT(A136), MOD(A136, 10) = 0), 0,
IF(AND(A136=INT(A136), LEN(A136)=2), 1,
IF(AND(A136=INT(A136), LEN(A136)=3), 2,
LEN(A136) - FIND(".", A136) + 2)
)
),
"")</f>
        <v>2</v>
      </c>
      <c r="C136" s="55" t="s">
        <v>332</v>
      </c>
      <c r="D136" s="39" t="str">
        <f t="shared" si="28"/>
        <v xml:space="preserve">            Reactor Plant Miscellaneous Items</v>
      </c>
      <c r="E136" s="39" t="s">
        <v>35</v>
      </c>
      <c r="F136" s="39"/>
      <c r="G136" s="45"/>
      <c r="H136" s="45"/>
      <c r="I136" s="45"/>
      <c r="J136" s="60">
        <f>MARVEL_Cost!C44</f>
        <v>30960</v>
      </c>
      <c r="K136" s="60"/>
      <c r="L136" s="49"/>
      <c r="M136" s="58"/>
      <c r="N136" s="49"/>
      <c r="O136" s="49"/>
      <c r="P136" s="49"/>
      <c r="Q136" s="65">
        <v>2024</v>
      </c>
      <c r="R136" s="49" t="s">
        <v>86</v>
      </c>
      <c r="S136" s="58" t="s">
        <v>320</v>
      </c>
      <c r="T136" s="49"/>
      <c r="U136" s="49"/>
      <c r="V136" s="49"/>
      <c r="W136" s="74" t="s">
        <v>157</v>
      </c>
      <c r="X136" s="77">
        <f t="shared" si="36"/>
        <v>27864</v>
      </c>
      <c r="Y136" s="77">
        <f t="shared" si="37"/>
        <v>46440</v>
      </c>
      <c r="Z136" s="74" t="s">
        <v>44</v>
      </c>
      <c r="AA136" s="76">
        <f t="shared" si="38"/>
        <v>0</v>
      </c>
      <c r="AB136" s="76">
        <f t="shared" si="39"/>
        <v>0</v>
      </c>
      <c r="AC136" s="74" t="s">
        <v>44</v>
      </c>
      <c r="AD136" s="76" t="s">
        <v>45</v>
      </c>
      <c r="AE136" s="76" t="s">
        <v>46</v>
      </c>
      <c r="AF136" s="76" t="s">
        <v>47</v>
      </c>
      <c r="AG136" s="74" t="s">
        <v>48</v>
      </c>
    </row>
    <row r="137" spans="1:33" ht="26.75" customHeight="1" ns3:dyDescent="0.2">
      <c r="A137" s="37">
        <v>23</v>
      </c>
      <c r="B137" s="38">
        <f t="shared" si="40"/>
        <v>1</v>
      </c>
      <c r="C137" s="55" t="s">
        <v>333</v>
      </c>
      <c r="D137" s="39" t="str">
        <f t="shared" ref="D137:D168" si="41">REPT("   ", B137*2) &amp; C137</f>
        <v xml:space="preserve">      Energy Conversion System </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26.75" customHeight="1" ns3:dyDescent="0.2">
      <c r="A138" s="53">
        <v>232</v>
      </c>
      <c r="B138" s="38">
        <f t="shared" si="40"/>
        <v>2</v>
      </c>
      <c r="C138" s="55" t="s">
        <v>334</v>
      </c>
      <c r="D138" s="39" t="str">
        <f t="shared" si="41"/>
        <v xml:space="preserve">            Energy Applications</v>
      </c>
      <c r="E138" s="39"/>
      <c r="F138" s="39"/>
      <c r="G138" s="45"/>
      <c r="H138" s="45"/>
      <c r="I138" s="45"/>
      <c r="J138" s="65"/>
      <c r="K138" s="60"/>
      <c r="L138" s="49"/>
      <c r="M138" s="58"/>
      <c r="N138" s="49"/>
      <c r="O138" s="49"/>
      <c r="P138" s="49"/>
      <c r="Q138" s="65"/>
      <c r="R138" s="49"/>
      <c r="S138" s="58"/>
      <c r="T138" s="49"/>
      <c r="U138" s="49"/>
      <c r="V138" s="49"/>
      <c r="W138" s="74"/>
      <c r="X138" s="77"/>
      <c r="Y138" s="77"/>
      <c r="Z138" s="74"/>
      <c r="AA138" s="76"/>
      <c r="AB138" s="76"/>
      <c r="AC138" s="74"/>
      <c r="AD138" s="76"/>
      <c r="AE138" s="76"/>
      <c r="AF138" s="76"/>
      <c r="AG138" s="74"/>
    </row>
    <row r="139" spans="1:33" ht="26.75" customHeight="1" ns3:dyDescent="0.2">
      <c r="A139" s="53">
        <v>232.1</v>
      </c>
      <c r="B139" s="38">
        <f t="shared" si="40"/>
        <v>3</v>
      </c>
      <c r="C139" s="55" t="s">
        <v>335</v>
      </c>
      <c r="D139" s="39" t="str">
        <f t="shared" si="41"/>
        <v xml:space="preserve">                  Electricity Generation Systems</v>
      </c>
      <c r="E139" s="39" t="s">
        <v>35</v>
      </c>
      <c r="F139" s="39"/>
      <c r="G139" s="45"/>
      <c r="H139" s="45"/>
      <c r="I139" s="45"/>
      <c r="J139" s="65"/>
      <c r="K139" s="43">
        <v>12504</v>
      </c>
      <c r="L139" s="49" t="s">
        <v>336</v>
      </c>
      <c r="M139" s="45" t="s">
        <v>337</v>
      </c>
      <c r="N139" s="49">
        <v>1</v>
      </c>
      <c r="O139" s="49"/>
      <c r="P139" s="45">
        <v>0.77700000000000002</v>
      </c>
      <c r="Q139" s="65">
        <v>2023</v>
      </c>
      <c r="R139" s="49" t="s">
        <v>86</v>
      </c>
      <c r="S139" s="221" t="s">
        <v>338</v>
      </c>
      <c r="T139" s="221" t="s">
        <v>338</v>
      </c>
      <c r="U139" s="72" t="s">
        <v>339</v>
      </c>
      <c r="V139" s="49"/>
      <c r="W139" s="74" t="s">
        <v>340</v>
      </c>
      <c r="X139" s="77">
        <f>0.9*$J139</f>
        <v>0</v>
      </c>
      <c r="Y139" s="77">
        <f>1.5*J139</f>
        <v>0</v>
      </c>
      <c r="Z139" s="74" t="s">
        <v>44</v>
      </c>
      <c r="AA139" s="76">
        <f>0.9*K139</f>
        <v>11253.6</v>
      </c>
      <c r="AB139" s="76">
        <f>1.3*K139</f>
        <v>16255.2</v>
      </c>
      <c r="AC139" s="74" t="s">
        <v>44</v>
      </c>
      <c r="AD139" s="76" t="s">
        <v>45</v>
      </c>
      <c r="AE139" s="76" t="s">
        <v>46</v>
      </c>
      <c r="AF139" s="76" t="s">
        <v>47</v>
      </c>
      <c r="AG139" s="74" t="s">
        <v>48</v>
      </c>
    </row>
    <row r="140" spans="1:33" ht="76.25" customHeight="1" ns3:dyDescent="0.2">
      <c r="A140" s="53">
        <v>236</v>
      </c>
      <c r="B140" s="38">
        <f t="shared" si="40"/>
        <v>2</v>
      </c>
      <c r="C140" s="55" t="s">
        <v>341</v>
      </c>
      <c r="D140" s="39" t="str">
        <f t="shared" si="41"/>
        <v xml:space="preserve">            Common Instrumentation &amp; Controls</v>
      </c>
      <c r="E140" s="39" t="s">
        <v>35</v>
      </c>
      <c r="F140" s="39"/>
      <c r="G140" s="45"/>
      <c r="H140" s="45"/>
      <c r="I140" s="45"/>
      <c r="J140" s="43">
        <v>1000000</v>
      </c>
      <c r="K140" s="43"/>
      <c r="L140" s="49"/>
      <c r="M140" s="45"/>
      <c r="N140" s="49"/>
      <c r="O140" s="49"/>
      <c r="P140" s="45"/>
      <c r="Q140" s="65">
        <v>2023</v>
      </c>
      <c r="R140" s="49" t="s">
        <v>86</v>
      </c>
      <c r="S140" s="221" t="s">
        <v>328</v>
      </c>
      <c r="T140" s="221" t="s">
        <v>329</v>
      </c>
      <c r="U140" s="72" t="s">
        <v>330</v>
      </c>
      <c r="V140" s="49"/>
      <c r="W140" s="74" t="s">
        <v>340</v>
      </c>
      <c r="X140" s="77">
        <f>0.9*$J140</f>
        <v>900000</v>
      </c>
      <c r="Y140" s="77">
        <f>1.5*J140</f>
        <v>1500000</v>
      </c>
      <c r="Z140" s="74" t="s">
        <v>44</v>
      </c>
      <c r="AA140" s="76"/>
      <c r="AB140" s="76"/>
      <c r="AC140" s="74"/>
      <c r="AD140" s="76"/>
      <c r="AE140" s="76"/>
      <c r="AF140" s="76"/>
      <c r="AG140" s="74"/>
    </row>
    <row r="141" spans="1:33" ht="26.75" customHeight="1" ns3:dyDescent="0.2">
      <c r="A141" s="37">
        <v>24</v>
      </c>
      <c r="B141" s="38">
        <f t="shared" si="40"/>
        <v>1</v>
      </c>
      <c r="C141" s="55" t="s">
        <v>342</v>
      </c>
      <c r="D141" s="39" t="str">
        <f t="shared" si="41"/>
        <v xml:space="preserve">      Electrical Equipment</v>
      </c>
      <c r="E141" s="39"/>
      <c r="F141" s="39"/>
      <c r="G141" s="45"/>
      <c r="H141" s="45"/>
      <c r="I141" s="45"/>
      <c r="J141" s="65"/>
      <c r="K141" s="60"/>
      <c r="L141" s="49"/>
      <c r="M141" s="58"/>
      <c r="N141" s="49"/>
      <c r="O141" s="49"/>
      <c r="P141" s="49"/>
      <c r="Q141" s="65"/>
      <c r="R141" s="49"/>
      <c r="S141" s="221"/>
      <c r="T141" s="219"/>
      <c r="U141" s="49"/>
      <c r="V141" s="49"/>
      <c r="W141" s="74"/>
      <c r="X141" s="77"/>
      <c r="Y141" s="77"/>
      <c r="Z141" s="74"/>
      <c r="AA141" s="76"/>
      <c r="AB141" s="76"/>
      <c r="AC141" s="74"/>
      <c r="AD141" s="76"/>
      <c r="AE141" s="76"/>
      <c r="AF141" s="76"/>
      <c r="AG141" s="74"/>
    </row>
    <row r="142" spans="1:33" ht="26.75" customHeight="1" ns3:dyDescent="0.2">
      <c r="A142" s="37">
        <v>241</v>
      </c>
      <c r="B142" s="38">
        <f t="shared" si="40"/>
        <v>2</v>
      </c>
      <c r="C142" s="73" t="s">
        <v>343</v>
      </c>
      <c r="D142" s="39" t="str">
        <f t="shared" si="41"/>
        <v xml:space="preserve">            Switchgear</v>
      </c>
      <c r="E142" s="39" t="s">
        <v>35</v>
      </c>
      <c r="F142" s="39"/>
      <c r="G142" s="45"/>
      <c r="H142" s="45"/>
      <c r="I142" s="45"/>
      <c r="J142" s="65"/>
      <c r="K142" s="60">
        <f>14424707.2061682/N142</f>
        <v>12609.009795601574</v>
      </c>
      <c r="L142" s="49" t="s">
        <v>50</v>
      </c>
      <c r="M142" s="45" t="s">
        <v>51</v>
      </c>
      <c r="N142" s="49">
        <v>1144</v>
      </c>
      <c r="O142" s="49" t="s">
        <v>52</v>
      </c>
      <c r="P142" s="45">
        <v>0.6</v>
      </c>
      <c r="Q142" s="65">
        <v>2018</v>
      </c>
      <c r="R142" s="49" t="s">
        <v>86</v>
      </c>
      <c r="S142" s="221" t="s">
        <v>344</v>
      </c>
      <c r="T142" s="221" t="s">
        <v>345</v>
      </c>
      <c r="U142" s="49"/>
      <c r="V142" s="49"/>
      <c r="W142" s="74" t="s">
        <v>340</v>
      </c>
      <c r="X142" s="77">
        <f t="shared" ref="X142:X147" si="42">0.9*$J142</f>
        <v>0</v>
      </c>
      <c r="Y142" s="77">
        <f t="shared" ref="Y142:Y147" si="43">1.5*J142</f>
        <v>0</v>
      </c>
      <c r="Z142" s="74"/>
      <c r="AA142" s="76">
        <f t="shared" ref="AA142:AA147" si="44">0.9*K142</f>
        <v>11348.108816041417</v>
      </c>
      <c r="AB142" s="76">
        <f t="shared" ref="AB142:AB147" si="45">1.3*K142</f>
        <v>16391.712734282046</v>
      </c>
      <c r="AC142" s="74" t="s">
        <v>44</v>
      </c>
      <c r="AD142" s="76">
        <v>0.1</v>
      </c>
      <c r="AE142" s="76">
        <v>1</v>
      </c>
      <c r="AF142" s="76">
        <v>0</v>
      </c>
      <c r="AG142" s="74" t="s">
        <v>48</v>
      </c>
    </row>
    <row r="143" spans="1:33" ht="26.75" customHeight="1" ns3:dyDescent="0.2">
      <c r="A143" s="37">
        <v>242</v>
      </c>
      <c r="B143" s="38">
        <f t="shared" si="40"/>
        <v>2</v>
      </c>
      <c r="C143" s="73" t="s">
        <v>346</v>
      </c>
      <c r="D143" s="39" t="str">
        <f t="shared" si="41"/>
        <v xml:space="preserve">            Station Service Equipment</v>
      </c>
      <c r="E143" s="39" t="s">
        <v>35</v>
      </c>
      <c r="F143" s="39"/>
      <c r="G143" s="45"/>
      <c r="H143" s="45"/>
      <c r="I143" s="45"/>
      <c r="J143" s="65"/>
      <c r="K143" s="60">
        <f>11992641.3775456/N142</f>
        <v>10483.078127225175</v>
      </c>
      <c r="L143" s="49" t="s">
        <v>50</v>
      </c>
      <c r="M143" s="45" t="s">
        <v>51</v>
      </c>
      <c r="N143" s="49">
        <v>1144</v>
      </c>
      <c r="O143" s="49" t="s">
        <v>52</v>
      </c>
      <c r="P143" s="45">
        <v>0.6</v>
      </c>
      <c r="Q143" s="65">
        <v>2018</v>
      </c>
      <c r="R143" s="49" t="s">
        <v>86</v>
      </c>
      <c r="S143" s="216"/>
      <c r="T143" s="216"/>
      <c r="U143" s="49"/>
      <c r="V143" s="49"/>
      <c r="W143" s="74" t="s">
        <v>340</v>
      </c>
      <c r="X143" s="77">
        <f t="shared" si="42"/>
        <v>0</v>
      </c>
      <c r="Y143" s="77">
        <f t="shared" si="43"/>
        <v>0</v>
      </c>
      <c r="Z143" s="74"/>
      <c r="AA143" s="76">
        <f t="shared" si="44"/>
        <v>9434.7703145026571</v>
      </c>
      <c r="AB143" s="76">
        <f t="shared" si="45"/>
        <v>13628.001565392728</v>
      </c>
      <c r="AC143" s="74" t="s">
        <v>44</v>
      </c>
      <c r="AD143" s="76">
        <v>0.1</v>
      </c>
      <c r="AE143" s="76">
        <v>1</v>
      </c>
      <c r="AF143" s="76">
        <v>0</v>
      </c>
      <c r="AG143" s="74" t="s">
        <v>48</v>
      </c>
    </row>
    <row r="144" spans="1:33" ht="26.75" customHeight="1" ns3:dyDescent="0.2">
      <c r="A144" s="37">
        <v>243</v>
      </c>
      <c r="B144" s="38">
        <f t="shared" si="40"/>
        <v>2</v>
      </c>
      <c r="C144" s="73" t="s">
        <v>347</v>
      </c>
      <c r="D144" s="39" t="str">
        <f t="shared" si="41"/>
        <v xml:space="preserve">            Switchboards</v>
      </c>
      <c r="E144" s="39" t="s">
        <v>35</v>
      </c>
      <c r="F144" s="39"/>
      <c r="G144" s="45"/>
      <c r="H144" s="45"/>
      <c r="I144" s="45"/>
      <c r="J144" s="65"/>
      <c r="K144" s="60">
        <f>3894246.37400843/N142</f>
        <v>3404.0615157416346</v>
      </c>
      <c r="L144" s="49" t="s">
        <v>50</v>
      </c>
      <c r="M144" s="45" t="s">
        <v>51</v>
      </c>
      <c r="N144" s="49">
        <v>1144</v>
      </c>
      <c r="O144" s="49" t="s">
        <v>52</v>
      </c>
      <c r="P144" s="45">
        <v>0.6</v>
      </c>
      <c r="Q144" s="65">
        <v>2018</v>
      </c>
      <c r="R144" s="49" t="s">
        <v>86</v>
      </c>
      <c r="S144" s="216"/>
      <c r="T144" s="216"/>
      <c r="U144" s="49"/>
      <c r="V144" s="49"/>
      <c r="W144" s="74" t="s">
        <v>340</v>
      </c>
      <c r="X144" s="77">
        <f t="shared" si="42"/>
        <v>0</v>
      </c>
      <c r="Y144" s="77">
        <f t="shared" si="43"/>
        <v>0</v>
      </c>
      <c r="Z144" s="74"/>
      <c r="AA144" s="76">
        <f t="shared" si="44"/>
        <v>3063.6553641674714</v>
      </c>
      <c r="AB144" s="76">
        <f t="shared" si="45"/>
        <v>4425.2799704641247</v>
      </c>
      <c r="AC144" s="74" t="s">
        <v>44</v>
      </c>
      <c r="AD144" s="76">
        <v>0.1</v>
      </c>
      <c r="AE144" s="76">
        <v>1</v>
      </c>
      <c r="AF144" s="76">
        <v>0</v>
      </c>
      <c r="AG144" s="74" t="s">
        <v>48</v>
      </c>
    </row>
    <row r="145" spans="1:33" ht="26.75" customHeight="1" ns3:dyDescent="0.2">
      <c r="A145" s="37">
        <v>244</v>
      </c>
      <c r="B145" s="38">
        <f t="shared" si="40"/>
        <v>2</v>
      </c>
      <c r="C145" s="73" t="s">
        <v>348</v>
      </c>
      <c r="D145" s="39" t="str">
        <f t="shared" si="41"/>
        <v xml:space="preserve">            Protective Equipment</v>
      </c>
      <c r="E145" s="39" t="s">
        <v>35</v>
      </c>
      <c r="F145" s="39"/>
      <c r="G145" s="45"/>
      <c r="H145" s="45"/>
      <c r="I145" s="45"/>
      <c r="J145" s="65"/>
      <c r="K145" s="60">
        <f>11183911.9256997/N142</f>
        <v>9776.1467881990375</v>
      </c>
      <c r="L145" s="49" t="s">
        <v>50</v>
      </c>
      <c r="M145" s="45" t="s">
        <v>51</v>
      </c>
      <c r="N145" s="49">
        <v>1144</v>
      </c>
      <c r="O145" s="49" t="s">
        <v>52</v>
      </c>
      <c r="P145" s="45">
        <v>0.6</v>
      </c>
      <c r="Q145" s="65">
        <v>2018</v>
      </c>
      <c r="R145" s="49" t="s">
        <v>86</v>
      </c>
      <c r="S145" s="204"/>
      <c r="T145" s="204"/>
      <c r="U145" s="49"/>
      <c r="V145" s="49"/>
      <c r="W145" s="74" t="s">
        <v>340</v>
      </c>
      <c r="X145" s="77">
        <f t="shared" si="42"/>
        <v>0</v>
      </c>
      <c r="Y145" s="77">
        <f t="shared" si="43"/>
        <v>0</v>
      </c>
      <c r="Z145" s="74"/>
      <c r="AA145" s="76">
        <f t="shared" si="44"/>
        <v>8798.5321093791335</v>
      </c>
      <c r="AB145" s="76">
        <f t="shared" si="45"/>
        <v>12708.990824658749</v>
      </c>
      <c r="AC145" s="74" t="s">
        <v>44</v>
      </c>
      <c r="AD145" s="76">
        <v>0.1</v>
      </c>
      <c r="AE145" s="76">
        <v>1</v>
      </c>
      <c r="AF145" s="76">
        <v>0</v>
      </c>
      <c r="AG145" s="74" t="s">
        <v>48</v>
      </c>
    </row>
    <row r="146" spans="1:33" ht="26.75" customHeight="1" ns3:dyDescent="0.2">
      <c r="A146" s="37">
        <v>245</v>
      </c>
      <c r="B146" s="38">
        <f t="shared" si="40"/>
        <v>2</v>
      </c>
      <c r="C146" s="73" t="s">
        <v>349</v>
      </c>
      <c r="D146" s="39" t="str">
        <f t="shared" si="41"/>
        <v xml:space="preserve">            Electrical Structure &amp; Wiring Container</v>
      </c>
      <c r="E146" s="39" t="s">
        <v>35</v>
      </c>
      <c r="F146" s="39"/>
      <c r="G146" s="45"/>
      <c r="H146" s="45"/>
      <c r="I146" s="45"/>
      <c r="J146" s="65"/>
      <c r="K146" s="60">
        <f>60312483.673456/N142</f>
        <v>52720.70251176224</v>
      </c>
      <c r="L146" s="49" t="s">
        <v>50</v>
      </c>
      <c r="M146" s="45" t="s">
        <v>51</v>
      </c>
      <c r="N146" s="49">
        <v>1144</v>
      </c>
      <c r="O146" s="49" t="s">
        <v>52</v>
      </c>
      <c r="P146" s="45">
        <v>0.6</v>
      </c>
      <c r="Q146" s="65">
        <v>2018</v>
      </c>
      <c r="R146" s="49" t="s">
        <v>86</v>
      </c>
      <c r="S146" s="216"/>
      <c r="T146" s="216"/>
      <c r="U146" s="49"/>
      <c r="V146" s="49"/>
      <c r="W146" s="74" t="s">
        <v>340</v>
      </c>
      <c r="X146" s="77">
        <f t="shared" si="42"/>
        <v>0</v>
      </c>
      <c r="Y146" s="77">
        <f t="shared" si="43"/>
        <v>0</v>
      </c>
      <c r="Z146" s="74"/>
      <c r="AA146" s="76">
        <f t="shared" si="44"/>
        <v>47448.632260586019</v>
      </c>
      <c r="AB146" s="76">
        <f t="shared" si="45"/>
        <v>68536.913265290917</v>
      </c>
      <c r="AC146" s="74" t="s">
        <v>44</v>
      </c>
      <c r="AD146" s="76">
        <v>0.1</v>
      </c>
      <c r="AE146" s="76">
        <v>1</v>
      </c>
      <c r="AF146" s="76">
        <v>0</v>
      </c>
      <c r="AG146" s="74" t="s">
        <v>48</v>
      </c>
    </row>
    <row r="147" spans="1:33" ht="26.75" customHeight="1" ns3:dyDescent="0.2">
      <c r="A147" s="37">
        <v>246</v>
      </c>
      <c r="B147" s="38">
        <f t="shared" si="40"/>
        <v>2</v>
      </c>
      <c r="C147" s="73" t="s">
        <v>350</v>
      </c>
      <c r="D147" s="39" t="str">
        <f t="shared" si="41"/>
        <v xml:space="preserve">            Power &amp; Control Wiring</v>
      </c>
      <c r="E147" s="39" t="s">
        <v>35</v>
      </c>
      <c r="F147" s="39"/>
      <c r="G147" s="45"/>
      <c r="H147" s="45"/>
      <c r="I147" s="45"/>
      <c r="J147" s="65"/>
      <c r="K147" s="60">
        <f>45613077.4753702/N142</f>
        <v>39871.571219729194</v>
      </c>
      <c r="L147" s="49" t="s">
        <v>50</v>
      </c>
      <c r="M147" s="45" t="s">
        <v>51</v>
      </c>
      <c r="N147" s="49">
        <v>1144</v>
      </c>
      <c r="O147" s="49" t="s">
        <v>52</v>
      </c>
      <c r="P147" s="45">
        <v>0.6</v>
      </c>
      <c r="Q147" s="65">
        <v>2018</v>
      </c>
      <c r="R147" s="49" t="s">
        <v>86</v>
      </c>
      <c r="S147" s="217"/>
      <c r="T147" s="217"/>
      <c r="U147" s="49"/>
      <c r="V147" s="49"/>
      <c r="W147" s="74" t="s">
        <v>340</v>
      </c>
      <c r="X147" s="77">
        <f t="shared" si="42"/>
        <v>0</v>
      </c>
      <c r="Y147" s="77">
        <f t="shared" si="43"/>
        <v>0</v>
      </c>
      <c r="Z147" s="74"/>
      <c r="AA147" s="76">
        <f t="shared" si="44"/>
        <v>35884.414097756278</v>
      </c>
      <c r="AB147" s="76">
        <f t="shared" si="45"/>
        <v>51833.042585647956</v>
      </c>
      <c r="AC147" s="74" t="s">
        <v>44</v>
      </c>
      <c r="AD147" s="76">
        <v>0.1</v>
      </c>
      <c r="AE147" s="76">
        <v>1</v>
      </c>
      <c r="AF147" s="76">
        <v>0</v>
      </c>
      <c r="AG147" s="74" t="s">
        <v>48</v>
      </c>
    </row>
    <row r="148" spans="1:33" ht="26.75" customHeight="1" ns3:dyDescent="0.2">
      <c r="A148" s="37">
        <v>25</v>
      </c>
      <c r="B148" s="38">
        <f t="shared" si="40"/>
        <v>1</v>
      </c>
      <c r="C148" s="55" t="s">
        <v>351</v>
      </c>
      <c r="D148" s="39" t="str">
        <f t="shared" si="41"/>
        <v xml:space="preserve">      Initial Fuel Inventory</v>
      </c>
      <c r="E148" s="39"/>
      <c r="F148" s="39"/>
      <c r="G148" s="45"/>
      <c r="H148" s="45"/>
      <c r="I148" s="45"/>
      <c r="J148" s="65"/>
      <c r="K148" s="60"/>
      <c r="L148" s="49"/>
      <c r="M148" s="58"/>
      <c r="N148" s="49"/>
      <c r="O148" s="49"/>
      <c r="P148" s="49"/>
      <c r="Q148" s="65"/>
      <c r="R148" s="49"/>
      <c r="S148" s="221"/>
      <c r="T148" s="219"/>
      <c r="U148" s="49"/>
      <c r="V148" s="49"/>
      <c r="W148" s="74"/>
      <c r="X148" s="77"/>
      <c r="Y148" s="77"/>
      <c r="Z148" s="74"/>
      <c r="AA148" s="76"/>
      <c r="AB148" s="76"/>
      <c r="AC148" s="74"/>
      <c r="AD148" s="76"/>
      <c r="AE148" s="76"/>
      <c r="AF148" s="76"/>
      <c r="AG148" s="74"/>
    </row>
    <row r="149" spans="1:33" ht="29" customHeight="1" ns3:dyDescent="0.2">
      <c r="A149" s="53">
        <v>251</v>
      </c>
      <c r="B149" s="38">
        <f t="shared" si="40"/>
        <v>2</v>
      </c>
      <c r="C149" s="55" t="s">
        <v>352</v>
      </c>
      <c r="D149" s="39" t="str">
        <f t="shared" si="41"/>
        <v xml:space="preserve">            First Core Mining</v>
      </c>
      <c r="E149" s="39" t="s">
        <v>35</v>
      </c>
      <c r="F149" s="39"/>
      <c r="G149" s="45"/>
      <c r="H149" s="45"/>
      <c r="I149" s="45"/>
      <c r="J149" s="65"/>
      <c r="K149" s="65">
        <v>184</v>
      </c>
      <c r="L149" s="49" t="s">
        <v>186</v>
      </c>
      <c r="M149" s="45" t="s">
        <v>353</v>
      </c>
      <c r="N149" s="49"/>
      <c r="O149" s="49"/>
      <c r="P149" s="49"/>
      <c r="Q149" s="65">
        <v>2022</v>
      </c>
      <c r="R149" s="49" t="s">
        <v>219</v>
      </c>
      <c r="S149" s="220" t="s">
        <v>354</v>
      </c>
      <c r="T149" s="220" t="s">
        <v>355</v>
      </c>
      <c r="U149" s="49"/>
      <c r="V149" s="49"/>
      <c r="W149" s="74" t="s">
        <v>43</v>
      </c>
      <c r="X149" s="77">
        <f t="shared" ref="X149:X155" si="46">0.9*$J149</f>
        <v>0</v>
      </c>
      <c r="Y149" s="77">
        <f t="shared" ref="Y149:Y155" si="47">1.5*J149</f>
        <v>0</v>
      </c>
      <c r="Z149" s="74" t="s">
        <v>44</v>
      </c>
      <c r="AA149" s="76">
        <f t="shared" ref="AA149:AA155" si="48">0.9*K149</f>
        <v>165.6</v>
      </c>
      <c r="AB149" s="76">
        <f t="shared" ref="AB149:AB155" si="49">1.3*K149</f>
        <v>239.20000000000002</v>
      </c>
      <c r="AC149" s="74" t="s">
        <v>44</v>
      </c>
      <c r="AD149" s="76" t="s">
        <v>45</v>
      </c>
      <c r="AE149" s="76" t="s">
        <v>46</v>
      </c>
      <c r="AF149" s="76" t="s">
        <v>47</v>
      </c>
      <c r="AG149" s="74" t="s">
        <v>48</v>
      </c>
    </row>
    <row r="150" spans="1:33" ht="26.75" customHeight="1" ns3:dyDescent="0.2">
      <c r="A150" s="53">
        <v>252</v>
      </c>
      <c r="B150" s="38">
        <f t="shared" si="40"/>
        <v>2</v>
      </c>
      <c r="C150" s="55" t="s">
        <v>356</v>
      </c>
      <c r="D150" s="39" t="str">
        <f t="shared" si="41"/>
        <v xml:space="preserve">            First Core Conversion </v>
      </c>
      <c r="E150" s="39" t="s">
        <v>35</v>
      </c>
      <c r="F150" s="39"/>
      <c r="G150" s="45"/>
      <c r="H150" s="45"/>
      <c r="I150" s="45"/>
      <c r="J150" s="65"/>
      <c r="K150" s="65">
        <v>15.1</v>
      </c>
      <c r="L150" s="49" t="s">
        <v>186</v>
      </c>
      <c r="M150" s="45" t="s">
        <v>353</v>
      </c>
      <c r="N150" s="49"/>
      <c r="O150" s="49"/>
      <c r="P150" s="49"/>
      <c r="Q150" s="65">
        <v>2022</v>
      </c>
      <c r="R150" s="49" t="s">
        <v>219</v>
      </c>
      <c r="S150" s="216"/>
      <c r="T150" s="216"/>
      <c r="U150" s="49"/>
      <c r="V150" s="49"/>
      <c r="W150" s="74" t="s">
        <v>43</v>
      </c>
      <c r="X150" s="77">
        <f t="shared" si="46"/>
        <v>0</v>
      </c>
      <c r="Y150" s="77">
        <f t="shared" si="47"/>
        <v>0</v>
      </c>
      <c r="Z150" s="74" t="s">
        <v>44</v>
      </c>
      <c r="AA150" s="76">
        <f t="shared" si="48"/>
        <v>13.59</v>
      </c>
      <c r="AB150" s="76">
        <f t="shared" si="49"/>
        <v>19.63</v>
      </c>
      <c r="AC150" s="74" t="s">
        <v>44</v>
      </c>
      <c r="AD150" s="76" t="s">
        <v>45</v>
      </c>
      <c r="AE150" s="76" t="s">
        <v>46</v>
      </c>
      <c r="AF150" s="76" t="s">
        <v>47</v>
      </c>
      <c r="AG150" s="74" t="s">
        <v>48</v>
      </c>
    </row>
    <row r="151" spans="1:33" ht="26.75" customHeight="1" ns3:dyDescent="0.2">
      <c r="A151" s="53">
        <v>253</v>
      </c>
      <c r="B151" s="38">
        <f t="shared" si="40"/>
        <v>2</v>
      </c>
      <c r="C151" s="55" t="s">
        <v>357</v>
      </c>
      <c r="D151" s="39" t="str">
        <f t="shared" si="41"/>
        <v xml:space="preserve">            First Core Enrichment </v>
      </c>
      <c r="E151" s="39" t="s">
        <v>268</v>
      </c>
      <c r="F151" s="39"/>
      <c r="G151" s="45"/>
      <c r="H151" s="45"/>
      <c r="I151" s="45"/>
      <c r="J151" s="65"/>
      <c r="K151" s="65">
        <v>184.2</v>
      </c>
      <c r="L151" s="49" t="s">
        <v>358</v>
      </c>
      <c r="M151" s="58" t="s">
        <v>359</v>
      </c>
      <c r="N151" s="49"/>
      <c r="O151" s="49"/>
      <c r="P151" s="49">
        <v>1</v>
      </c>
      <c r="Q151" s="65">
        <v>2022</v>
      </c>
      <c r="R151" s="49" t="s">
        <v>219</v>
      </c>
      <c r="S151" s="216"/>
      <c r="T151" s="216"/>
      <c r="U151" s="49"/>
      <c r="V151" s="49"/>
      <c r="W151" s="74" t="s">
        <v>43</v>
      </c>
      <c r="X151" s="77">
        <f t="shared" si="46"/>
        <v>0</v>
      </c>
      <c r="Y151" s="77">
        <f t="shared" si="47"/>
        <v>0</v>
      </c>
      <c r="Z151" s="74" t="s">
        <v>44</v>
      </c>
      <c r="AA151" s="76">
        <f t="shared" si="48"/>
        <v>165.78</v>
      </c>
      <c r="AB151" s="76">
        <f t="shared" si="49"/>
        <v>239.45999999999998</v>
      </c>
      <c r="AC151" s="74" t="s">
        <v>44</v>
      </c>
      <c r="AD151" s="76" t="s">
        <v>45</v>
      </c>
      <c r="AE151" s="76" t="s">
        <v>46</v>
      </c>
      <c r="AF151" s="76" t="s">
        <v>47</v>
      </c>
      <c r="AG151" s="74" t="s">
        <v>48</v>
      </c>
    </row>
    <row r="152" spans="1:33" ht="26.75" customHeight="1" ns3:dyDescent="0.2">
      <c r="A152" s="53">
        <v>254</v>
      </c>
      <c r="B152" s="38">
        <f t="shared" si="40"/>
        <v>2</v>
      </c>
      <c r="C152" s="55" t="s">
        <v>360</v>
      </c>
      <c r="D152" s="39" t="str">
        <f t="shared" si="41"/>
        <v xml:space="preserve">            First Core Fuel Assembly Fabrication </v>
      </c>
      <c r="E152" s="39" t="s">
        <v>35</v>
      </c>
      <c r="F152" s="39" t="s">
        <v>361</v>
      </c>
      <c r="G152" s="45" t="s">
        <v>362</v>
      </c>
      <c r="H152" s="45" t="s">
        <v>363</v>
      </c>
      <c r="I152" s="45" t="s">
        <v>364</v>
      </c>
      <c r="J152" s="65"/>
      <c r="K152" s="65">
        <v>1520</v>
      </c>
      <c r="L152" s="49" t="s">
        <v>186</v>
      </c>
      <c r="M152" s="58" t="s">
        <v>365</v>
      </c>
      <c r="N152" s="49"/>
      <c r="O152" s="49"/>
      <c r="P152" s="49"/>
      <c r="Q152" s="65">
        <v>2023</v>
      </c>
      <c r="R152" s="49" t="s">
        <v>219</v>
      </c>
      <c r="S152" s="204"/>
      <c r="T152" s="204"/>
      <c r="U152" s="49"/>
      <c r="V152" s="49"/>
      <c r="W152" s="74" t="s">
        <v>157</v>
      </c>
      <c r="X152" s="77">
        <f t="shared" si="46"/>
        <v>0</v>
      </c>
      <c r="Y152" s="77">
        <f t="shared" si="47"/>
        <v>0</v>
      </c>
      <c r="Z152" s="74" t="s">
        <v>44</v>
      </c>
      <c r="AA152" s="76">
        <f t="shared" si="48"/>
        <v>1368</v>
      </c>
      <c r="AB152" s="76">
        <f t="shared" si="49"/>
        <v>1976</v>
      </c>
      <c r="AC152" s="74" t="s">
        <v>44</v>
      </c>
      <c r="AD152" s="76" t="s">
        <v>45</v>
      </c>
      <c r="AE152" s="76" t="s">
        <v>46</v>
      </c>
      <c r="AF152" s="76" t="s">
        <v>47</v>
      </c>
      <c r="AG152" s="74" t="s">
        <v>48</v>
      </c>
    </row>
    <row r="153" spans="1:33" ht="26.75" customHeight="1" ns3:dyDescent="0.2">
      <c r="A153" s="53">
        <v>254</v>
      </c>
      <c r="B153" s="38">
        <f>IF(ISNUMBER(A153),
    IF(AND(A153=INT(A153), MOD(A153, 10) = 0), 0,
        IF(AND(A153=INT(A153), LEN(A153)=2), 1,
            IF(AND(A153=INT(A153), LEN(A153)=3), 2,
                LEN(A153) - FIND(".", A153) + 2)
        )
    ),
"")</f>
        <v>2</v>
      </c>
      <c r="C153" s="55" t="s">
        <v>360</v>
      </c>
      <c r="D153" s="39" t="str">
        <f t="shared" si="41"/>
        <v xml:space="preserve">            First Core Fuel Assembly Fabrication </v>
      </c>
      <c r="E153" s="39" t="s">
        <v>35</v>
      </c>
      <c r="F153" s="39" t="s">
        <v>361</v>
      </c>
      <c r="G153" s="45" t="s">
        <v>362</v>
      </c>
      <c r="H153" s="45" t="s">
        <v>363</v>
      </c>
      <c r="I153" s="45" t="s">
        <v>366</v>
      </c>
      <c r="J153" s="65"/>
      <c r="K153" s="65">
        <v>250</v>
      </c>
      <c r="L153" s="49" t="s">
        <v>186</v>
      </c>
      <c r="M153" s="58" t="s">
        <v>365</v>
      </c>
      <c r="N153" s="49"/>
      <c r="O153" s="49"/>
      <c r="P153" s="49"/>
      <c r="Q153" s="65">
        <v>2023</v>
      </c>
      <c r="R153" s="49" t="s">
        <v>219</v>
      </c>
      <c r="S153" s="204"/>
      <c r="T153" s="204"/>
      <c r="U153" s="49"/>
      <c r="V153" s="49"/>
      <c r="W153" s="74" t="s">
        <v>157</v>
      </c>
      <c r="X153" s="77">
        <f t="shared" si="46"/>
        <v>0</v>
      </c>
      <c r="Y153" s="77">
        <f t="shared" si="47"/>
        <v>0</v>
      </c>
      <c r="Z153" s="74" t="s">
        <v>44</v>
      </c>
      <c r="AA153" s="76">
        <f t="shared" si="48"/>
        <v>225</v>
      </c>
      <c r="AB153" s="76">
        <f t="shared" si="49"/>
        <v>325</v>
      </c>
      <c r="AC153" s="74" t="s">
        <v>44</v>
      </c>
      <c r="AD153" s="76" t="s">
        <v>45</v>
      </c>
      <c r="AE153" s="76" t="s">
        <v>46</v>
      </c>
      <c r="AF153" s="76" t="s">
        <v>47</v>
      </c>
      <c r="AG153" s="74" t="s">
        <v>48</v>
      </c>
    </row>
    <row r="154" spans="1:33" ht="26.75" customHeight="1" ns3:dyDescent="0.2">
      <c r="A154" s="53">
        <v>254</v>
      </c>
      <c r="B154" s="38">
        <f>IF(ISNUMBER(A154),
    IF(AND(A154=INT(A154), MOD(A154, 10) = 0), 0,
        IF(AND(A154=INT(A154), LEN(A154)=2), 1,
            IF(AND(A154=INT(A154), LEN(A154)=3), 2,
                LEN(A154) - FIND(".", A154) + 2)
        )
    ),
"")</f>
        <v>2</v>
      </c>
      <c r="C154" s="55" t="s">
        <v>360</v>
      </c>
      <c r="D154" s="39" t="str">
        <f t="shared" si="41"/>
        <v xml:space="preserve">            First Core Fuel Assembly Fabrication </v>
      </c>
      <c r="E154" s="39" t="s">
        <v>35</v>
      </c>
      <c r="F154" s="39" t="s">
        <v>361</v>
      </c>
      <c r="G154" s="45" t="s">
        <v>269</v>
      </c>
      <c r="H154" s="45"/>
      <c r="I154" s="45"/>
      <c r="J154" s="65"/>
      <c r="K154" s="65">
        <v>10000</v>
      </c>
      <c r="L154" s="49" t="s">
        <v>186</v>
      </c>
      <c r="M154" s="58" t="s">
        <v>365</v>
      </c>
      <c r="N154" s="49"/>
      <c r="O154" s="49"/>
      <c r="P154" s="49"/>
      <c r="Q154" s="65">
        <v>2009</v>
      </c>
      <c r="R154" s="49" t="s">
        <v>219</v>
      </c>
      <c r="S154" s="205"/>
      <c r="T154" s="205"/>
      <c r="U154" s="49"/>
      <c r="V154" s="49"/>
      <c r="W154" s="74" t="s">
        <v>157</v>
      </c>
      <c r="X154" s="77">
        <f t="shared" si="46"/>
        <v>0</v>
      </c>
      <c r="Y154" s="77">
        <f t="shared" si="47"/>
        <v>0</v>
      </c>
      <c r="Z154" s="74" t="s">
        <v>44</v>
      </c>
      <c r="AA154" s="76">
        <f t="shared" si="48"/>
        <v>9000</v>
      </c>
      <c r="AB154" s="76">
        <f t="shared" si="49"/>
        <v>13000</v>
      </c>
      <c r="AC154" s="74" t="s">
        <v>44</v>
      </c>
      <c r="AD154" s="76" t="s">
        <v>45</v>
      </c>
      <c r="AE154" s="76" t="s">
        <v>46</v>
      </c>
      <c r="AF154" s="76" t="s">
        <v>47</v>
      </c>
      <c r="AG154" s="74" t="s">
        <v>48</v>
      </c>
    </row>
    <row r="155" spans="1:33" ht="53.25" customHeight="1" ns3:dyDescent="0.2">
      <c r="A155" s="37">
        <v>26</v>
      </c>
      <c r="B155" s="38">
        <f>IF(ISNUMBER(A155),
IF(AND(A155=INT(A155), MOD(A155, 10) = 0), 0,
IF(AND(A155=INT(A155), LEN(A155)=2), 1,
IF(AND(A155=INT(A155), LEN(A155)=3), 2,
LEN(A155) - FIND(".", A155) + 2)
)
),
"")</f>
        <v>1</v>
      </c>
      <c r="C155" s="55" t="s">
        <v>367</v>
      </c>
      <c r="D155" s="39" t="str">
        <f t="shared" si="41"/>
        <v xml:space="preserve">      Miscellaneous Equipment (Cranes)</v>
      </c>
      <c r="E155" s="39" t="s">
        <v>35</v>
      </c>
      <c r="F155" s="39"/>
      <c r="G155" s="39"/>
      <c r="H155" s="39"/>
      <c r="I155" s="39"/>
      <c r="J155" s="60">
        <v>1000000</v>
      </c>
      <c r="K155" s="65"/>
      <c r="L155" s="49"/>
      <c r="M155" s="58"/>
      <c r="N155" s="49"/>
      <c r="O155" s="49"/>
      <c r="P155" s="49"/>
      <c r="Q155" s="65">
        <v>2021</v>
      </c>
      <c r="R155" s="49" t="s">
        <v>153</v>
      </c>
      <c r="S155" s="58" t="s">
        <v>368</v>
      </c>
      <c r="T155" s="58" t="s">
        <v>369</v>
      </c>
      <c r="U155" s="49"/>
      <c r="V155" s="49"/>
      <c r="W155" s="74" t="s">
        <v>157</v>
      </c>
      <c r="X155" s="77">
        <f t="shared" si="46"/>
        <v>900000</v>
      </c>
      <c r="Y155" s="77">
        <f t="shared" si="47"/>
        <v>1500000</v>
      </c>
      <c r="Z155" s="74" t="s">
        <v>44</v>
      </c>
      <c r="AA155" s="76">
        <f t="shared" si="48"/>
        <v>0</v>
      </c>
      <c r="AB155" s="76">
        <f t="shared" si="49"/>
        <v>0</v>
      </c>
      <c r="AC155" s="74" t="s">
        <v>44</v>
      </c>
      <c r="AD155" s="76" t="s">
        <v>45</v>
      </c>
      <c r="AE155" s="76" t="s">
        <v>46</v>
      </c>
      <c r="AF155" s="76" t="s">
        <v>47</v>
      </c>
      <c r="AG155" s="74" t="s">
        <v>48</v>
      </c>
    </row>
    <row r="156" spans="1:33" ht="26.75" customHeight="1" ns3:dyDescent="0.2">
      <c r="A156" s="50">
        <v>30</v>
      </c>
      <c r="B156" s="38">
        <f>IF(ISNUMBER(A156),
    IF(AND(A156=INT(A156), MOD(A156, 10) = 0), 0,
        IF(AND(A156=INT(A156), LEN(A156)=2), 1,
            IF(AND(A156=INT(A156), LEN(A156)=3), 2,
                LEN(A156) - FIND(".", A156) + 2)
        )
    ),
"")</f>
        <v>0</v>
      </c>
      <c r="C156" s="55" t="s">
        <v>370</v>
      </c>
      <c r="D156" s="39" t="str">
        <f t="shared" si="41"/>
        <v>Capitalized Indirect Services Cost</v>
      </c>
      <c r="E156" s="39"/>
      <c r="F156" s="39"/>
      <c r="G156" s="39"/>
      <c r="H156" s="39"/>
      <c r="I156" s="39"/>
      <c r="J156" s="67"/>
      <c r="K156" s="51"/>
      <c r="L156" s="50"/>
      <c r="M156" s="50"/>
      <c r="N156" s="50"/>
      <c r="O156" s="50"/>
      <c r="P156" s="50"/>
      <c r="Q156" s="67"/>
      <c r="R156" s="50"/>
      <c r="S156" s="223"/>
      <c r="T156" s="50"/>
      <c r="U156" s="50"/>
      <c r="V156" s="50"/>
      <c r="W156" s="74"/>
      <c r="X156" s="77"/>
      <c r="Y156" s="77"/>
      <c r="Z156" s="74"/>
      <c r="AA156" s="76"/>
      <c r="AB156" s="76"/>
      <c r="AC156" s="74"/>
      <c r="AD156" s="76"/>
      <c r="AE156" s="76"/>
      <c r="AF156" s="76"/>
      <c r="AG156" s="74"/>
    </row>
    <row r="157" spans="1:33" ht="51.75" customHeight="1" ns3:dyDescent="0.2">
      <c r="A157" s="50">
        <v>31</v>
      </c>
      <c r="B157" s="38">
        <v>1</v>
      </c>
      <c r="C157" s="55" t="s">
        <v>371</v>
      </c>
      <c r="D157" s="39" t="str">
        <f t="shared" si="41"/>
        <v xml:space="preserve">      Factory &amp; field indirect costs</v>
      </c>
      <c r="E157" s="39"/>
      <c r="F157" s="39"/>
      <c r="G157" s="39"/>
      <c r="H157" s="39"/>
      <c r="I157" s="39"/>
      <c r="J157" s="67"/>
      <c r="K157" s="68"/>
      <c r="L157" s="49"/>
      <c r="M157" s="58"/>
      <c r="N157" s="50"/>
      <c r="O157" s="50"/>
      <c r="P157" s="50"/>
      <c r="Q157" s="65"/>
      <c r="R157" s="49"/>
      <c r="S157" s="223"/>
      <c r="T157" s="50"/>
      <c r="U157" s="50"/>
      <c r="V157" s="50"/>
      <c r="W157" s="74"/>
      <c r="X157" s="77"/>
      <c r="Y157" s="77"/>
      <c r="Z157" s="74"/>
      <c r="AA157" s="76"/>
      <c r="AB157" s="76"/>
      <c r="AC157" s="74"/>
      <c r="AD157" s="76"/>
      <c r="AE157" s="76"/>
      <c r="AF157" s="76"/>
      <c r="AG157" s="74"/>
    </row>
    <row r="158" spans="1:33" ht="26.75" customHeight="1" ns3:dyDescent="0.2">
      <c r="A158" s="50">
        <v>32</v>
      </c>
      <c r="B158" s="38">
        <v>1</v>
      </c>
      <c r="C158" s="55" t="s">
        <v>372</v>
      </c>
      <c r="D158" s="39" t="str">
        <f t="shared" si="41"/>
        <v xml:space="preserve">      Factory and construction supervision</v>
      </c>
      <c r="E158" s="39"/>
      <c r="F158" s="39"/>
      <c r="G158" s="39"/>
      <c r="H158" s="39"/>
      <c r="I158" s="39"/>
      <c r="J158" s="67"/>
      <c r="K158" s="51"/>
      <c r="L158" s="50"/>
      <c r="M158" s="50"/>
      <c r="N158" s="50"/>
      <c r="O158" s="50"/>
      <c r="P158" s="50"/>
      <c r="Q158" s="65"/>
      <c r="R158" s="49"/>
      <c r="S158" s="223"/>
      <c r="T158" s="50"/>
      <c r="U158" s="50"/>
      <c r="V158" s="50"/>
      <c r="W158" s="74"/>
      <c r="X158" s="77"/>
      <c r="Y158" s="77"/>
      <c r="Z158" s="74"/>
      <c r="AA158" s="76"/>
      <c r="AB158" s="76"/>
      <c r="AC158" s="74"/>
      <c r="AD158" s="76"/>
      <c r="AE158" s="76"/>
      <c r="AF158" s="76"/>
      <c r="AG158" s="74"/>
    </row>
    <row r="159" spans="1:33" ht="26.75" customHeight="1" ns3:dyDescent="0.2">
      <c r="A159" s="37">
        <v>33</v>
      </c>
      <c r="B159" s="38">
        <f t="shared" ref="B159:B173" si="50">IF(ISNUMBER(A159),
IF(AND(A159=INT(A159), MOD(A159, 10) = 0), 0,
IF(AND(A159=INT(A159), LEN(A159)=2), 1,
IF(AND(A159=INT(A159), LEN(A159)=3), 2,
LEN(A159) - FIND(".", A159) + 2)
)
),
"")</f>
        <v>1</v>
      </c>
      <c r="C159" s="55" t="s">
        <v>373</v>
      </c>
      <c r="D159" s="39" t="str">
        <f t="shared" si="41"/>
        <v xml:space="preserve">      Startup Costs</v>
      </c>
      <c r="E159" s="39" t="s">
        <v>35</v>
      </c>
      <c r="F159" s="39"/>
      <c r="G159" s="39"/>
      <c r="H159" s="39"/>
      <c r="I159" s="39"/>
      <c r="J159" s="43">
        <f>MARVEL_Cost!C58</f>
        <v>2407166.4</v>
      </c>
      <c r="K159" s="44"/>
      <c r="L159" s="46"/>
      <c r="M159" s="52"/>
      <c r="N159" s="46"/>
      <c r="O159" s="46"/>
      <c r="P159" s="46"/>
      <c r="Q159" s="65">
        <v>2024</v>
      </c>
      <c r="R159" s="46" t="s">
        <v>73</v>
      </c>
      <c r="S159" s="215" t="s">
        <v>320</v>
      </c>
      <c r="T159" s="46"/>
      <c r="U159" s="46"/>
      <c r="V159" s="46"/>
      <c r="W159" s="74" t="s">
        <v>77</v>
      </c>
      <c r="X159" s="77">
        <f>0.9*$J159</f>
        <v>2166449.7599999998</v>
      </c>
      <c r="Y159" s="77">
        <f>1.5*J159</f>
        <v>3610749.5999999996</v>
      </c>
      <c r="Z159" s="74" t="s">
        <v>44</v>
      </c>
      <c r="AA159" s="76">
        <f>0.9*K159</f>
        <v>0</v>
      </c>
      <c r="AB159" s="76">
        <f>1.3*K159</f>
        <v>0</v>
      </c>
      <c r="AC159" s="74" t="s">
        <v>44</v>
      </c>
      <c r="AD159" s="76" t="s">
        <v>45</v>
      </c>
      <c r="AE159" s="76" t="s">
        <v>46</v>
      </c>
      <c r="AF159" s="76" t="s">
        <v>47</v>
      </c>
      <c r="AG159" s="74" t="s">
        <v>48</v>
      </c>
    </row>
    <row r="160" spans="1:33" ht="53.25" customHeight="1" ns3:dyDescent="0.2">
      <c r="A160" s="37">
        <v>34</v>
      </c>
      <c r="B160" s="38">
        <f t="shared" si="50"/>
        <v>1</v>
      </c>
      <c r="C160" s="55" t="s">
        <v>374</v>
      </c>
      <c r="D160" s="39" t="str">
        <f t="shared" si="41"/>
        <v xml:space="preserve">      Shipping and Transportation Costs</v>
      </c>
      <c r="E160" s="39" t="s">
        <v>35</v>
      </c>
      <c r="F160" s="39"/>
      <c r="G160" s="39"/>
      <c r="H160" s="39"/>
      <c r="I160" s="39"/>
      <c r="J160" s="43">
        <f>0.5*MARVEL_Cost!C62</f>
        <v>832641.4</v>
      </c>
      <c r="K160" s="44"/>
      <c r="L160" s="46"/>
      <c r="M160" s="52"/>
      <c r="N160" s="46"/>
      <c r="O160" s="46"/>
      <c r="P160" s="46"/>
      <c r="Q160" s="65">
        <v>2024</v>
      </c>
      <c r="R160" s="46" t="s">
        <v>73</v>
      </c>
      <c r="S160" s="204"/>
      <c r="T160" s="46"/>
      <c r="U160" s="46"/>
      <c r="V160" s="46"/>
      <c r="W160" s="74" t="s">
        <v>77</v>
      </c>
      <c r="X160" s="77">
        <f>0.9*$J160</f>
        <v>749377.26</v>
      </c>
      <c r="Y160" s="77">
        <f>1.5*J160</f>
        <v>1248962.1000000001</v>
      </c>
      <c r="Z160" s="74" t="s">
        <v>44</v>
      </c>
      <c r="AA160" s="76">
        <f>0.9*K160</f>
        <v>0</v>
      </c>
      <c r="AB160" s="76">
        <f>1.3*K160</f>
        <v>0</v>
      </c>
      <c r="AC160" s="74" t="s">
        <v>44</v>
      </c>
      <c r="AD160" s="76" t="s">
        <v>45</v>
      </c>
      <c r="AE160" s="76" t="s">
        <v>46</v>
      </c>
      <c r="AF160" s="76" t="s">
        <v>47</v>
      </c>
      <c r="AG160" s="74" t="s">
        <v>48</v>
      </c>
    </row>
    <row r="161" spans="1:33" ht="26.75" customHeight="1" ns3:dyDescent="0.2">
      <c r="A161" s="37">
        <v>35</v>
      </c>
      <c r="B161" s="38">
        <f t="shared" si="50"/>
        <v>1</v>
      </c>
      <c r="C161" s="55" t="s">
        <v>375</v>
      </c>
      <c r="D161" s="39" t="str">
        <f t="shared" si="41"/>
        <v xml:space="preserve">      Engineering Services</v>
      </c>
      <c r="E161" s="39" t="s">
        <v>35</v>
      </c>
      <c r="F161" s="39"/>
      <c r="G161" s="39"/>
      <c r="H161" s="39"/>
      <c r="I161" s="39"/>
      <c r="J161" s="43">
        <f>MARVEL_Cost!C65</f>
        <v>620313.58773783164</v>
      </c>
      <c r="K161" s="60"/>
      <c r="L161" s="49"/>
      <c r="M161" s="58"/>
      <c r="N161" s="49"/>
      <c r="O161" s="49"/>
      <c r="P161" s="49"/>
      <c r="Q161" s="65">
        <v>2024</v>
      </c>
      <c r="R161" s="49" t="s">
        <v>53</v>
      </c>
      <c r="S161" s="204"/>
      <c r="T161" s="49"/>
      <c r="U161" s="49"/>
      <c r="V161" s="49"/>
      <c r="W161" s="74" t="s">
        <v>77</v>
      </c>
      <c r="X161" s="77">
        <f>0.9*$J161</f>
        <v>558282.22896404844</v>
      </c>
      <c r="Y161" s="77">
        <f>1.5*J161</f>
        <v>930470.3816067474</v>
      </c>
      <c r="Z161" s="74" t="s">
        <v>44</v>
      </c>
      <c r="AA161" s="76">
        <f>0.9*K161</f>
        <v>0</v>
      </c>
      <c r="AB161" s="76">
        <f>1.3*K161</f>
        <v>0</v>
      </c>
      <c r="AC161" s="74" t="s">
        <v>44</v>
      </c>
      <c r="AD161" s="76" t="s">
        <v>45</v>
      </c>
      <c r="AE161" s="76" t="s">
        <v>46</v>
      </c>
      <c r="AF161" s="76" t="s">
        <v>47</v>
      </c>
      <c r="AG161" s="74" t="s">
        <v>48</v>
      </c>
    </row>
    <row r="162" spans="1:33" ht="26.75" customHeight="1" ns3:dyDescent="0.2">
      <c r="A162" s="37">
        <v>36</v>
      </c>
      <c r="B162" s="38">
        <f t="shared" si="50"/>
        <v>1</v>
      </c>
      <c r="C162" s="55" t="s">
        <v>376</v>
      </c>
      <c r="D162" s="39" t="str">
        <f t="shared" si="41"/>
        <v xml:space="preserve">      PM/CM Services</v>
      </c>
      <c r="E162" s="39" t="s">
        <v>35</v>
      </c>
      <c r="F162" s="39"/>
      <c r="G162" s="39"/>
      <c r="H162" s="39"/>
      <c r="I162" s="39"/>
      <c r="J162" s="43">
        <f>MARVEL_Cost!C68</f>
        <v>416958.9359999997</v>
      </c>
      <c r="K162" s="60"/>
      <c r="L162" s="49"/>
      <c r="M162" s="58"/>
      <c r="N162" s="49"/>
      <c r="O162" s="49"/>
      <c r="P162" s="49"/>
      <c r="Q162" s="65">
        <v>2024</v>
      </c>
      <c r="R162" s="49" t="s">
        <v>53</v>
      </c>
      <c r="S162" s="205"/>
      <c r="T162" s="49"/>
      <c r="U162" s="49"/>
      <c r="V162" s="49"/>
      <c r="W162" s="74" t="s">
        <v>77</v>
      </c>
      <c r="X162" s="77">
        <f>0.9*$J162</f>
        <v>375263.04239999974</v>
      </c>
      <c r="Y162" s="77">
        <f>1.5*J162</f>
        <v>625438.40399999951</v>
      </c>
      <c r="Z162" s="74" t="s">
        <v>44</v>
      </c>
      <c r="AA162" s="76">
        <f>0.9*K162</f>
        <v>0</v>
      </c>
      <c r="AB162" s="76">
        <f>1.3*K162</f>
        <v>0</v>
      </c>
      <c r="AC162" s="74" t="s">
        <v>44</v>
      </c>
      <c r="AD162" s="76" t="s">
        <v>45</v>
      </c>
      <c r="AE162" s="76" t="s">
        <v>46</v>
      </c>
      <c r="AF162" s="76" t="s">
        <v>47</v>
      </c>
      <c r="AG162" s="74" t="s">
        <v>48</v>
      </c>
    </row>
    <row r="163" spans="1:33" ht="26.75" customHeight="1" ns3:dyDescent="0.2">
      <c r="A163" s="37">
        <v>40</v>
      </c>
      <c r="B163" s="38">
        <f t="shared" si="50"/>
        <v>0</v>
      </c>
      <c r="C163" s="55" t="s">
        <v>377</v>
      </c>
      <c r="D163" s="39" t="str">
        <f t="shared" si="41"/>
        <v>Capitalized training costs</v>
      </c>
      <c r="E163" s="39"/>
      <c r="F163" s="39"/>
      <c r="G163" s="39"/>
      <c r="H163" s="39"/>
      <c r="I163" s="39"/>
      <c r="J163" s="43"/>
      <c r="K163" s="60"/>
      <c r="L163" s="49"/>
      <c r="M163" s="58"/>
      <c r="N163" s="49"/>
      <c r="O163" s="49"/>
      <c r="P163" s="49"/>
      <c r="Q163" s="65"/>
      <c r="R163" s="49"/>
      <c r="S163" s="50"/>
      <c r="T163" s="49"/>
      <c r="U163" s="49"/>
      <c r="V163" s="49"/>
      <c r="W163" s="74"/>
      <c r="X163" s="77"/>
      <c r="Y163" s="77"/>
      <c r="Z163" s="74"/>
      <c r="AA163" s="76"/>
      <c r="AB163" s="76"/>
      <c r="AC163" s="74"/>
      <c r="AD163" s="76"/>
      <c r="AE163" s="76"/>
      <c r="AF163" s="76"/>
      <c r="AG163" s="74"/>
    </row>
    <row r="164" spans="1:33" ht="26.75" customHeight="1" ns3:dyDescent="0.2">
      <c r="A164" s="37">
        <v>41</v>
      </c>
      <c r="B164" s="38">
        <f t="shared" si="50"/>
        <v>1</v>
      </c>
      <c r="C164" s="55" t="s">
        <v>378</v>
      </c>
      <c r="D164" s="39" t="str">
        <f t="shared" si="41"/>
        <v xml:space="preserve">      staff recruitment and training</v>
      </c>
      <c r="E164" s="39" t="s">
        <v>35</v>
      </c>
      <c r="F164" s="39"/>
      <c r="G164" s="39"/>
      <c r="H164" s="39"/>
      <c r="I164" s="39"/>
      <c r="J164" s="43">
        <v>300000</v>
      </c>
      <c r="K164" s="60"/>
      <c r="L164" s="49"/>
      <c r="M164" s="58"/>
      <c r="N164" s="49"/>
      <c r="O164" s="49"/>
      <c r="P164" s="49"/>
      <c r="Q164" s="65">
        <v>2024</v>
      </c>
      <c r="R164" s="49" t="s">
        <v>53</v>
      </c>
      <c r="S164" s="42"/>
      <c r="T164" s="49" t="s">
        <v>379</v>
      </c>
      <c r="U164" s="49" t="s">
        <v>380</v>
      </c>
      <c r="V164" s="49"/>
      <c r="W164" s="74" t="s">
        <v>43</v>
      </c>
      <c r="X164" s="77">
        <f>0.9*$J164</f>
        <v>270000</v>
      </c>
      <c r="Y164" s="77">
        <f>1.5*J164</f>
        <v>450000</v>
      </c>
      <c r="Z164" s="74" t="s">
        <v>44</v>
      </c>
      <c r="AA164" s="76">
        <f>0.9*K164</f>
        <v>0</v>
      </c>
      <c r="AB164" s="76">
        <f>1.3*K164</f>
        <v>0</v>
      </c>
      <c r="AC164" s="74" t="s">
        <v>44</v>
      </c>
      <c r="AD164" s="76" t="s">
        <v>45</v>
      </c>
      <c r="AE164" s="76" t="s">
        <v>46</v>
      </c>
      <c r="AF164" s="76" t="s">
        <v>47</v>
      </c>
      <c r="AG164" s="74" t="s">
        <v>48</v>
      </c>
    </row>
    <row r="165" spans="1:33" ht="26.75" customHeight="1" ns3:dyDescent="0.2">
      <c r="A165" s="50">
        <v>60</v>
      </c>
      <c r="B165" s="38">
        <f t="shared" si="50"/>
        <v>0</v>
      </c>
      <c r="C165" s="55" t="s">
        <v>381</v>
      </c>
      <c r="D165" s="39" t="str">
        <f t="shared" si="41"/>
        <v xml:space="preserve">Capitalized Financial Costs </v>
      </c>
      <c r="E165" s="39"/>
      <c r="F165" s="39"/>
      <c r="G165" s="39"/>
      <c r="H165" s="39"/>
      <c r="I165" s="39"/>
      <c r="J165" s="67"/>
      <c r="K165" s="51"/>
      <c r="L165" s="50"/>
      <c r="M165" s="50"/>
      <c r="N165" s="50"/>
      <c r="O165" s="50"/>
      <c r="P165" s="50"/>
      <c r="Q165" s="67"/>
      <c r="R165" s="50"/>
      <c r="S165" s="50"/>
      <c r="T165" s="50"/>
      <c r="U165" s="50"/>
      <c r="V165" s="50"/>
      <c r="W165" s="74"/>
      <c r="X165" s="77"/>
      <c r="Y165" s="77"/>
      <c r="Z165" s="74"/>
      <c r="AA165" s="76"/>
      <c r="AB165" s="76"/>
      <c r="AC165" s="74"/>
      <c r="AD165" s="76"/>
      <c r="AE165" s="76"/>
      <c r="AF165" s="76"/>
      <c r="AG165" s="74"/>
    </row>
    <row r="166" spans="1:33" ht="26.75" customHeight="1" ns3:dyDescent="0.2">
      <c r="A166" s="37">
        <v>62</v>
      </c>
      <c r="B166" s="38">
        <f t="shared" si="50"/>
        <v>1</v>
      </c>
      <c r="C166" s="55" t="s">
        <v>382</v>
      </c>
      <c r="D166" s="39" t="str">
        <f t="shared" si="41"/>
        <v xml:space="preserve">      Interest</v>
      </c>
      <c r="E166" s="39"/>
      <c r="F166" s="39"/>
      <c r="G166" s="39"/>
      <c r="H166" s="39"/>
      <c r="I166" s="39"/>
      <c r="J166" s="43"/>
      <c r="K166" s="60"/>
      <c r="L166" s="49"/>
      <c r="M166" s="58"/>
      <c r="N166" s="49"/>
      <c r="O166" s="49"/>
      <c r="P166" s="49"/>
      <c r="Q166" s="65"/>
      <c r="R166" s="49"/>
      <c r="S166" s="58"/>
      <c r="T166" s="49"/>
      <c r="U166" s="49"/>
      <c r="V166" s="49"/>
      <c r="W166" s="74"/>
      <c r="X166" s="77"/>
      <c r="Y166" s="77"/>
      <c r="Z166" s="74"/>
      <c r="AA166" s="76"/>
      <c r="AB166" s="76"/>
      <c r="AC166" s="74"/>
      <c r="AD166" s="76"/>
      <c r="AE166" s="76"/>
      <c r="AF166" s="76"/>
      <c r="AG166" s="74"/>
    </row>
    <row r="167" spans="1:33" ht="26.75" customHeight="1" ns3:dyDescent="0.2">
      <c r="A167" s="37">
        <v>70</v>
      </c>
      <c r="B167" s="38">
        <f t="shared" si="50"/>
        <v>0</v>
      </c>
      <c r="C167" s="69" t="s">
        <v>383</v>
      </c>
      <c r="D167" s="39" t="str">
        <f t="shared" si="41"/>
        <v xml:space="preserve">Annualized O&amp;M Cost </v>
      </c>
      <c r="E167" s="39"/>
      <c r="F167" s="39"/>
      <c r="G167" s="39"/>
      <c r="H167" s="39"/>
      <c r="I167" s="39"/>
      <c r="J167" s="40"/>
      <c r="K167" s="40"/>
      <c r="L167" s="38"/>
      <c r="M167" s="41"/>
      <c r="N167" s="38"/>
      <c r="O167" s="38"/>
      <c r="P167" s="38"/>
      <c r="Q167" s="40"/>
      <c r="R167" s="38"/>
      <c r="S167" s="41"/>
      <c r="T167" s="38"/>
      <c r="U167" s="38"/>
      <c r="V167" s="38"/>
      <c r="W167" s="74"/>
      <c r="X167" s="77"/>
      <c r="Y167" s="77"/>
      <c r="Z167" s="74"/>
      <c r="AA167" s="76"/>
      <c r="AB167" s="76"/>
      <c r="AC167" s="74"/>
      <c r="AD167" s="76"/>
      <c r="AE167" s="76"/>
      <c r="AF167" s="76"/>
      <c r="AG167" s="74"/>
    </row>
    <row r="168" spans="1:33" ht="26.75" customHeight="1" ns3:dyDescent="0.2">
      <c r="A168" s="37">
        <v>71</v>
      </c>
      <c r="B168" s="38">
        <f t="shared" si="50"/>
        <v>1</v>
      </c>
      <c r="C168" s="55" t="s">
        <v>384</v>
      </c>
      <c r="D168" s="39" t="str">
        <f t="shared" si="41"/>
        <v xml:space="preserve">      O&amp;M Staff</v>
      </c>
      <c r="E168" s="39"/>
      <c r="F168" s="39"/>
      <c r="G168" s="39"/>
      <c r="H168" s="39"/>
      <c r="I168" s="39"/>
      <c r="J168" s="43"/>
      <c r="K168" s="60"/>
      <c r="L168" s="49"/>
      <c r="M168" s="58"/>
      <c r="N168" s="49"/>
      <c r="O168" s="49"/>
      <c r="P168" s="49"/>
      <c r="Q168" s="65"/>
      <c r="R168" s="49"/>
      <c r="S168" s="58"/>
      <c r="T168" s="49"/>
      <c r="U168" s="49"/>
      <c r="V168" s="49"/>
      <c r="W168" s="74"/>
      <c r="X168" s="77"/>
      <c r="Y168" s="77"/>
      <c r="Z168" s="74"/>
      <c r="AA168" s="76"/>
      <c r="AB168" s="76"/>
      <c r="AC168" s="74"/>
      <c r="AD168" s="76"/>
      <c r="AE168" s="76"/>
      <c r="AF168" s="76"/>
      <c r="AG168" s="74"/>
    </row>
    <row r="169" spans="1:33" ht="126.25" customHeight="1" ns3:dyDescent="0.2">
      <c r="A169" s="53">
        <v>711</v>
      </c>
      <c r="B169" s="38">
        <f t="shared" si="50"/>
        <v>2</v>
      </c>
      <c r="C169" s="55" t="s">
        <v>385</v>
      </c>
      <c r="D169" s="39" t="str">
        <f t="shared" ref="D169:D196" si="51">REPT("   ", B169*2) &amp; C169</f>
        <v xml:space="preserve">            Operators </v>
      </c>
      <c r="E169" s="39" t="s">
        <v>268</v>
      </c>
      <c r="F169" s="39"/>
      <c r="G169" s="39"/>
      <c r="H169" s="39"/>
      <c r="I169" s="39"/>
      <c r="J169" s="43"/>
      <c r="K169" s="60">
        <v>178500</v>
      </c>
      <c r="L169" s="49" t="s">
        <v>386</v>
      </c>
      <c r="M169" s="58" t="s">
        <v>387</v>
      </c>
      <c r="N169" s="49"/>
      <c r="O169" s="49"/>
      <c r="P169" s="49">
        <v>1</v>
      </c>
      <c r="Q169" s="65">
        <v>2024</v>
      </c>
      <c r="R169" s="49" t="s">
        <v>53</v>
      </c>
      <c r="S169" s="58"/>
      <c r="T169" s="58" t="s">
        <v>388</v>
      </c>
      <c r="U169" s="49"/>
      <c r="V169" s="49"/>
      <c r="W169" s="74" t="s">
        <v>43</v>
      </c>
      <c r="X169" s="77">
        <f>0.9*$J169</f>
        <v>0</v>
      </c>
      <c r="Y169" s="77">
        <f>1.5*J169</f>
        <v>0</v>
      </c>
      <c r="Z169" s="74" t="s">
        <v>44</v>
      </c>
      <c r="AA169" s="76">
        <f>0.9*K169</f>
        <v>160650</v>
      </c>
      <c r="AB169" s="76">
        <f>1.3*K169</f>
        <v>232050</v>
      </c>
      <c r="AC169" s="74" t="s">
        <v>44</v>
      </c>
      <c r="AD169" s="76" t="s">
        <v>45</v>
      </c>
      <c r="AE169" s="76" t="s">
        <v>46</v>
      </c>
      <c r="AF169" s="76" t="s">
        <v>47</v>
      </c>
      <c r="AG169" s="74" t="s">
        <v>48</v>
      </c>
    </row>
    <row r="170" spans="1:33" ht="53.25" customHeight="1" ns3:dyDescent="0.2">
      <c r="A170" s="53">
        <v>712</v>
      </c>
      <c r="B170" s="38">
        <f t="shared" si="50"/>
        <v>2</v>
      </c>
      <c r="C170" s="55" t="s">
        <v>389</v>
      </c>
      <c r="D170" s="39" t="str">
        <f t="shared" si="51"/>
        <v xml:space="preserve">            Remote Monitoring Technicians </v>
      </c>
      <c r="E170" s="39" t="s">
        <v>268</v>
      </c>
      <c r="F170" s="39" t="s">
        <v>390</v>
      </c>
      <c r="G170" s="39" t="s">
        <v>391</v>
      </c>
      <c r="H170" s="39"/>
      <c r="I170" s="39"/>
      <c r="J170" s="43"/>
      <c r="K170" s="60">
        <v>178500</v>
      </c>
      <c r="L170" s="49" t="s">
        <v>386</v>
      </c>
      <c r="M170" s="58" t="s">
        <v>392</v>
      </c>
      <c r="N170" s="49"/>
      <c r="O170" s="49"/>
      <c r="P170" s="49">
        <v>1</v>
      </c>
      <c r="Q170" s="65">
        <v>2024</v>
      </c>
      <c r="R170" s="49" t="s">
        <v>53</v>
      </c>
      <c r="S170" s="58"/>
      <c r="T170" s="58" t="s">
        <v>388</v>
      </c>
      <c r="U170" s="49"/>
      <c r="V170" s="49"/>
      <c r="W170" s="74" t="s">
        <v>43</v>
      </c>
      <c r="X170" s="77">
        <f>0.9*$J170</f>
        <v>0</v>
      </c>
      <c r="Y170" s="77">
        <f>1.5*J170</f>
        <v>0</v>
      </c>
      <c r="Z170" s="74" t="s">
        <v>44</v>
      </c>
      <c r="AA170" s="76">
        <f>0.9*K170</f>
        <v>160650</v>
      </c>
      <c r="AB170" s="76">
        <f>1.3*K170</f>
        <v>232050</v>
      </c>
      <c r="AC170" s="74" t="s">
        <v>44</v>
      </c>
      <c r="AD170" s="76" t="s">
        <v>45</v>
      </c>
      <c r="AE170" s="76" t="s">
        <v>46</v>
      </c>
      <c r="AF170" s="76" t="s">
        <v>47</v>
      </c>
      <c r="AG170" s="74" t="s">
        <v>48</v>
      </c>
    </row>
    <row r="171" spans="1:33" ht="151" customHeight="1" ns3:dyDescent="0.2">
      <c r="A171" s="53">
        <v>713</v>
      </c>
      <c r="B171" s="38">
        <f t="shared" si="50"/>
        <v>2</v>
      </c>
      <c r="C171" s="55" t="s">
        <v>393</v>
      </c>
      <c r="D171" s="39" t="str">
        <f t="shared" si="51"/>
        <v xml:space="preserve">            Security Staff </v>
      </c>
      <c r="E171" s="39" t="s">
        <v>268</v>
      </c>
      <c r="F171" s="39"/>
      <c r="G171" s="39"/>
      <c r="H171" s="39"/>
      <c r="I171" s="39"/>
      <c r="J171" s="43"/>
      <c r="K171" s="60">
        <v>178500</v>
      </c>
      <c r="L171" s="49" t="s">
        <v>386</v>
      </c>
      <c r="M171" s="58" t="s">
        <v>394</v>
      </c>
      <c r="N171" s="49"/>
      <c r="O171" s="49"/>
      <c r="P171" s="49">
        <v>1</v>
      </c>
      <c r="Q171" s="65">
        <v>2024</v>
      </c>
      <c r="R171" s="49" t="s">
        <v>53</v>
      </c>
      <c r="S171" s="58"/>
      <c r="T171" s="58" t="s">
        <v>388</v>
      </c>
      <c r="U171" s="49"/>
      <c r="V171" s="49"/>
      <c r="W171" s="74" t="s">
        <v>43</v>
      </c>
      <c r="X171" s="77">
        <f>0.9*$J171</f>
        <v>0</v>
      </c>
      <c r="Y171" s="77">
        <f>1.5*J171</f>
        <v>0</v>
      </c>
      <c r="Z171" s="74" t="s">
        <v>44</v>
      </c>
      <c r="AA171" s="76">
        <f>0.9*K171</f>
        <v>160650</v>
      </c>
      <c r="AB171" s="76">
        <f>1.3*K171</f>
        <v>232050</v>
      </c>
      <c r="AC171" s="74" t="s">
        <v>44</v>
      </c>
      <c r="AD171" s="76" t="s">
        <v>45</v>
      </c>
      <c r="AE171" s="76" t="s">
        <v>46</v>
      </c>
      <c r="AF171" s="76" t="s">
        <v>47</v>
      </c>
      <c r="AG171" s="74" t="s">
        <v>48</v>
      </c>
    </row>
    <row r="172" spans="1:33" ht="26.75" customHeight="1" ns3:dyDescent="0.2">
      <c r="A172" s="37">
        <v>72</v>
      </c>
      <c r="B172" s="38">
        <f t="shared" si="50"/>
        <v>1</v>
      </c>
      <c r="C172" s="55" t="s">
        <v>395</v>
      </c>
      <c r="D172" s="39" t="str">
        <f t="shared" si="51"/>
        <v xml:space="preserve">      Variable Non-Fuel Costs</v>
      </c>
      <c r="E172" s="39"/>
      <c r="F172" s="39"/>
      <c r="G172" s="39"/>
      <c r="H172" s="39"/>
      <c r="I172" s="39"/>
      <c r="J172" s="43"/>
      <c r="K172" s="60"/>
      <c r="L172" s="49"/>
      <c r="M172" s="58"/>
      <c r="N172" s="49"/>
      <c r="O172" s="49"/>
      <c r="P172" s="49"/>
      <c r="Q172" s="65"/>
      <c r="R172" s="49"/>
      <c r="S172" s="58"/>
      <c r="T172" s="58"/>
      <c r="U172" s="49"/>
      <c r="V172" s="49"/>
      <c r="W172" s="74"/>
      <c r="X172" s="77"/>
      <c r="Y172" s="77"/>
      <c r="Z172" s="74"/>
      <c r="AA172" s="76"/>
      <c r="AB172" s="76"/>
      <c r="AC172" s="74"/>
      <c r="AD172" s="76"/>
      <c r="AE172" s="76"/>
      <c r="AF172" s="76"/>
      <c r="AG172" s="74"/>
    </row>
    <row r="173" spans="1:33" ht="101.25" customHeight="1" ns3:dyDescent="0.2">
      <c r="A173" s="37">
        <v>721</v>
      </c>
      <c r="B173" s="38">
        <f t="shared" si="50"/>
        <v>2</v>
      </c>
      <c r="C173" s="55" t="s">
        <v>302</v>
      </c>
      <c r="D173" s="39" t="str">
        <f t="shared" si="51"/>
        <v xml:space="preserve">            Coolant</v>
      </c>
      <c r="E173" s="39" t="s">
        <v>268</v>
      </c>
      <c r="F173" s="39" t="s">
        <v>302</v>
      </c>
      <c r="G173" s="39" t="s">
        <v>303</v>
      </c>
      <c r="H173" s="39"/>
      <c r="I173" s="39"/>
      <c r="J173" s="43"/>
      <c r="K173" s="60">
        <v>170</v>
      </c>
      <c r="L173" s="49" t="s">
        <v>186</v>
      </c>
      <c r="M173" s="58" t="s">
        <v>396</v>
      </c>
      <c r="N173" s="49"/>
      <c r="O173" s="49" t="s">
        <v>188</v>
      </c>
      <c r="P173" s="49"/>
      <c r="Q173" s="65">
        <v>2024</v>
      </c>
      <c r="R173" s="49" t="s">
        <v>219</v>
      </c>
      <c r="S173" s="58" t="s">
        <v>305</v>
      </c>
      <c r="T173" s="62" t="s">
        <v>305</v>
      </c>
      <c r="U173" s="80" t="s">
        <v>306</v>
      </c>
      <c r="V173" s="49" t="s">
        <v>307</v>
      </c>
      <c r="W173" s="74" t="s">
        <v>43</v>
      </c>
      <c r="X173" s="77">
        <f>0.9*$J173</f>
        <v>0</v>
      </c>
      <c r="Y173" s="77">
        <f>1.5*J173</f>
        <v>0</v>
      </c>
      <c r="Z173" s="74" t="s">
        <v>44</v>
      </c>
      <c r="AA173" s="76">
        <f>0.9*K173</f>
        <v>153</v>
      </c>
      <c r="AB173" s="76">
        <f>1.3*K173</f>
        <v>221</v>
      </c>
      <c r="AC173" s="74" t="s">
        <v>44</v>
      </c>
      <c r="AD173" s="76" t="s">
        <v>45</v>
      </c>
      <c r="AE173" s="76" t="s">
        <v>46</v>
      </c>
      <c r="AF173" s="76" t="s">
        <v>47</v>
      </c>
      <c r="AG173" s="74" t="s">
        <v>48</v>
      </c>
    </row>
    <row r="174" spans="1:33" ht="51.75" customHeight="1" ns3:dyDescent="0.2">
      <c r="A174" s="37">
        <v>721</v>
      </c>
      <c r="B174" s="38">
        <f>IF(ISNUMBER(A174),
    IF(AND(A174=INT(A174), MOD(A174, 10) = 0), 0,
        IF(AND(A174=INT(A174), LEN(A174)=2), 1,
            IF(AND(A174=INT(A174), LEN(A174)=3), 2,
                LEN(A174) - FIND(".", A174) + 2)
        )
    ),
"")</f>
        <v>2</v>
      </c>
      <c r="C174" s="55" t="s">
        <v>302</v>
      </c>
      <c r="D174" s="39" t="str">
        <f t="shared" si="51"/>
        <v xml:space="preserve">            Coolant</v>
      </c>
      <c r="E174" s="39" t="s">
        <v>268</v>
      </c>
      <c r="F174" s="39" t="s">
        <v>302</v>
      </c>
      <c r="G174" s="39" t="s">
        <v>308</v>
      </c>
      <c r="H174" s="39"/>
      <c r="I174" s="39"/>
      <c r="J174" s="43"/>
      <c r="K174" s="60">
        <v>118</v>
      </c>
      <c r="L174" s="49" t="s">
        <v>186</v>
      </c>
      <c r="M174" s="58" t="s">
        <v>396</v>
      </c>
      <c r="N174" s="49"/>
      <c r="O174" s="49" t="s">
        <v>188</v>
      </c>
      <c r="P174" s="49"/>
      <c r="Q174" s="65">
        <v>2023</v>
      </c>
      <c r="R174" s="49" t="s">
        <v>219</v>
      </c>
      <c r="S174" s="221" t="s">
        <v>397</v>
      </c>
      <c r="T174" s="220"/>
      <c r="U174" s="80"/>
      <c r="V174" s="219" t="s">
        <v>398</v>
      </c>
      <c r="W174" s="74" t="s">
        <v>43</v>
      </c>
      <c r="X174" s="77">
        <f>0.9*$J174</f>
        <v>0</v>
      </c>
      <c r="Y174" s="77">
        <f>1.5*J174</f>
        <v>0</v>
      </c>
      <c r="Z174" s="74" t="s">
        <v>44</v>
      </c>
      <c r="AA174" s="76">
        <f>0.9*K174</f>
        <v>106.2</v>
      </c>
      <c r="AB174" s="76">
        <f>1.3*K174</f>
        <v>153.4</v>
      </c>
      <c r="AC174" s="74" t="s">
        <v>44</v>
      </c>
      <c r="AD174" s="76" t="s">
        <v>45</v>
      </c>
      <c r="AE174" s="76" t="s">
        <v>46</v>
      </c>
      <c r="AF174" s="76" t="s">
        <v>47</v>
      </c>
      <c r="AG174" s="74" t="s">
        <v>48</v>
      </c>
    </row>
    <row r="175" spans="1:33" ht="275.75" customHeight="1" ns3:dyDescent="0.2">
      <c r="A175" s="37">
        <v>73</v>
      </c>
      <c r="B175" s="38">
        <f t="shared" ref="B175:B183" si="52">IF(ISNUMBER(A175),
IF(AND(A175=INT(A175), MOD(A175, 10) = 0), 0,
IF(AND(A175=INT(A175), LEN(A175)=2), 1,
IF(AND(A175=INT(A175), LEN(A175)=3), 2,
LEN(A175) - FIND(".", A175) + 2)
)
),
"")</f>
        <v>1</v>
      </c>
      <c r="C175" s="55" t="s">
        <v>399</v>
      </c>
      <c r="D175" s="39" t="str">
        <f t="shared" si="51"/>
        <v xml:space="preserve">      Regulatory Costs</v>
      </c>
      <c r="E175" s="39" t="s">
        <v>35</v>
      </c>
      <c r="F175" s="39"/>
      <c r="G175" s="39"/>
      <c r="H175" s="39"/>
      <c r="I175" s="39"/>
      <c r="J175" s="43">
        <f>(2/100)*5359000</f>
        <v>107180</v>
      </c>
      <c r="K175" s="60"/>
      <c r="L175" s="49"/>
      <c r="M175" s="58"/>
      <c r="N175" s="49"/>
      <c r="O175" s="49"/>
      <c r="P175" s="49"/>
      <c r="Q175" s="65">
        <v>2024</v>
      </c>
      <c r="R175" s="49" t="s">
        <v>53</v>
      </c>
      <c r="S175" s="221" t="s">
        <v>400</v>
      </c>
      <c r="T175" s="220" t="s">
        <v>401</v>
      </c>
      <c r="U175" s="80" t="s">
        <v>401</v>
      </c>
      <c r="V175" s="219"/>
      <c r="W175" s="3" t="s">
        <v>59</v>
      </c>
      <c r="X175" s="77">
        <f>0.9*$J175</f>
        <v>96462</v>
      </c>
      <c r="Y175" s="77">
        <f>1.5*J175</f>
        <v>160770</v>
      </c>
      <c r="Z175" s="74" t="s">
        <v>44</v>
      </c>
      <c r="AA175" s="76"/>
      <c r="AB175" s="76"/>
      <c r="AC175" s="74"/>
      <c r="AD175" s="76"/>
      <c r="AE175" s="76"/>
      <c r="AF175" s="76"/>
      <c r="AG175" s="74"/>
    </row>
    <row r="176" spans="1:33" ht="225.75" customHeight="1" ns3:dyDescent="0.2">
      <c r="A176" s="37">
        <v>75</v>
      </c>
      <c r="B176" s="38">
        <f t="shared" si="52"/>
        <v>1</v>
      </c>
      <c r="C176" s="55" t="s">
        <v>402</v>
      </c>
      <c r="D176" s="39" t="str">
        <f t="shared" si="51"/>
        <v xml:space="preserve">      Capital Plant Expenditures</v>
      </c>
      <c r="E176" s="39"/>
      <c r="F176" s="39"/>
      <c r="G176" s="39"/>
      <c r="H176" s="39"/>
      <c r="I176" s="39"/>
      <c r="J176" s="43"/>
      <c r="K176" s="60"/>
      <c r="L176" s="49"/>
      <c r="M176" s="58"/>
      <c r="N176" s="49"/>
      <c r="O176" s="49"/>
      <c r="P176" s="49"/>
      <c r="Q176" s="65"/>
      <c r="R176" s="49"/>
      <c r="S176" s="221" t="s">
        <v>403</v>
      </c>
      <c r="T176" s="221" t="s">
        <v>403</v>
      </c>
      <c r="U176" s="49"/>
      <c r="V176" s="221" t="s">
        <v>404</v>
      </c>
      <c r="W176" s="74"/>
      <c r="X176" s="77"/>
      <c r="Y176" s="77"/>
      <c r="Z176" s="74"/>
      <c r="AA176" s="76"/>
      <c r="AB176" s="76"/>
      <c r="AC176" s="74"/>
      <c r="AD176" s="76"/>
      <c r="AE176" s="76"/>
      <c r="AF176" s="76"/>
      <c r="AG176" s="74"/>
    </row>
    <row r="177" spans="1:33" ht="22.75" customHeight="1" ns3:dyDescent="0.2">
      <c r="A177" s="37">
        <v>751</v>
      </c>
      <c r="B177" s="38">
        <f t="shared" si="52"/>
        <v>2</v>
      </c>
      <c r="C177" s="55" t="s">
        <v>405</v>
      </c>
      <c r="D177" s="39" t="str">
        <f t="shared" si="51"/>
        <v xml:space="preserve">            Annualized Outer Vessel Structure Replacements</v>
      </c>
      <c r="E177" s="39"/>
      <c r="F177" s="39"/>
      <c r="G177" s="39"/>
      <c r="H177" s="39"/>
      <c r="I177" s="39"/>
      <c r="J177" s="43"/>
      <c r="K177" s="60"/>
      <c r="L177" s="49"/>
      <c r="M177" s="58"/>
      <c r="N177" s="49"/>
      <c r="O177" s="49"/>
      <c r="P177" s="49"/>
      <c r="Q177" s="65"/>
      <c r="R177" s="49"/>
      <c r="S177" s="220" t="s">
        <v>403</v>
      </c>
      <c r="T177" s="220" t="s">
        <v>403</v>
      </c>
      <c r="U177" s="49"/>
      <c r="V177" s="220" t="s">
        <v>404</v>
      </c>
      <c r="W177" s="74"/>
      <c r="X177" s="77"/>
      <c r="Y177" s="77"/>
      <c r="Z177" s="74"/>
      <c r="AA177" s="76"/>
      <c r="AB177" s="76"/>
      <c r="AC177" s="74"/>
      <c r="AD177" s="76"/>
      <c r="AE177" s="76"/>
      <c r="AF177" s="76"/>
      <c r="AG177" s="74"/>
    </row>
    <row r="178" spans="1:33" ht="26.75" customHeight="1" ns3:dyDescent="0.2">
      <c r="A178" s="37">
        <v>752</v>
      </c>
      <c r="B178" s="38">
        <f t="shared" si="52"/>
        <v>2</v>
      </c>
      <c r="C178" s="55" t="s">
        <v>406</v>
      </c>
      <c r="D178" s="39" t="str">
        <f t="shared" si="51"/>
        <v xml:space="preserve">            Annualized Inner Vessel Structure Replacements</v>
      </c>
      <c r="E178" s="39"/>
      <c r="F178" s="39"/>
      <c r="G178" s="39"/>
      <c r="H178" s="39"/>
      <c r="I178" s="39"/>
      <c r="J178" s="43"/>
      <c r="K178" s="60"/>
      <c r="L178" s="49"/>
      <c r="M178" s="58"/>
      <c r="N178" s="49"/>
      <c r="O178" s="49"/>
      <c r="P178" s="49"/>
      <c r="Q178" s="65"/>
      <c r="R178" s="49"/>
      <c r="S178" s="216"/>
      <c r="T178" s="216"/>
      <c r="U178" s="49"/>
      <c r="V178" s="216"/>
      <c r="W178" s="74"/>
      <c r="X178" s="77"/>
      <c r="Y178" s="77"/>
      <c r="Z178" s="74"/>
      <c r="AA178" s="76"/>
      <c r="AB178" s="76"/>
      <c r="AC178" s="74"/>
      <c r="AD178" s="76"/>
      <c r="AE178" s="76"/>
      <c r="AF178" s="76"/>
      <c r="AG178" s="74"/>
    </row>
    <row r="179" spans="1:33" ht="26.75" customHeight="1" ns3:dyDescent="0.2">
      <c r="A179" s="37">
        <v>753</v>
      </c>
      <c r="B179" s="38">
        <f t="shared" si="52"/>
        <v>2</v>
      </c>
      <c r="C179" s="55" t="s">
        <v>407</v>
      </c>
      <c r="D179" s="39" t="str">
        <f t="shared" si="51"/>
        <v xml:space="preserve">            Annualized Moderator Replacements</v>
      </c>
      <c r="E179" s="39"/>
      <c r="F179" s="39"/>
      <c r="G179" s="39"/>
      <c r="H179" s="39"/>
      <c r="I179" s="39"/>
      <c r="J179" s="43"/>
      <c r="K179" s="60"/>
      <c r="L179" s="49"/>
      <c r="M179" s="58"/>
      <c r="N179" s="49"/>
      <c r="O179" s="49"/>
      <c r="P179" s="49"/>
      <c r="Q179" s="65"/>
      <c r="R179" s="49"/>
      <c r="S179" s="216"/>
      <c r="T179" s="216"/>
      <c r="U179" s="49"/>
      <c r="V179" s="216"/>
      <c r="W179" s="74"/>
      <c r="X179" s="77"/>
      <c r="Y179" s="77"/>
      <c r="Z179" s="74"/>
      <c r="AA179" s="76"/>
      <c r="AB179" s="76"/>
      <c r="AC179" s="74"/>
      <c r="AD179" s="76"/>
      <c r="AE179" s="76"/>
      <c r="AF179" s="76"/>
      <c r="AG179" s="74"/>
    </row>
    <row r="180" spans="1:33" ht="26.75" customHeight="1" ns3:dyDescent="0.2">
      <c r="A180" s="37">
        <v>754</v>
      </c>
      <c r="B180" s="38">
        <f t="shared" si="52"/>
        <v>2</v>
      </c>
      <c r="C180" s="55" t="s">
        <v>408</v>
      </c>
      <c r="D180" s="39" t="str">
        <f t="shared" si="51"/>
        <v xml:space="preserve">            Annualized Reflector Replacements</v>
      </c>
      <c r="E180" s="39"/>
      <c r="F180" s="39"/>
      <c r="G180" s="39"/>
      <c r="H180" s="39"/>
      <c r="I180" s="39"/>
      <c r="J180" s="43"/>
      <c r="K180" s="60"/>
      <c r="L180" s="49"/>
      <c r="M180" s="58"/>
      <c r="N180" s="49"/>
      <c r="O180" s="49"/>
      <c r="P180" s="49"/>
      <c r="Q180" s="65"/>
      <c r="R180" s="49"/>
      <c r="S180" s="216"/>
      <c r="T180" s="216"/>
      <c r="U180" s="49"/>
      <c r="V180" s="216"/>
      <c r="W180" s="74"/>
      <c r="X180" s="77"/>
      <c r="Y180" s="77"/>
      <c r="Z180" s="74"/>
      <c r="AA180" s="76"/>
      <c r="AB180" s="76"/>
      <c r="AC180" s="74"/>
      <c r="AD180" s="76"/>
      <c r="AE180" s="76"/>
      <c r="AF180" s="76"/>
      <c r="AG180" s="74"/>
    </row>
    <row r="181" spans="1:33" ht="51.75" customHeight="1" ns3:dyDescent="0.2">
      <c r="A181" s="37">
        <v>755</v>
      </c>
      <c r="B181" s="38">
        <f t="shared" si="52"/>
        <v>2</v>
      </c>
      <c r="C181" s="55" t="s">
        <v>409</v>
      </c>
      <c r="D181" s="39" t="str">
        <f t="shared" si="51"/>
        <v xml:space="preserve">            Annualized Reactor Control Devices Replacements</v>
      </c>
      <c r="E181" s="39"/>
      <c r="F181" s="39"/>
      <c r="G181" s="39"/>
      <c r="H181" s="39"/>
      <c r="I181" s="39"/>
      <c r="J181" s="43"/>
      <c r="K181" s="60"/>
      <c r="L181" s="49"/>
      <c r="M181" s="58"/>
      <c r="N181" s="49"/>
      <c r="O181" s="49"/>
      <c r="P181" s="49"/>
      <c r="Q181" s="65"/>
      <c r="R181" s="49"/>
      <c r="S181" s="204"/>
      <c r="T181" s="204"/>
      <c r="U181" s="49"/>
      <c r="V181" s="204"/>
      <c r="W181" s="74"/>
      <c r="X181" s="77"/>
      <c r="Y181" s="77"/>
      <c r="Z181" s="74"/>
      <c r="AA181" s="76"/>
      <c r="AB181" s="76"/>
      <c r="AC181" s="74"/>
      <c r="AD181" s="76"/>
      <c r="AE181" s="76"/>
      <c r="AF181" s="76"/>
      <c r="AG181" s="74"/>
    </row>
    <row r="182" spans="1:33" ht="45.25" customHeight="1" ns3:dyDescent="0.2">
      <c r="A182" s="37">
        <v>756</v>
      </c>
      <c r="B182" s="38">
        <v>2</v>
      </c>
      <c r="C182" s="55" t="inlineStr">
        <is>
          <t>Annualized Integrated Heat Transfer Vessel Replacements</t>
        </is>
      </c>
      <c r="D182" s="39" t="inlineStr">
        <is>
          <t xml:space="preserve">            Annualized Integrated Heat Transfer Vessel Replacements</t>
        </is>
      </c>
      <c r="E182" s="39"/>
      <c r="F182" s="39"/>
      <c r="G182" s="39"/>
      <c r="H182" s="39"/>
      <c r="I182" s="39"/>
      <c r="J182" s="43"/>
      <c r="K182" s="60"/>
      <c r="L182" s="49"/>
      <c r="M182" s="58"/>
      <c r="N182" s="49"/>
      <c r="O182" s="49"/>
      <c r="P182" s="49"/>
      <c r="Q182" s="65"/>
      <c r="R182" s="49"/>
      <c r="S182" s="204"/>
      <c r="T182" s="204"/>
      <c r="U182" s="49"/>
      <c r="V182" s="204"/>
      <c r="W182" s="74"/>
      <c r="X182" s="77"/>
      <c r="Y182" s="77"/>
      <c r="Z182" s="74"/>
      <c r="AA182" s="76"/>
      <c r="AB182" s="76"/>
      <c r="AC182" s="74"/>
      <c r="AD182" s="76"/>
      <c r="AE182" s="76"/>
      <c r="AF182" s="76"/>
      <c r="AG182" s="74"/>
    </row>
    <row r="183" spans="1:33" ht="45.25" customHeight="1" ns3:dyDescent="0.2">
      <c r="A183" s="37">
        <v>757</v>
      </c>
      <c r="B183" s="38">
        <f t="shared" si="52"/>
        <v>2</v>
      </c>
      <c r="C183" s="55" t="s">
        <v>410</v>
      </c>
      <c r="D183" s="39" t="str">
        <f t="shared" si="51"/>
        <v xml:space="preserve">            Annualized Moderator Booster Replacements</v>
      </c>
      <c r="E183" s="39"/>
      <c r="F183" s="39"/>
      <c r="G183" s="39"/>
      <c r="H183" s="39"/>
      <c r="I183" s="39"/>
      <c r="J183" s="43"/>
      <c r="K183" s="60"/>
      <c r="L183" s="49"/>
      <c r="M183" s="58"/>
      <c r="N183" s="49"/>
      <c r="O183" s="49"/>
      <c r="P183" s="49"/>
      <c r="Q183" s="65"/>
      <c r="R183" s="49"/>
      <c r="S183" s="204"/>
      <c r="T183" s="204"/>
      <c r="U183" s="49"/>
      <c r="V183" s="204"/>
      <c r="W183" s="74"/>
      <c r="X183" s="77"/>
      <c r="Y183" s="77"/>
      <c r="Z183" s="74"/>
      <c r="AA183" s="76"/>
      <c r="AB183" s="76"/>
      <c r="AC183" s="74"/>
      <c r="AD183" s="76"/>
      <c r="AE183" s="76"/>
      <c r="AF183" s="76"/>
      <c r="AG183" s="74"/>
    </row>
    <row r="184" spans="1:33" ht="45.25" customHeight="1" ns3:dyDescent="0.2">
      <c r="A184" s="37">
        <v>759</v>
      </c>
      <c r="B184" s="38">
        <f t="shared" si="52"/>
        <v>2</v>
      </c>
      <c r="C184" s="55" t="s">
        <v>411</v>
      </c>
      <c r="D184" s="39" t="str">
        <f t="shared" si="51"/>
        <v xml:space="preserve">            Annualized Plant Maintenance (Misc.)</v>
      </c>
      <c r="E184" s="39"/>
      <c r="F184" s="39"/>
      <c r="G184" s="39"/>
      <c r="H184" s="39"/>
      <c r="I184" s="39"/>
      <c r="J184" s="43"/>
      <c r="K184" s="60"/>
      <c r="L184" s="49"/>
      <c r="M184" s="58"/>
      <c r="N184" s="49"/>
      <c r="O184" s="49"/>
      <c r="P184" s="49"/>
      <c r="Q184" s="65"/>
      <c r="R184" s="49"/>
      <c r="S184" s="205"/>
      <c r="T184" s="205"/>
      <c r="U184" s="49"/>
      <c r="V184" s="205"/>
      <c r="W184" s="74"/>
      <c r="X184" s="77"/>
      <c r="Y184" s="77"/>
      <c r="Z184" s="74"/>
      <c r="AA184" s="76"/>
      <c r="AB184" s="76"/>
      <c r="AC184" s="74"/>
      <c r="AD184" s="76"/>
      <c r="AE184" s="76"/>
      <c r="AF184" s="76"/>
      <c r="AG184" s="74"/>
    </row>
    <row r="185" spans="1:33" ht="56" customHeight="1" ns3:dyDescent="0.2">
      <c r="A185" s="37">
        <v>759.1</v>
      </c>
      <c r="B185" s="38">
        <f t="shared" ref="B184:B191" si="53">IF(ISNUMBER(A185),IF(AND(A185=INT(A185),MOD(A185,10)=0),0,IF(AND(A185=INT(A185),LEN(A185)=2),1,IF(AND(A185=INT(A185),LEN(A185)=3),2,LEN(A185)-FIND(".",A185)+2))),"")</f>
        <v>3</v>
      </c>
      <c r="C185" s="55" t="s">
        <v>412</v>
      </c>
      <c r="D185" s="39" t="str">
        <f t="shared" ref="D184:D191" si="54">REPT("   ",B185*2)&amp;C185</f>
        <v xml:space="preserve">                  Annualized Building and Structural Maintenance (Accounts 212–215)</v>
      </c>
      <c r="E185" s="39"/>
      <c r="F185" s="39"/>
      <c r="G185" s="39"/>
      <c r="H185" s="39"/>
      <c r="I185" s="39"/>
      <c r="J185" s="43"/>
      <c r="K185" s="60"/>
      <c r="L185" s="49"/>
      <c r="M185" s="58"/>
      <c r="N185" s="49"/>
      <c r="O185" s="49"/>
      <c r="P185" s="49"/>
      <c r="Q185" s="65"/>
      <c r="R185" s="49"/>
      <c r="S185" s="205"/>
      <c r="T185" s="205"/>
      <c r="U185" s="49"/>
      <c r="V185" s="205"/>
      <c r="W185" s="74"/>
      <c r="X185" s="77"/>
      <c r="Y185" s="77"/>
      <c r="Z185" s="74"/>
      <c r="AA185" s="76"/>
      <c r="AB185" s="76"/>
      <c r="AC185" s="74"/>
      <c r="AD185" s="76"/>
      <c r="AE185" s="76"/>
      <c r="AF185" s="76"/>
      <c r="AG185" s="74"/>
    </row>
    <row r="186" spans="1:33" ht="56" customHeight="1" ns3:dyDescent="0.2">
      <c r="A186" s="37">
        <v>759.2</v>
      </c>
      <c r="B186" s="38">
        <f t="shared" si="53"/>
        <v>3</v>
      </c>
      <c r="C186" s="55" t="s">
        <v>413</v>
      </c>
      <c r="D186" s="39" t="str">
        <f t="shared" si="54"/>
        <v xml:space="preserve">                  Annualized Main Heat Transport System Maintenance (Accounts 222.1–222.3 and 222.6)</v>
      </c>
      <c r="E186" s="39"/>
      <c r="F186" s="39"/>
      <c r="G186" s="39"/>
      <c r="H186" s="39"/>
      <c r="I186" s="39"/>
      <c r="J186" s="43"/>
      <c r="K186" s="60"/>
      <c r="L186" s="49"/>
      <c r="M186" s="58"/>
      <c r="N186" s="49"/>
      <c r="O186" s="49"/>
      <c r="P186" s="49"/>
      <c r="Q186" s="65"/>
      <c r="R186" s="49"/>
      <c r="S186" s="205"/>
      <c r="T186" s="205"/>
      <c r="U186" s="49"/>
      <c r="V186" s="205"/>
      <c r="W186" s="74"/>
      <c r="X186" s="77"/>
      <c r="Y186" s="77"/>
      <c r="Z186" s="74"/>
      <c r="AA186" s="76"/>
      <c r="AB186" s="76"/>
      <c r="AC186" s="74"/>
      <c r="AD186" s="76"/>
      <c r="AE186" s="76"/>
      <c r="AF186" s="76"/>
      <c r="AG186" s="74"/>
    </row>
    <row r="187" spans="1:33" ht="56" customHeight="1" ns3:dyDescent="0.2">
      <c r="A187" s="37">
        <v>759.3</v>
      </c>
      <c r="B187" s="38">
        <f t="shared" si="53"/>
        <v>3</v>
      </c>
      <c r="C187" s="55" t="s">
        <v>414</v>
      </c>
      <c r="D187" s="39" t="str">
        <f t="shared" si="54"/>
        <v xml:space="preserve">                  Annualized Safety System Maintenance (Account 223)</v>
      </c>
      <c r="E187" s="39"/>
      <c r="F187" s="39"/>
      <c r="G187" s="39"/>
      <c r="H187" s="39"/>
      <c r="I187" s="39"/>
      <c r="J187" s="43"/>
      <c r="K187" s="60"/>
      <c r="L187" s="49"/>
      <c r="M187" s="58"/>
      <c r="N187" s="49"/>
      <c r="O187" s="49"/>
      <c r="P187" s="49"/>
      <c r="Q187" s="65"/>
      <c r="R187" s="49"/>
      <c r="S187" s="205"/>
      <c r="T187" s="205"/>
      <c r="U187" s="49"/>
      <c r="V187" s="205"/>
      <c r="W187" s="74"/>
      <c r="X187" s="77"/>
      <c r="Y187" s="77"/>
      <c r="Z187" s="74"/>
      <c r="AA187" s="76"/>
      <c r="AB187" s="76"/>
      <c r="AC187" s="74"/>
      <c r="AD187" s="76"/>
      <c r="AE187" s="76"/>
      <c r="AF187" s="76"/>
      <c r="AG187" s="74"/>
    </row>
    <row r="188" spans="1:33" ht="56" customHeight="1" ns3:dyDescent="0.2">
      <c r="A188" s="37">
        <v>759.4</v>
      </c>
      <c r="B188" s="38">
        <f t="shared" si="53"/>
        <v>3</v>
      </c>
      <c r="C188" s="55" t="s">
        <v>415</v>
      </c>
      <c r="D188" s="39" t="str">
        <f t="shared" si="54"/>
        <v xml:space="preserve">                  Annualized Reactor Plant Equipment Maintenance (Accounts 221.11, 226, and 228)</v>
      </c>
      <c r="E188" s="39"/>
      <c r="F188" s="39"/>
      <c r="G188" s="39"/>
      <c r="H188" s="39"/>
      <c r="I188" s="39"/>
      <c r="J188" s="43"/>
      <c r="K188" s="60"/>
      <c r="L188" s="49"/>
      <c r="M188" s="58"/>
      <c r="N188" s="49"/>
      <c r="O188" s="49"/>
      <c r="P188" s="49"/>
      <c r="Q188" s="65"/>
      <c r="R188" s="49"/>
      <c r="S188" s="205"/>
      <c r="T188" s="205"/>
      <c r="U188" s="49"/>
      <c r="V188" s="205"/>
      <c r="W188" s="74"/>
      <c r="X188" s="77"/>
      <c r="Y188" s="77"/>
      <c r="Z188" s="74"/>
      <c r="AA188" s="76"/>
      <c r="AB188" s="76"/>
      <c r="AC188" s="74"/>
      <c r="AD188" s="76"/>
      <c r="AE188" s="76"/>
      <c r="AF188" s="76"/>
      <c r="AG188" s="74"/>
    </row>
    <row r="189" spans="1:33" ht="56" customHeight="1" ns3:dyDescent="0.2">
      <c r="A189" s="37">
        <v>759.5</v>
      </c>
      <c r="B189" s="38">
        <f t="shared" si="53"/>
        <v>3</v>
      </c>
      <c r="C189" s="55" t="s">
        <v>416</v>
      </c>
      <c r="D189" s="39" t="str">
        <f t="shared" si="54"/>
        <v xml:space="preserve">                  Annualized Reactor I&amp;C Maintenance (Account 227)</v>
      </c>
      <c r="E189" s="39"/>
      <c r="F189" s="39"/>
      <c r="G189" s="39"/>
      <c r="H189" s="39"/>
      <c r="I189" s="39"/>
      <c r="J189" s="43"/>
      <c r="K189" s="60"/>
      <c r="L189" s="49"/>
      <c r="M189" s="58"/>
      <c r="N189" s="49"/>
      <c r="O189" s="49"/>
      <c r="P189" s="49"/>
      <c r="Q189" s="65"/>
      <c r="R189" s="49"/>
      <c r="S189" s="205"/>
      <c r="T189" s="205"/>
      <c r="U189" s="49"/>
      <c r="V189" s="205"/>
      <c r="W189" s="74"/>
      <c r="X189" s="77"/>
      <c r="Y189" s="77"/>
      <c r="Z189" s="74"/>
      <c r="AA189" s="76"/>
      <c r="AB189" s="76"/>
      <c r="AC189" s="74"/>
      <c r="AD189" s="76"/>
      <c r="AE189" s="76"/>
      <c r="AF189" s="76"/>
      <c r="AG189" s="74"/>
    </row>
    <row r="190" spans="1:33" ht="56" customHeight="1" ns3:dyDescent="0.2">
      <c r="A190" s="37">
        <v>759.6</v>
      </c>
      <c r="B190" s="38">
        <f t="shared" si="53"/>
        <v>3</v>
      </c>
      <c r="C190" s="55" t="s">
        <v>417</v>
      </c>
      <c r="D190" s="39" t="str">
        <f t="shared" si="54"/>
        <v xml:space="preserve">                  Annualized Energy Conversion System Maintenance (Account 23)</v>
      </c>
      <c r="E190" s="39"/>
      <c r="F190" s="39"/>
      <c r="G190" s="39"/>
      <c r="H190" s="39"/>
      <c r="I190" s="39"/>
      <c r="J190" s="43"/>
      <c r="K190" s="60"/>
      <c r="L190" s="49"/>
      <c r="M190" s="58"/>
      <c r="N190" s="49"/>
      <c r="O190" s="49"/>
      <c r="P190" s="49"/>
      <c r="Q190" s="65"/>
      <c r="R190" s="49"/>
      <c r="S190" s="205"/>
      <c r="T190" s="205"/>
      <c r="U190" s="49"/>
      <c r="V190" s="205"/>
      <c r="W190" s="74"/>
      <c r="X190" s="77"/>
      <c r="Y190" s="77"/>
      <c r="Z190" s="74"/>
      <c r="AA190" s="76"/>
      <c r="AB190" s="76"/>
      <c r="AC190" s="74"/>
      <c r="AD190" s="76"/>
      <c r="AE190" s="76"/>
      <c r="AF190" s="76"/>
      <c r="AG190" s="74"/>
    </row>
    <row r="191" spans="1:33" ht="56" customHeight="1" ns3:dyDescent="0.2">
      <c r="A191" s="37">
        <v>759.7</v>
      </c>
      <c r="B191" s="38">
        <f t="shared" si="53"/>
        <v>3</v>
      </c>
      <c r="C191" s="55" t="s">
        <v>418</v>
      </c>
      <c r="D191" s="39" t="str">
        <f t="shared" si="54"/>
        <v xml:space="preserve">                  Annualized Electrical Equipment Maintenance (Account 24)</v>
      </c>
      <c r="E191" s="39"/>
      <c r="F191" s="39"/>
      <c r="G191" s="39"/>
      <c r="H191" s="39"/>
      <c r="I191" s="39"/>
      <c r="J191" s="43"/>
      <c r="K191" s="60"/>
      <c r="L191" s="49"/>
      <c r="M191" s="58"/>
      <c r="N191" s="49"/>
      <c r="O191" s="49"/>
      <c r="P191" s="49"/>
      <c r="Q191" s="65"/>
      <c r="R191" s="49"/>
      <c r="S191" s="205"/>
      <c r="T191" s="205"/>
      <c r="U191" s="49"/>
      <c r="V191" s="205"/>
      <c r="W191" s="74"/>
      <c r="X191" s="77"/>
      <c r="Y191" s="77"/>
      <c r="Z191" s="74"/>
      <c r="AA191" s="76"/>
      <c r="AB191" s="76"/>
      <c r="AC191" s="74"/>
      <c r="AD191" s="76"/>
      <c r="AE191" s="76"/>
      <c r="AF191" s="76"/>
      <c r="AG191" s="74"/>
    </row>
    <row r="192" spans="1:33" ht="56" customHeight="1" ns3:dyDescent="0.2">
      <c r="A192" s="37">
        <v>759.8</v>
      </c>
      <c r="B192" s="38">
        <f t="shared" si="53"/>
        <v>3</v>
      </c>
      <c r="C192" s="55" t="s">
        <v>419</v>
      </c>
      <c r="D192" s="39" t="str">
        <f t="shared" si="54"/>
        <v xml:space="preserve">                  Annualized Miscellaneous Equipment Maintenance (Account 26)</v>
      </c>
      <c r="E192" s="39"/>
      <c r="F192" s="39"/>
      <c r="G192" s="39"/>
      <c r="H192" s="39"/>
      <c r="I192" s="39"/>
      <c r="J192" s="43"/>
      <c r="K192" s="60"/>
      <c r="L192" s="49"/>
      <c r="M192" s="58"/>
      <c r="N192" s="49"/>
      <c r="O192" s="49"/>
      <c r="P192" s="49"/>
      <c r="Q192" s="65"/>
      <c r="R192" s="49"/>
      <c r="S192" s="205"/>
      <c r="T192" s="205"/>
      <c r="U192" s="49"/>
      <c r="V192" s="205"/>
      <c r="W192" s="74"/>
      <c r="X192" s="77"/>
      <c r="Y192" s="77"/>
      <c r="Z192" s="74"/>
      <c r="AA192" s="76"/>
      <c r="AB192" s="76"/>
      <c r="AC192" s="74"/>
      <c r="AD192" s="76"/>
      <c r="AE192" s="76"/>
      <c r="AF192" s="76"/>
      <c r="AG192" s="74"/>
    </row>
    <row r="193" spans="1:33" ht="53.25" customHeight="1" ns3:dyDescent="0.2">
      <c r="A193" s="37">
        <v>78</v>
      </c>
      <c r="B193" s="38">
        <f>IF(ISNUMBER(A193),
    IF(AND(A193=INT(A193), MOD(A193, 10) = 0), 0,
        IF(AND(A193=INT(A193), LEN(A193)=2), 1,
            IF(AND(A193=INT(A193), LEN(A193)=3), 2,
                LEN(A193) - FIND(".", A193) + 2)
        )
    ),
"")</f>
        <v>1</v>
      </c>
      <c r="C193" s="55" t="s">
        <v>420</v>
      </c>
      <c r="D193" s="39" t="str">
        <f t="shared" si="51"/>
        <v xml:space="preserve">      Annualized Decommissioning Cost</v>
      </c>
      <c r="E193" s="39"/>
      <c r="F193" s="39"/>
      <c r="G193" s="39"/>
      <c r="H193" s="39"/>
      <c r="I193" s="39"/>
      <c r="J193" s="43"/>
      <c r="K193" s="70"/>
      <c r="L193" s="49"/>
      <c r="M193" s="45"/>
      <c r="N193" s="49"/>
      <c r="O193" s="49"/>
      <c r="P193" s="49"/>
      <c r="Q193" s="65"/>
      <c r="R193" s="49"/>
      <c r="S193" s="58"/>
      <c r="T193" s="58"/>
      <c r="U193" s="49"/>
      <c r="V193" s="58" t="s">
        <v>421</v>
      </c>
      <c r="W193" s="74"/>
      <c r="X193" s="77"/>
      <c r="Y193" s="77"/>
      <c r="Z193" s="74"/>
      <c r="AA193" s="76"/>
      <c r="AB193" s="76"/>
      <c r="AC193" s="74"/>
      <c r="AD193" s="76"/>
      <c r="AE193" s="76"/>
      <c r="AF193" s="76"/>
      <c r="AG193" s="74"/>
    </row>
    <row r="194" spans="1:33" ht="26.75" customHeight="1" ns3:dyDescent="0.2">
      <c r="A194" s="37">
        <v>80</v>
      </c>
      <c r="B194" s="38">
        <f>IF(ISNUMBER(A194),
IF(AND(A194=INT(A194), MOD(A194, 10) = 0), 0,
IF(AND(A194=INT(A194), LEN(A194)=2), 1,
IF(AND(A194=INT(A194), LEN(A194)=3), 2,
LEN(A194) - FIND(".", A194) + 2)
)
),
"")</f>
        <v>0</v>
      </c>
      <c r="C194" s="69" t="s">
        <v>422</v>
      </c>
      <c r="D194" s="39" t="str">
        <f t="shared" si="51"/>
        <v>Annualized Fuel Cost</v>
      </c>
      <c r="E194" s="39"/>
      <c r="F194" s="39"/>
      <c r="G194" s="39"/>
      <c r="H194" s="39"/>
      <c r="I194" s="39"/>
      <c r="J194" s="40"/>
      <c r="K194" s="40"/>
      <c r="L194" s="38"/>
      <c r="M194" s="41"/>
      <c r="N194" s="38"/>
      <c r="O194" s="38"/>
      <c r="P194" s="38"/>
      <c r="Q194" s="40"/>
      <c r="R194" s="38"/>
      <c r="S194" s="41"/>
      <c r="T194" s="38"/>
      <c r="U194" s="38"/>
      <c r="V194" s="38"/>
      <c r="W194" s="74"/>
      <c r="X194" s="77"/>
      <c r="Y194" s="77"/>
      <c r="Z194" s="74"/>
      <c r="AA194" s="76"/>
      <c r="AB194" s="76"/>
      <c r="AC194" s="74"/>
      <c r="AD194" s="76"/>
      <c r="AE194" s="76"/>
      <c r="AF194" s="76"/>
      <c r="AG194" s="74"/>
    </row>
    <row r="195" spans="1:33" ht="151" customHeight="1" ns3:dyDescent="0.2">
      <c r="A195" s="37">
        <v>81</v>
      </c>
      <c r="B195" s="38">
        <f>IF(ISNUMBER(A195),
IF(AND(A195=INT(A195), MOD(A195, 10) = 0), 0,
IF(AND(A195=INT(A195), LEN(A195)=2), 1,
IF(AND(A195=INT(A195), LEN(A195)=3), 2,
LEN(A195) - FIND(".", A195) + 2)
)
),
"")</f>
        <v>1</v>
      </c>
      <c r="C195" s="55" t="s">
        <v>423</v>
      </c>
      <c r="D195" s="39" t="str">
        <f t="shared" si="51"/>
        <v xml:space="preserve">      Refueling Operations</v>
      </c>
      <c r="E195" s="39" t="s">
        <v>268</v>
      </c>
      <c r="F195" s="39"/>
      <c r="G195" s="39"/>
      <c r="H195" s="39"/>
      <c r="I195" s="39"/>
      <c r="J195" s="43"/>
      <c r="K195" s="60">
        <v>178500</v>
      </c>
      <c r="L195" s="49" t="s">
        <v>386</v>
      </c>
      <c r="M195" s="58" t="s">
        <v>387</v>
      </c>
      <c r="N195" s="49"/>
      <c r="O195" s="49"/>
      <c r="P195" s="49">
        <v>1</v>
      </c>
      <c r="Q195" s="65">
        <v>2024</v>
      </c>
      <c r="R195" s="49" t="s">
        <v>53</v>
      </c>
      <c r="S195" s="58"/>
      <c r="T195" s="58" t="s">
        <v>388</v>
      </c>
      <c r="U195" s="49"/>
      <c r="V195" s="49"/>
      <c r="W195" s="74" t="s">
        <v>43</v>
      </c>
      <c r="X195" s="77">
        <f>0.9*$J195</f>
        <v>0</v>
      </c>
      <c r="Y195" s="77">
        <f>1.5*J195</f>
        <v>0</v>
      </c>
      <c r="Z195" s="74" t="s">
        <v>44</v>
      </c>
      <c r="AA195" s="76">
        <f>0.9*K195</f>
        <v>160650</v>
      </c>
      <c r="AB195" s="76">
        <f>1.3*K195</f>
        <v>232050</v>
      </c>
      <c r="AC195" s="74" t="s">
        <v>44</v>
      </c>
      <c r="AD195" s="76" t="s">
        <v>45</v>
      </c>
      <c r="AE195" s="76" t="s">
        <v>46</v>
      </c>
      <c r="AF195" s="76" t="s">
        <v>47</v>
      </c>
      <c r="AG195" s="74" t="s">
        <v>48</v>
      </c>
    </row>
    <row r="196" spans="1:33" ht="26.75" customHeight="1" ns3:dyDescent="0.2">
      <c r="A196" s="37">
        <v>82</v>
      </c>
      <c r="B196" s="38">
        <f>IF(ISNUMBER(A196),
IF(AND(A196=INT(A196), MOD(A196, 10) = 0), 0,
IF(AND(A196=INT(A196), LEN(A196)=2), 1,
IF(AND(A196=INT(A196), LEN(A196)=3), 2,
LEN(A196) - FIND(".", A196) + 2)
)
),
"")</f>
        <v>1</v>
      </c>
      <c r="C196" s="55" t="s">
        <v>424</v>
      </c>
      <c r="D196" s="39" t="str">
        <f t="shared" si="51"/>
        <v xml:space="preserve">      Additional Nuclear Fuel</v>
      </c>
      <c r="E196" s="39"/>
      <c r="F196" s="39"/>
      <c r="G196" s="39"/>
      <c r="H196" s="39"/>
      <c r="I196" s="39"/>
      <c r="J196" s="43"/>
      <c r="K196" s="60"/>
      <c r="L196" s="49"/>
      <c r="M196" s="58"/>
      <c r="N196" s="49"/>
      <c r="O196" s="49"/>
      <c r="P196" s="49"/>
      <c r="Q196" s="65"/>
      <c r="R196" s="49"/>
      <c r="S196" s="58"/>
      <c r="T196" s="49"/>
      <c r="U196" s="49"/>
      <c r="V196" s="49"/>
      <c r="W196" s="74"/>
      <c r="X196" s="77"/>
      <c r="Y196" s="77"/>
      <c r="Z196" s="74"/>
      <c r="AA196" s="76"/>
      <c r="AB196" s="76"/>
      <c r="AC196" s="74"/>
      <c r="AD196" s="76"/>
      <c r="AE196" s="76"/>
      <c r="AF196" s="76"/>
      <c r="AG196" s="74"/>
    </row>
    <row r="197" spans="1:33" ht="51.75" customHeight="1" ns3:dyDescent="0.2">
      <c r="A197" s="37">
        <v>83</v>
      </c>
      <c r="B197" s="38">
        <f>IF(ISNUMBER(A197),
IF(AND(A197=INT(A197), MOD(A197, 10) = 0), 0,
IF(AND(A197=INT(A197), LEN(A197)=2), 1,
IF(AND(A197=INT(A197), LEN(A197)=3), 2,
LEN(A197) - FIND(".", A197) + 2)
)
),
"")</f>
        <v>1</v>
      </c>
      <c r="C197" s="55" t="s">
        <v>425</v>
      </c>
      <c r="D197" s="39" t="str">
        <f t="shared" si="51"/>
        <v xml:space="preserve">      Spent Fuel Management</v>
      </c>
      <c r="E197" s="39" t="s">
        <v>35</v>
      </c>
      <c r="F197" s="39"/>
      <c r="G197" s="39"/>
      <c r="H197" s="39"/>
      <c r="I197" s="39"/>
      <c r="J197" s="43"/>
      <c r="K197" s="60">
        <v>1</v>
      </c>
      <c r="L197" s="49" t="s">
        <v>426</v>
      </c>
      <c r="M197" s="58" t="s">
        <v>427</v>
      </c>
      <c r="N197" s="49"/>
      <c r="O197" s="49"/>
      <c r="P197" s="49">
        <v>1</v>
      </c>
      <c r="Q197" s="65">
        <v>2024</v>
      </c>
      <c r="R197" s="49" t="s">
        <v>86</v>
      </c>
      <c r="S197" s="58"/>
      <c r="T197" s="49"/>
      <c r="U197" s="49"/>
      <c r="V197" s="49"/>
      <c r="W197" s="74" t="s">
        <v>43</v>
      </c>
      <c r="X197" s="77">
        <f>0.9*$J197</f>
        <v>0</v>
      </c>
      <c r="Y197" s="77">
        <f>1.5*J197</f>
        <v>0</v>
      </c>
      <c r="Z197" s="74" t="s">
        <v>44</v>
      </c>
      <c r="AA197" s="76">
        <f>0.9*K197</f>
        <v>0.9</v>
      </c>
      <c r="AB197" s="76">
        <f>1.3*K197</f>
        <v>1.3</v>
      </c>
      <c r="AC197" s="74" t="s">
        <v>44</v>
      </c>
      <c r="AD197" s="76" t="s">
        <v>45</v>
      </c>
      <c r="AE197" s="76" t="s">
        <v>46</v>
      </c>
      <c r="AF197" s="76" t="s">
        <v>47</v>
      </c>
      <c r="AG197" s="74" t="s">
        <v>48</v>
      </c>
    </row>
  </sheetData>
  <mergeCells count="53">
    <mergeCell ref="T139:T144"/>
    <mergeCell ref="U34:U36"/>
    <mergeCell ref="S56:S58"/>
    <mergeCell ref="T174:T180"/>
    <mergeCell ref="U19:U21"/>
    <mergeCell ref="U50:U52"/>
    <mergeCell ref="S146:S151"/>
    <mergeCell ref="U45:U47"/>
    <mergeCell ref="S65:S67"/>
    <mergeCell ref="U65:U67"/>
    <mergeCell ref="U61:U63"/>
    <mergeCell ref="S174:S180"/>
    <mergeCell ref="U80:U84"/>
    <mergeCell ref="S61:S63"/>
    <mergeCell ref="S41:S43"/>
    <mergeCell ref="U90:U100"/>
    <mergeCell ref="U3:U4"/>
    <mergeCell ref="T61:T63"/>
    <mergeCell ref="T19:T21"/>
    <mergeCell ref="S45:S47"/>
    <mergeCell ref="U110:U111"/>
    <mergeCell ref="T72:T77"/>
    <mergeCell ref="S50:S52"/>
    <mergeCell ref="S26:S28"/>
    <mergeCell ref="U26:U28"/>
    <mergeCell ref="T34:T36"/>
    <mergeCell ref="U5:U6"/>
    <mergeCell ref="T3:T4"/>
    <mergeCell ref="S11:S13"/>
    <mergeCell ref="U11:U13"/>
    <mergeCell ref="U41:U43"/>
    <mergeCell ref="T110:T111"/>
    <mergeCell ref="S139:S144"/>
    <mergeCell ref="T11:T13"/>
    <mergeCell ref="V174:V180"/>
    <mergeCell ref="S34:S36"/>
    <mergeCell ref="S19:S21"/>
    <mergeCell ref="T41:T43"/>
    <mergeCell ref="T50:T52"/>
    <mergeCell ref="T26:T28"/>
    <mergeCell ref="U56:U58"/>
    <mergeCell ref="S30:S32"/>
    <mergeCell ref="U30:U32"/>
    <mergeCell ref="T56:T58"/>
    <mergeCell ref="V124:V125"/>
    <mergeCell ref="S156:S159"/>
    <mergeCell ref="T146:T151"/>
    <mergeCell ref="V56:V58"/>
    <mergeCell ref="T30:T32"/>
    <mergeCell ref="T45:T47"/>
    <mergeCell ref="V110:V111"/>
    <mergeCell ref="T65:T67"/>
    <mergeCell ref="T80:T84"/>
  </mergeCells>
  <conditionalFormatting sqref="A14:B14 E14:R14 T14:AG14 A15:AG15 A16:R17 T16:AG17">
    <cfRule type="expression" dxfId="417" priority="15">
      <formula>$B14&lt;2</formula>
    </cfRule>
  </conditionalFormatting>
  <conditionalFormatting sqref="A101:B107">
    <cfRule type="expression" dxfId="416" priority="616">
      <formula>$B101&lt;2</formula>
    </cfRule>
    <cfRule type="expression" dxfId="415" priority="615">
      <formula>$B101=2</formula>
    </cfRule>
    <cfRule type="expression" dxfId="414" priority="614">
      <formula>$B101=3</formula>
    </cfRule>
  </conditionalFormatting>
  <conditionalFormatting sqref="A110:F112 U117:V123 U124:U125 A139:B144 N146:V146 N147:R147 U147:V152 K148:R148 A152:T152 T156:V161 A162:V165 A166:J167">
    <cfRule type="expression" dxfId="413" priority="830">
      <formula>$B110=0</formula>
    </cfRule>
  </conditionalFormatting>
  <conditionalFormatting sqref="A101:I107">
    <cfRule type="expression" dxfId="412" priority="77">
      <formula>$B101=0</formula>
    </cfRule>
  </conditionalFormatting>
  <conditionalFormatting sqref="A14:R14">
    <cfRule type="expression" dxfId="411" priority="9">
      <formula>$B14=3</formula>
    </cfRule>
  </conditionalFormatting>
  <conditionalFormatting sqref="A151:R151">
    <cfRule type="expression" dxfId="410" priority="778">
      <formula>$B151=0</formula>
    </cfRule>
  </conditionalFormatting>
  <conditionalFormatting sqref="A154:R161">
    <cfRule type="expression" dxfId="409" priority="724">
      <formula>$B154=2</formula>
    </cfRule>
    <cfRule type="expression" dxfId="408" priority="726">
      <formula>$B154=0</formula>
    </cfRule>
    <cfRule type="expression" dxfId="407" priority="723">
      <formula>$B154=3</formula>
    </cfRule>
    <cfRule type="expression" dxfId="406" priority="725">
      <formula>$B154&lt;2</formula>
    </cfRule>
  </conditionalFormatting>
  <conditionalFormatting sqref="A128:S129 U128:V129 U170:V172">
    <cfRule type="expression" dxfId="405" priority="623">
      <formula>$B128=0</formula>
    </cfRule>
  </conditionalFormatting>
  <conditionalFormatting sqref="A109:U109">
    <cfRule type="expression" dxfId="404" priority="832">
      <formula>$B109=2</formula>
    </cfRule>
    <cfRule type="expression" dxfId="403" priority="831">
      <formula>$B109=3</formula>
    </cfRule>
    <cfRule type="expression" dxfId="402" priority="833">
      <formula>$B109&lt;2</formula>
    </cfRule>
    <cfRule type="expression" dxfId="401" priority="834">
      <formula>$B109=0</formula>
    </cfRule>
  </conditionalFormatting>
  <conditionalFormatting sqref="A78:V100 A108:V108 A174:R180">
    <cfRule type="expression" dxfId="400" priority="530">
      <formula>$B78&lt;2</formula>
    </cfRule>
    <cfRule type="expression" dxfId="399" priority="528">
      <formula>$B78=3</formula>
    </cfRule>
    <cfRule type="expression" dxfId="398" priority="529">
      <formula>$B78=2</formula>
    </cfRule>
  </conditionalFormatting>
  <conditionalFormatting sqref="A80:V87">
    <cfRule type="expression" dxfId="397" priority="618">
      <formula>$B80=0</formula>
    </cfRule>
  </conditionalFormatting>
  <conditionalFormatting sqref="A99:V100 D101:D107 A126:V127 A130:V144 A145:AG148 A149:G150 I149:AG150 A151:AG173">
    <cfRule type="expression" dxfId="396" priority="663">
      <formula>$B99&lt;2</formula>
    </cfRule>
  </conditionalFormatting>
  <conditionalFormatting sqref="A113:V115 U117:V123 U124:U125 A128:S129 U128:V129 A145:AG148 A149:G150 I149:AG150 A151:AG173 A139:B144 U139:V144 U147:V152 A5:S6 A110:F112 A1:AG4 U5:AG6">
    <cfRule type="expression" dxfId="395" priority="827">
      <formula>$B1=3</formula>
    </cfRule>
  </conditionalFormatting>
  <conditionalFormatting sqref="A126:V127 A130:V144 A99:V100 D101:D107 A145:AG148 A149:G150 I149:AG150 A151:AG173">
    <cfRule type="expression" dxfId="394" priority="662">
      <formula>$B99=2</formula>
    </cfRule>
  </conditionalFormatting>
  <conditionalFormatting sqref="A126:V127">
    <cfRule type="expression" dxfId="393" priority="798">
      <formula>$B126=0</formula>
    </cfRule>
  </conditionalFormatting>
  <conditionalFormatting sqref="A130:V144 A126:V127">
    <cfRule type="expression" dxfId="392" priority="661">
      <formula>$B126=3</formula>
    </cfRule>
  </conditionalFormatting>
  <conditionalFormatting sqref="A153:V153">
    <cfRule type="expression" dxfId="391" priority="759">
      <formula>$B153=3</formula>
    </cfRule>
    <cfRule type="expression" dxfId="390" priority="760">
      <formula>$B153=2</formula>
    </cfRule>
    <cfRule type="expression" dxfId="389" priority="761">
      <formula>$B153&lt;2</formula>
    </cfRule>
    <cfRule type="expression" dxfId="388" priority="762">
      <formula>$B153=0</formula>
    </cfRule>
  </conditionalFormatting>
  <conditionalFormatting sqref="A182:V193">
    <cfRule type="expression" dxfId="387" priority="691">
      <formula>$B182=3</formula>
    </cfRule>
    <cfRule type="expression" dxfId="386" priority="692">
      <formula>$B182=2</formula>
    </cfRule>
    <cfRule type="expression" dxfId="385" priority="693">
      <formula>$B182&lt;2</formula>
    </cfRule>
    <cfRule type="expression" dxfId="384" priority="694">
      <formula>$B182=0</formula>
    </cfRule>
  </conditionalFormatting>
  <conditionalFormatting sqref="A1:AG4 A5:S6 U5:AG6 A110:F112 A113:V115 U117:V123 U124:U125 A128:S129 U128:V129 A139:B144 U139:V144 A145:V145 N146:V146 N147:R147 U147:V152 K148:R148 A152:T152 T156:V161 A162:V165 A166:J167 A168:L172 U170:V172">
    <cfRule type="expression" dxfId="383" priority="828">
      <formula>$B1=2</formula>
    </cfRule>
    <cfRule type="expression" dxfId="382" priority="829">
      <formula>$B1&lt;2</formula>
    </cfRule>
  </conditionalFormatting>
  <conditionalFormatting sqref="A1:AG4 A5:S6 U5:AG6 A7:AG13 A18:AG55 A174:R180">
    <cfRule type="expression" dxfId="381" priority="531">
      <formula>$B1=0</formula>
    </cfRule>
  </conditionalFormatting>
  <conditionalFormatting sqref="A7:AG13 A18:AG52">
    <cfRule type="expression" dxfId="380" priority="594">
      <formula>$B7=2</formula>
    </cfRule>
    <cfRule type="expression" dxfId="379" priority="595">
      <formula>$B7&lt;2</formula>
    </cfRule>
    <cfRule type="expression" dxfId="378" priority="593">
      <formula>$B7=3</formula>
    </cfRule>
  </conditionalFormatting>
  <conditionalFormatting sqref="A14:AG17">
    <cfRule type="expression" dxfId="377" priority="3">
      <formula>$B14=0</formula>
    </cfRule>
  </conditionalFormatting>
  <conditionalFormatting sqref="A15:AG15 A16:R17 T16:AG17 A14:B14 E14:R14 T14:AG14">
    <cfRule type="expression" dxfId="376" priority="14">
      <formula>$B14=2</formula>
    </cfRule>
  </conditionalFormatting>
  <conditionalFormatting sqref="A15:AG17">
    <cfRule type="expression" dxfId="375" priority="12">
      <formula>$B15=3</formula>
    </cfRule>
  </conditionalFormatting>
  <conditionalFormatting sqref="A53:AG55 F56:AG56 A56:E58 F57:U58 W57:AG58 A59:AG79 A80:V86 A87:AG88 A101:B107 A113:AG124 A125:U125 W125:AG125 A126:AG135 A136:V136 A137:Y137 A138:AG138 S174:AG174 U175:U180 W175:AG180 A181:AG193 A98:AG98">
    <cfRule type="expression" dxfId="374" priority="792">
      <formula>$B53=2</formula>
    </cfRule>
  </conditionalFormatting>
  <conditionalFormatting sqref="A53:AG55 F56:AG56 A56:E58 F57:U58 W57:AG58 A59:AG79 A80:V86 A87:AG88 A98:AG98 A101:B107 A113:AG124 A125:U125 W125:AG125 A126:AG135 A136:V136 A137:Y137 A138:AG138 S174:AG174 U175:U180 W175:AG180 A181:AG193">
    <cfRule type="expression" dxfId="373" priority="793">
      <formula>$B53&lt;2</formula>
    </cfRule>
  </conditionalFormatting>
  <conditionalFormatting sqref="A87:AG100">
    <cfRule type="expression" dxfId="372" priority="106">
      <formula>$B87=0</formula>
    </cfRule>
  </conditionalFormatting>
  <conditionalFormatting sqref="A89:AG89">
    <cfRule type="expression" dxfId="371" priority="103">
      <formula>$B89=3</formula>
    </cfRule>
    <cfRule type="expression" dxfId="370" priority="105">
      <formula>$B89&lt;2</formula>
    </cfRule>
    <cfRule type="expression" dxfId="369" priority="104">
      <formula>$B89=2</formula>
    </cfRule>
  </conditionalFormatting>
  <conditionalFormatting sqref="A90:AG97">
    <cfRule type="expression" dxfId="368" priority="566">
      <formula>$B90&lt;2</formula>
    </cfRule>
    <cfRule type="expression" dxfId="367" priority="565">
      <formula>$B90=2</formula>
    </cfRule>
    <cfRule type="expression" dxfId="366" priority="564">
      <formula>$B90=3</formula>
    </cfRule>
  </conditionalFormatting>
  <conditionalFormatting sqref="A98:AG100 D101:D107 A149:G150 I149:R150 A151:R151">
    <cfRule type="expression" dxfId="365" priority="775">
      <formula>$B98=3</formula>
    </cfRule>
  </conditionalFormatting>
  <conditionalFormatting sqref="A108:AG112">
    <cfRule type="expression" dxfId="364" priority="550">
      <formula>$B108&lt;2</formula>
    </cfRule>
    <cfRule type="expression" dxfId="363" priority="549">
      <formula>$B108=2</formula>
    </cfRule>
    <cfRule type="expression" dxfId="362" priority="548">
      <formula>$B108=3</formula>
    </cfRule>
  </conditionalFormatting>
  <conditionalFormatting sqref="A137:AG138">
    <cfRule type="expression" dxfId="361" priority="523">
      <formula>$B137=0</formula>
    </cfRule>
  </conditionalFormatting>
  <conditionalFormatting sqref="A145:AG148 A149:G150 I149:AG150 A151:AG173">
    <cfRule type="expression" dxfId="360" priority="596">
      <formula>$B145=0</formula>
    </cfRule>
  </conditionalFormatting>
  <conditionalFormatting sqref="A181:AG193 A59:AG79 A87:AG88 A126:AG135 A136:V136 A137:Y137 A138:AG138 A113:AG124 A80:V86 A101:B107 A53:AG55 F56:AG56 F57:U58 A56:E58 W57:AG58 A125:U125 W125:AG125 S174:AG174 U175:U180 W175:AG180">
    <cfRule type="expression" dxfId="359" priority="791">
      <formula>$B53=3</formula>
    </cfRule>
  </conditionalFormatting>
  <conditionalFormatting sqref="C101:C102">
    <cfRule type="expression" dxfId="358" priority="468">
      <formula>$B101=3</formula>
    </cfRule>
    <cfRule type="expression" dxfId="357" priority="469">
      <formula>$B101=2</formula>
    </cfRule>
    <cfRule type="expression" dxfId="356" priority="470">
      <formula>$B101&lt;2</formula>
    </cfRule>
  </conditionalFormatting>
  <conditionalFormatting sqref="C101:C104">
    <cfRule type="expression" dxfId="355" priority="462">
      <formula>$B101=2</formula>
    </cfRule>
    <cfRule type="expression" dxfId="354" priority="463">
      <formula>$B101&lt;2</formula>
    </cfRule>
    <cfRule type="expression" dxfId="353" priority="461">
      <formula>$B101=3</formula>
    </cfRule>
  </conditionalFormatting>
  <conditionalFormatting sqref="C103:C106">
    <cfRule type="expression" dxfId="352" priority="455">
      <formula>$B103=2</formula>
    </cfRule>
    <cfRule type="expression" dxfId="351" priority="454">
      <formula>$B103=3</formula>
    </cfRule>
    <cfRule type="expression" dxfId="350" priority="456">
      <formula>$B103&lt;2</formula>
    </cfRule>
  </conditionalFormatting>
  <conditionalFormatting sqref="C105:C107">
    <cfRule type="expression" dxfId="349" priority="448">
      <formula>$B105=2</formula>
    </cfRule>
    <cfRule type="expression" dxfId="348" priority="447">
      <formula>$B105=3</formula>
    </cfRule>
    <cfRule type="expression" dxfId="347" priority="449">
      <formula>$B105&lt;2</formula>
    </cfRule>
  </conditionalFormatting>
  <conditionalFormatting sqref="C106:C107">
    <cfRule type="expression" dxfId="346" priority="95">
      <formula>$B106&lt;2</formula>
    </cfRule>
    <cfRule type="expression" dxfId="345" priority="93">
      <formula>$B106=3</formula>
    </cfRule>
    <cfRule type="expression" dxfId="344" priority="94">
      <formula>$B106=2</formula>
    </cfRule>
  </conditionalFormatting>
  <conditionalFormatting sqref="C14:D14">
    <cfRule type="expression" dxfId="343" priority="7">
      <formula>$B14&lt;2</formula>
    </cfRule>
    <cfRule type="expression" dxfId="342" priority="8">
      <formula>$B14=2</formula>
    </cfRule>
  </conditionalFormatting>
  <conditionalFormatting sqref="C139:T139 C140:R144">
    <cfRule type="expression" dxfId="341" priority="653">
      <formula>$B139=0</formula>
    </cfRule>
    <cfRule type="expression" dxfId="340" priority="652">
      <formula>$B139&lt;2</formula>
    </cfRule>
    <cfRule type="expression" dxfId="339" priority="651">
      <formula>$B139=2</formula>
    </cfRule>
    <cfRule type="expression" dxfId="338" priority="650">
      <formula>$B139=3</formula>
    </cfRule>
  </conditionalFormatting>
  <conditionalFormatting sqref="D2:D13 D86 D88:D138 D145:D201 D18:D84">
    <cfRule type="colorScale" priority="1079">
      <colorScale>
        <cfvo type="min"/>
        <cfvo type="max"/>
        <color rgb="FFFF7128"/>
        <color rgb="FFFFEF9C"/>
      </colorScale>
    </cfRule>
  </conditionalFormatting>
  <conditionalFormatting sqref="D15:D17">
    <cfRule type="colorScale" priority="16">
      <colorScale>
        <cfvo type="min"/>
        <cfvo type="max"/>
        <color rgb="FFFF7128"/>
        <color rgb="FFFFEF9C"/>
      </colorScale>
    </cfRule>
  </conditionalFormatting>
  <conditionalFormatting sqref="D85">
    <cfRule type="colorScale" priority="628">
      <colorScale>
        <cfvo type="min"/>
        <cfvo type="max"/>
        <color rgb="FFFF7128"/>
        <color rgb="FFFFEF9C"/>
      </colorScale>
    </cfRule>
  </conditionalFormatting>
  <conditionalFormatting sqref="D87">
    <cfRule type="colorScale" priority="674">
      <colorScale>
        <cfvo type="min"/>
        <cfvo type="max"/>
        <color rgb="FFFF7128"/>
        <color rgb="FFFFEF9C"/>
      </colorScale>
    </cfRule>
  </conditionalFormatting>
  <conditionalFormatting sqref="D139:D144">
    <cfRule type="colorScale" priority="654">
      <colorScale>
        <cfvo type="min"/>
        <cfvo type="max"/>
        <color rgb="FFFF7128"/>
        <color rgb="FFFFEF9C"/>
      </colorScale>
    </cfRule>
  </conditionalFormatting>
  <conditionalFormatting sqref="D101:E107">
    <cfRule type="expression" dxfId="337" priority="442">
      <formula>$B101&lt;2</formula>
    </cfRule>
    <cfRule type="expression" dxfId="336" priority="441">
      <formula>$B101=2</formula>
    </cfRule>
    <cfRule type="expression" dxfId="335" priority="440">
      <formula>$B101=3</formula>
    </cfRule>
  </conditionalFormatting>
  <conditionalFormatting sqref="E101:E107">
    <cfRule type="expression" dxfId="334" priority="437">
      <formula>$B101=3</formula>
    </cfRule>
    <cfRule type="expression" dxfId="333" priority="439">
      <formula>$B101&lt;2</formula>
    </cfRule>
    <cfRule type="expression" dxfId="332" priority="438">
      <formula>$B101=2</formula>
    </cfRule>
  </conditionalFormatting>
  <conditionalFormatting sqref="E87:Q87 Q128:Q129">
    <cfRule type="expression" dxfId="331" priority="669">
      <formula>_xlfn.ISFORMULA(E87)</formula>
    </cfRule>
  </conditionalFormatting>
  <conditionalFormatting sqref="E139:Q144">
    <cfRule type="expression" dxfId="330" priority="649">
      <formula>_xlfn.ISFORMULA(E139)</formula>
    </cfRule>
  </conditionalFormatting>
  <conditionalFormatting sqref="F106:F107 F101:I103 F104 H104:I104 F105:I105 H106:I106">
    <cfRule type="expression" dxfId="329" priority="229">
      <formula>$B101=3</formula>
    </cfRule>
  </conditionalFormatting>
  <conditionalFormatting sqref="F107">
    <cfRule type="expression" dxfId="328" priority="64">
      <formula>$B107&lt;2</formula>
    </cfRule>
    <cfRule type="expression" dxfId="327" priority="62">
      <formula>$B107=3</formula>
    </cfRule>
    <cfRule type="expression" dxfId="326" priority="63">
      <formula>$B107=2</formula>
    </cfRule>
  </conditionalFormatting>
  <conditionalFormatting sqref="F113:F115">
    <cfRule type="expression" dxfId="325" priority="116">
      <formula>$B113=0</formula>
    </cfRule>
  </conditionalFormatting>
  <conditionalFormatting sqref="F115">
    <cfRule type="expression" dxfId="324" priority="110">
      <formula>$B115=3</formula>
    </cfRule>
    <cfRule type="expression" dxfId="323" priority="111">
      <formula>$B115=2</formula>
    </cfRule>
    <cfRule type="expression" dxfId="322" priority="112">
      <formula>$B115&lt;2</formula>
    </cfRule>
  </conditionalFormatting>
  <conditionalFormatting sqref="F106:G106">
    <cfRule type="expression" dxfId="321" priority="65">
      <formula>$B106=3</formula>
    </cfRule>
    <cfRule type="expression" dxfId="320" priority="67">
      <formula>$B106&lt;2</formula>
    </cfRule>
    <cfRule type="expression" dxfId="319" priority="66">
      <formula>$B106=2</formula>
    </cfRule>
  </conditionalFormatting>
  <conditionalFormatting sqref="F113:G114">
    <cfRule type="expression" dxfId="318" priority="114">
      <formula>$B113=2</formula>
    </cfRule>
    <cfRule type="expression" dxfId="317" priority="113">
      <formula>$B113=3</formula>
    </cfRule>
    <cfRule type="expression" dxfId="316" priority="115">
      <formula>$B113&lt;2</formula>
    </cfRule>
  </conditionalFormatting>
  <conditionalFormatting sqref="F55:I58">
    <cfRule type="expression" dxfId="315" priority="598">
      <formula>$B55=3</formula>
    </cfRule>
    <cfRule type="expression" dxfId="314" priority="599">
      <formula>$B55=2</formula>
    </cfRule>
    <cfRule type="expression" dxfId="313" priority="600">
      <formula>$B55&lt;2</formula>
    </cfRule>
    <cfRule type="expression" dxfId="312" priority="601">
      <formula>$B55=0</formula>
    </cfRule>
  </conditionalFormatting>
  <conditionalFormatting sqref="F101:I102">
    <cfRule type="expression" dxfId="311" priority="419">
      <formula>$B101=3</formula>
    </cfRule>
    <cfRule type="expression" dxfId="310" priority="421">
      <formula>$B101&lt;2</formula>
    </cfRule>
    <cfRule type="expression" dxfId="309" priority="420">
      <formula>$B101=2</formula>
    </cfRule>
  </conditionalFormatting>
  <conditionalFormatting sqref="F101:I103 F104 H104:I104 F105:I105 H106:I106 F106:F107">
    <cfRule type="expression" dxfId="308" priority="230">
      <formula>$B101=2</formula>
    </cfRule>
    <cfRule type="expression" dxfId="307" priority="231">
      <formula>$B101&lt;2</formula>
    </cfRule>
  </conditionalFormatting>
  <conditionalFormatting sqref="F103:I105">
    <cfRule type="expression" dxfId="306" priority="99">
      <formula>$B103=3</formula>
    </cfRule>
    <cfRule type="expression" dxfId="305" priority="101">
      <formula>$B103&lt;2</formula>
    </cfRule>
    <cfRule type="expression" dxfId="304" priority="100">
      <formula>$B103=2</formula>
    </cfRule>
  </conditionalFormatting>
  <conditionalFormatting sqref="F106:I107">
    <cfRule type="expression" dxfId="303" priority="76">
      <formula>$B106&lt;2</formula>
    </cfRule>
    <cfRule type="expression" dxfId="302" priority="75">
      <formula>$B106=2</formula>
    </cfRule>
    <cfRule type="expression" dxfId="301" priority="74">
      <formula>$B106=3</formula>
    </cfRule>
  </conditionalFormatting>
  <conditionalFormatting sqref="F107:I107">
    <cfRule type="expression" dxfId="300" priority="224">
      <formula>$B107&lt;2</formula>
    </cfRule>
    <cfRule type="expression" dxfId="299" priority="223">
      <formula>$B107=2</formula>
    </cfRule>
    <cfRule type="expression" dxfId="298" priority="222">
      <formula>$B107=3</formula>
    </cfRule>
  </conditionalFormatting>
  <conditionalFormatting sqref="F57:U58 W57:AG58 A59:AG79 A108:AG109 A110:V113 A113:AG124 A125:U125 W125:AG125 A126:AG135 A130:V145 S174:AG174 U175:U180 W175:AG180 A181:AG193">
    <cfRule type="expression" dxfId="297" priority="794">
      <formula>$B57=0</formula>
    </cfRule>
  </conditionalFormatting>
  <conditionalFormatting sqref="F56:AG56 A56:E58">
    <cfRule type="expression" dxfId="296" priority="592">
      <formula>$B56=0</formula>
    </cfRule>
  </conditionalFormatting>
  <conditionalFormatting sqref="G104">
    <cfRule type="expression" dxfId="295" priority="98">
      <formula>$B104&lt;2</formula>
    </cfRule>
    <cfRule type="expression" dxfId="294" priority="97">
      <formula>$B104=2</formula>
    </cfRule>
    <cfRule type="expression" dxfId="293" priority="96">
      <formula>$B104=3</formula>
    </cfRule>
  </conditionalFormatting>
  <conditionalFormatting sqref="G110:I111">
    <cfRule type="expression" dxfId="292" priority="823">
      <formula>$B110=3</formula>
    </cfRule>
    <cfRule type="expression" dxfId="291" priority="824">
      <formula>$B110=2</formula>
    </cfRule>
    <cfRule type="expression" dxfId="290" priority="825">
      <formula>$B110&lt;2</formula>
    </cfRule>
    <cfRule type="expression" dxfId="289" priority="826">
      <formula>$B110=0</formula>
    </cfRule>
  </conditionalFormatting>
  <conditionalFormatting sqref="H149:H150 K166:L167">
    <cfRule type="expression" dxfId="288" priority="708">
      <formula>$B150=2</formula>
    </cfRule>
    <cfRule type="expression" dxfId="287" priority="709">
      <formula>$B150&lt;2</formula>
    </cfRule>
    <cfRule type="expression" dxfId="286" priority="710">
      <formula>$B150=0</formula>
    </cfRule>
  </conditionalFormatting>
  <conditionalFormatting sqref="H149:H150">
    <cfRule type="expression" dxfId="285" priority="1099">
      <formula>$B150&lt;2</formula>
    </cfRule>
    <cfRule type="expression" dxfId="284" priority="1101">
      <formula>$B150=3</formula>
    </cfRule>
    <cfRule type="expression" dxfId="283" priority="1098">
      <formula>$B150=2</formula>
    </cfRule>
  </conditionalFormatting>
  <conditionalFormatting sqref="J5">
    <cfRule type="expression" dxfId="282" priority="629">
      <formula>$B5=3</formula>
    </cfRule>
    <cfRule type="expression" dxfId="281" priority="632">
      <formula>$B5=0</formula>
    </cfRule>
    <cfRule type="expression" dxfId="280" priority="631">
      <formula>$B5&lt;2</formula>
    </cfRule>
    <cfRule type="expression" dxfId="279" priority="630">
      <formula>$B5=2</formula>
    </cfRule>
  </conditionalFormatting>
  <conditionalFormatting sqref="J75:L77">
    <cfRule type="expression" dxfId="278" priority="684">
      <formula>$B75=0</formula>
    </cfRule>
    <cfRule type="expression" dxfId="277" priority="680">
      <formula>_xlfn.ISFORMULA(J75)</formula>
    </cfRule>
  </conditionalFormatting>
  <conditionalFormatting sqref="J1:Q17">
    <cfRule type="expression" dxfId="276" priority="13">
      <formula>_xlfn.ISFORMULA(J1)</formula>
    </cfRule>
  </conditionalFormatting>
  <conditionalFormatting sqref="J18:Q100 J108:Q1048576">
    <cfRule type="expression" dxfId="275" priority="690">
      <formula>_xlfn.ISFORMULA(J18)</formula>
    </cfRule>
  </conditionalFormatting>
  <conditionalFormatting sqref="J72:Q74">
    <cfRule type="expression" dxfId="274" priority="685">
      <formula>_xlfn.ISFORMULA(J72)</formula>
    </cfRule>
  </conditionalFormatting>
  <conditionalFormatting sqref="J73:S77">
    <cfRule type="expression" dxfId="273" priority="676">
      <formula>$B73=3</formula>
    </cfRule>
    <cfRule type="expression" dxfId="272" priority="677">
      <formula>$B73=2</formula>
    </cfRule>
    <cfRule type="expression" dxfId="271" priority="678">
      <formula>$B73&lt;2</formula>
    </cfRule>
  </conditionalFormatting>
  <conditionalFormatting sqref="J72:V72 J73:S74 U73:V77">
    <cfRule type="expression" dxfId="270" priority="689">
      <formula>$B72=0</formula>
    </cfRule>
  </conditionalFormatting>
  <conditionalFormatting sqref="J72:V72 U73:V77">
    <cfRule type="expression" dxfId="269" priority="686">
      <formula>$B72=3</formula>
    </cfRule>
    <cfRule type="expression" dxfId="268" priority="687">
      <formula>$B72=2</formula>
    </cfRule>
    <cfRule type="expression" dxfId="267" priority="688">
      <formula>$B72&lt;2</formula>
    </cfRule>
  </conditionalFormatting>
  <conditionalFormatting sqref="K85">
    <cfRule type="expression" dxfId="266" priority="622">
      <formula>_xlfn.ISFORMULA(K85)</formula>
    </cfRule>
  </conditionalFormatting>
  <conditionalFormatting sqref="K166:L167 H149:H150">
    <cfRule type="expression" dxfId="265" priority="707">
      <formula>$B150=3</formula>
    </cfRule>
  </conditionalFormatting>
  <conditionalFormatting sqref="K101:M102">
    <cfRule type="expression" dxfId="264" priority="375">
      <formula>$B101&lt;2</formula>
    </cfRule>
    <cfRule type="expression" dxfId="263" priority="374">
      <formula>$B101=2</formula>
    </cfRule>
    <cfRule type="expression" dxfId="262" priority="373">
      <formula>$B101=3</formula>
    </cfRule>
  </conditionalFormatting>
  <conditionalFormatting sqref="K101:M105">
    <cfRule type="expression" dxfId="261" priority="201">
      <formula>$B101&lt;2</formula>
    </cfRule>
    <cfRule type="expression" dxfId="260" priority="200">
      <formula>$B101=2</formula>
    </cfRule>
    <cfRule type="expression" dxfId="259" priority="199">
      <formula>$B101=3</formula>
    </cfRule>
  </conditionalFormatting>
  <conditionalFormatting sqref="K101:M107">
    <cfRule type="expression" dxfId="258" priority="194">
      <formula>$B101=0</formula>
    </cfRule>
    <cfRule type="expression" dxfId="257" priority="190">
      <formula>_xlfn.ISFORMULA(K101)</formula>
    </cfRule>
  </conditionalFormatting>
  <conditionalFormatting sqref="K103:M107">
    <cfRule type="expression" dxfId="256" priority="193">
      <formula>$B103&lt;2</formula>
    </cfRule>
    <cfRule type="expression" dxfId="255" priority="192">
      <formula>$B103=2</formula>
    </cfRule>
    <cfRule type="expression" dxfId="254" priority="191">
      <formula>$B103=3</formula>
    </cfRule>
  </conditionalFormatting>
  <conditionalFormatting sqref="K106:M106">
    <cfRule type="expression" dxfId="253" priority="92">
      <formula>$B106&lt;2</formula>
    </cfRule>
    <cfRule type="expression" dxfId="252" priority="91">
      <formula>$B106=2</formula>
    </cfRule>
    <cfRule type="expression" dxfId="251" priority="90">
      <formula>$B106=3</formula>
    </cfRule>
  </conditionalFormatting>
  <conditionalFormatting sqref="K107:M107">
    <cfRule type="expression" dxfId="250" priority="45">
      <formula>$B107&lt;2</formula>
    </cfRule>
    <cfRule type="expression" dxfId="249" priority="43">
      <formula>$B107=3</formula>
    </cfRule>
    <cfRule type="expression" dxfId="248" priority="44">
      <formula>$B107=2</formula>
    </cfRule>
  </conditionalFormatting>
  <conditionalFormatting sqref="K146:M147">
    <cfRule type="expression" dxfId="247" priority="789">
      <formula>$B146&lt;2</formula>
    </cfRule>
    <cfRule type="expression" dxfId="246" priority="788">
      <formula>$B146=2</formula>
    </cfRule>
    <cfRule type="expression" dxfId="245" priority="787">
      <formula>$B146=3</formula>
    </cfRule>
    <cfRule type="expression" dxfId="244" priority="790">
      <formula>$B146=0</formula>
    </cfRule>
  </conditionalFormatting>
  <conditionalFormatting sqref="L116">
    <cfRule type="expression" dxfId="243" priority="636">
      <formula>$B116=0</formula>
    </cfRule>
    <cfRule type="expression" dxfId="242" priority="1026">
      <formula>#REF!=2</formula>
    </cfRule>
    <cfRule type="expression" dxfId="241" priority="1027">
      <formula>#REF!&lt;2</formula>
    </cfRule>
    <cfRule type="expression" dxfId="240" priority="1028">
      <formula>#REF!=0</formula>
    </cfRule>
    <cfRule type="expression" dxfId="239" priority="1029">
      <formula>#REF!=3</formula>
    </cfRule>
  </conditionalFormatting>
  <conditionalFormatting sqref="L116:V116">
    <cfRule type="expression" dxfId="238" priority="635">
      <formula>$B116&lt;2</formula>
    </cfRule>
    <cfRule type="expression" dxfId="237" priority="633">
      <formula>$B116=3</formula>
    </cfRule>
    <cfRule type="expression" dxfId="236" priority="634">
      <formula>$B116=2</formula>
    </cfRule>
  </conditionalFormatting>
  <conditionalFormatting sqref="M106:M107">
    <cfRule type="expression" dxfId="235" priority="59">
      <formula>$B106=3</formula>
    </cfRule>
    <cfRule type="expression" dxfId="234" priority="60">
      <formula>$B106=2</formula>
    </cfRule>
    <cfRule type="expression" dxfId="233" priority="61">
      <formula>$B106&lt;2</formula>
    </cfRule>
  </conditionalFormatting>
  <conditionalFormatting sqref="N85">
    <cfRule type="expression" dxfId="232" priority="617">
      <formula>_xlfn.ISFORMULA(N85)</formula>
    </cfRule>
  </conditionalFormatting>
  <conditionalFormatting sqref="O14">
    <cfRule type="expression" dxfId="231" priority="1">
      <formula>$B14=3</formula>
    </cfRule>
  </conditionalFormatting>
  <conditionalFormatting sqref="O101:O102">
    <cfRule type="expression" dxfId="230" priority="359">
      <formula>$B101&lt;2</formula>
    </cfRule>
    <cfRule type="expression" dxfId="229" priority="358">
      <formula>$B101=2</formula>
    </cfRule>
    <cfRule type="expression" dxfId="228" priority="357">
      <formula>$B101=3</formula>
    </cfRule>
  </conditionalFormatting>
  <conditionalFormatting sqref="O101:O107">
    <cfRule type="expression" dxfId="227" priority="352">
      <formula>$B101=0</formula>
    </cfRule>
    <cfRule type="expression" dxfId="226" priority="351">
      <formula>$B101&lt;2</formula>
    </cfRule>
    <cfRule type="expression" dxfId="225" priority="349">
      <formula>$B101=3</formula>
    </cfRule>
    <cfRule type="expression" dxfId="224" priority="348">
      <formula>_xlfn.ISFORMULA(O101)</formula>
    </cfRule>
    <cfRule type="expression" dxfId="223" priority="350">
      <formula>$B101=2</formula>
    </cfRule>
  </conditionalFormatting>
  <conditionalFormatting sqref="O103:O107">
    <cfRule type="expression" dxfId="222" priority="346">
      <formula>$B103=2</formula>
    </cfRule>
    <cfRule type="expression" dxfId="221" priority="347">
      <formula>$B103&lt;2</formula>
    </cfRule>
    <cfRule type="expression" dxfId="220" priority="345">
      <formula>$B103=3</formula>
    </cfRule>
  </conditionalFormatting>
  <conditionalFormatting sqref="Q75:Q77">
    <cfRule type="expression" dxfId="219" priority="675">
      <formula>_xlfn.ISFORMULA(Q75)</formula>
    </cfRule>
  </conditionalFormatting>
  <conditionalFormatting sqref="Q101:Q107">
    <cfRule type="expression" dxfId="218" priority="174">
      <formula>_xlfn.ISFORMULA(Q101)</formula>
    </cfRule>
  </conditionalFormatting>
  <conditionalFormatting sqref="Q153">
    <cfRule type="expression" dxfId="217" priority="847">
      <formula>$B154=0</formula>
    </cfRule>
    <cfRule type="expression" dxfId="216" priority="846">
      <formula>$B154&lt;2</formula>
    </cfRule>
    <cfRule type="expression" dxfId="215" priority="845">
      <formula>$B154=2</formula>
    </cfRule>
    <cfRule type="expression" dxfId="214" priority="844">
      <formula>$B154=3</formula>
    </cfRule>
  </conditionalFormatting>
  <conditionalFormatting sqref="Q101:R102">
    <cfRule type="expression" dxfId="213" priority="325">
      <formula>$B101=3</formula>
    </cfRule>
    <cfRule type="expression" dxfId="212" priority="326">
      <formula>$B101=2</formula>
    </cfRule>
    <cfRule type="expression" dxfId="211" priority="327">
      <formula>$B101&lt;2</formula>
    </cfRule>
  </conditionalFormatting>
  <conditionalFormatting sqref="Q101:R104">
    <cfRule type="expression" dxfId="210" priority="318">
      <formula>$B101=3</formula>
    </cfRule>
    <cfRule type="expression" dxfId="209" priority="319">
      <formula>$B101=2</formula>
    </cfRule>
    <cfRule type="expression" dxfId="208" priority="320">
      <formula>$B101&lt;2</formula>
    </cfRule>
  </conditionalFormatting>
  <conditionalFormatting sqref="Q105:R105">
    <cfRule type="expression" dxfId="207" priority="169">
      <formula>$B105&lt;2</formula>
    </cfRule>
    <cfRule type="expression" dxfId="206" priority="168">
      <formula>$B105=2</formula>
    </cfRule>
    <cfRule type="expression" dxfId="205" priority="167">
      <formula>$B105=3</formula>
    </cfRule>
  </conditionalFormatting>
  <conditionalFormatting sqref="Q106:R106">
    <cfRule type="expression" dxfId="204" priority="88">
      <formula>$B106=2</formula>
    </cfRule>
    <cfRule type="expression" dxfId="203" priority="87">
      <formula>$B106=3</formula>
    </cfRule>
    <cfRule type="expression" dxfId="202" priority="89">
      <formula>$B106&lt;2</formula>
    </cfRule>
  </conditionalFormatting>
  <conditionalFormatting sqref="Q107:R107">
    <cfRule type="expression" dxfId="201" priority="160">
      <formula>$B107=3</formula>
    </cfRule>
    <cfRule type="expression" dxfId="200" priority="161">
      <formula>$B107=2</formula>
    </cfRule>
    <cfRule type="expression" dxfId="199" priority="162">
      <formula>$B107&lt;2</formula>
    </cfRule>
  </conditionalFormatting>
  <conditionalFormatting sqref="Q75:S77">
    <cfRule type="expression" dxfId="198" priority="679">
      <formula>$B75=0</formula>
    </cfRule>
  </conditionalFormatting>
  <conditionalFormatting sqref="Q103:S104">
    <cfRule type="expression" dxfId="197" priority="313">
      <formula>$B103&lt;2</formula>
    </cfRule>
    <cfRule type="expression" dxfId="196" priority="312">
      <formula>$B103=2</formula>
    </cfRule>
    <cfRule type="expression" dxfId="195" priority="311">
      <formula>$B103=3</formula>
    </cfRule>
  </conditionalFormatting>
  <conditionalFormatting sqref="Q105:S105">
    <cfRule type="expression" dxfId="194" priority="148">
      <formula>$B105&lt;2</formula>
    </cfRule>
    <cfRule type="expression" dxfId="193" priority="147">
      <formula>$B105=2</formula>
    </cfRule>
    <cfRule type="expression" dxfId="192" priority="146">
      <formula>$B105=3</formula>
    </cfRule>
  </conditionalFormatting>
  <conditionalFormatting sqref="Q106:S106">
    <cfRule type="expression" dxfId="191" priority="86">
      <formula>$B106&lt;2</formula>
    </cfRule>
    <cfRule type="expression" dxfId="190" priority="85">
      <formula>$B106=2</formula>
    </cfRule>
    <cfRule type="expression" dxfId="189" priority="84">
      <formula>$B106=3</formula>
    </cfRule>
  </conditionalFormatting>
  <conditionalFormatting sqref="Q107:S107">
    <cfRule type="expression" dxfId="188" priority="153">
      <formula>$B107=3</formula>
    </cfRule>
    <cfRule type="expression" dxfId="187" priority="154">
      <formula>$B107=2</formula>
    </cfRule>
    <cfRule type="expression" dxfId="186" priority="155">
      <formula>$B107&lt;2</formula>
    </cfRule>
  </conditionalFormatting>
  <conditionalFormatting sqref="Q101:T107">
    <cfRule type="expression" dxfId="185" priority="135">
      <formula>$B101=0</formula>
    </cfRule>
  </conditionalFormatting>
  <conditionalFormatting sqref="S14">
    <cfRule type="expression" dxfId="184" priority="5">
      <formula>$B14=2</formula>
    </cfRule>
    <cfRule type="expression" dxfId="183" priority="4">
      <formula>$B14&lt;2</formula>
    </cfRule>
  </conditionalFormatting>
  <conditionalFormatting sqref="S16:S17">
    <cfRule type="expression" dxfId="182" priority="11">
      <formula>$B16=2</formula>
    </cfRule>
    <cfRule type="expression" dxfId="181" priority="10">
      <formula>$B16&lt;2</formula>
    </cfRule>
  </conditionalFormatting>
  <conditionalFormatting sqref="S101:S104">
    <cfRule type="expression" dxfId="180" priority="304">
      <formula>$B101=3</formula>
    </cfRule>
    <cfRule type="expression" dxfId="179" priority="305">
      <formula>$B101=2</formula>
    </cfRule>
    <cfRule type="expression" dxfId="178" priority="306">
      <formula>$B101&lt;2</formula>
    </cfRule>
  </conditionalFormatting>
  <conditionalFormatting sqref="S106">
    <cfRule type="expression" dxfId="177" priority="83">
      <formula>$B106&lt;2</formula>
    </cfRule>
    <cfRule type="expression" dxfId="176" priority="82">
      <formula>$B106=2</formula>
    </cfRule>
    <cfRule type="expression" dxfId="175" priority="81">
      <formula>$B106=3</formula>
    </cfRule>
  </conditionalFormatting>
  <conditionalFormatting sqref="S156">
    <cfRule type="expression" dxfId="174" priority="772">
      <formula>$B156=2</formula>
    </cfRule>
    <cfRule type="expression" dxfId="173" priority="771">
      <formula>$B156=3</formula>
    </cfRule>
    <cfRule type="expression" dxfId="172" priority="774">
      <formula>$B156=0</formula>
    </cfRule>
    <cfRule type="expression" dxfId="171" priority="773">
      <formula>$B156&lt;2</formula>
    </cfRule>
  </conditionalFormatting>
  <conditionalFormatting sqref="S160:S161">
    <cfRule type="expression" dxfId="170" priority="770">
      <formula>$B160=0</formula>
    </cfRule>
    <cfRule type="expression" dxfId="169" priority="769">
      <formula>$B160&lt;2</formula>
    </cfRule>
    <cfRule type="expression" dxfId="168" priority="768">
      <formula>$B160=2</formula>
    </cfRule>
    <cfRule type="expression" dxfId="167" priority="767">
      <formula>$B160=3</formula>
    </cfRule>
  </conditionalFormatting>
  <conditionalFormatting sqref="S101:T102">
    <cfRule type="expression" dxfId="166" priority="297">
      <formula>$B101=3</formula>
    </cfRule>
    <cfRule type="expression" dxfId="165" priority="298">
      <formula>$B101=2</formula>
    </cfRule>
    <cfRule type="expression" dxfId="164" priority="299">
      <formula>$B101&lt;2</formula>
    </cfRule>
  </conditionalFormatting>
  <conditionalFormatting sqref="S105:T105">
    <cfRule type="expression" dxfId="163" priority="137">
      <formula>$B105=2</formula>
    </cfRule>
    <cfRule type="expression" dxfId="162" priority="138">
      <formula>$B105&lt;2</formula>
    </cfRule>
    <cfRule type="expression" dxfId="161" priority="136">
      <formula>$B105=3</formula>
    </cfRule>
  </conditionalFormatting>
  <conditionalFormatting sqref="S107:T107">
    <cfRule type="expression" dxfId="160" priority="133">
      <formula>$B107=2</formula>
    </cfRule>
    <cfRule type="expression" dxfId="159" priority="132">
      <formula>$B107=3</formula>
    </cfRule>
    <cfRule type="expression" dxfId="158" priority="134">
      <formula>$B107&lt;2</formula>
    </cfRule>
  </conditionalFormatting>
  <conditionalFormatting sqref="S94:V97">
    <cfRule type="expression" dxfId="157" priority="668">
      <formula>$B94=0</formula>
    </cfRule>
  </conditionalFormatting>
  <conditionalFormatting sqref="S154:V155">
    <cfRule type="expression" dxfId="156" priority="731">
      <formula>$B154=3</formula>
    </cfRule>
    <cfRule type="expression" dxfId="155" priority="732">
      <formula>$B154=2</formula>
    </cfRule>
    <cfRule type="expression" dxfId="154" priority="733">
      <formula>$B154&lt;2</formula>
    </cfRule>
    <cfRule type="expression" dxfId="153" priority="734">
      <formula>$B154=0</formula>
    </cfRule>
  </conditionalFormatting>
  <conditionalFormatting sqref="S14:AG14">
    <cfRule type="expression" dxfId="152" priority="6">
      <formula>$B14=3</formula>
    </cfRule>
  </conditionalFormatting>
  <conditionalFormatting sqref="T5">
    <cfRule type="expression" dxfId="151" priority="527">
      <formula>$B5&lt;2</formula>
    </cfRule>
    <cfRule type="expression" dxfId="150" priority="526">
      <formula>$B5=2</formula>
    </cfRule>
    <cfRule type="expression" dxfId="149" priority="524">
      <formula>$B5=0</formula>
    </cfRule>
    <cfRule type="expression" dxfId="148" priority="525">
      <formula>$B5=3</formula>
    </cfRule>
  </conditionalFormatting>
  <conditionalFormatting sqref="T6">
    <cfRule type="expression" dxfId="147" priority="1083">
      <formula>$B5&lt;2</formula>
    </cfRule>
    <cfRule type="expression" dxfId="146" priority="1085">
      <formula>$B5=0</formula>
    </cfRule>
    <cfRule type="expression" dxfId="145" priority="1087">
      <formula>$B5=3</formula>
    </cfRule>
    <cfRule type="expression" dxfId="144" priority="1082">
      <formula>$B5=2</formula>
    </cfRule>
  </conditionalFormatting>
  <conditionalFormatting sqref="T101:T104">
    <cfRule type="expression" dxfId="143" priority="290">
      <formula>$B101=3</formula>
    </cfRule>
    <cfRule type="expression" dxfId="142" priority="291">
      <formula>$B101=2</formula>
    </cfRule>
    <cfRule type="expression" dxfId="141" priority="292">
      <formula>$B101&lt;2</formula>
    </cfRule>
  </conditionalFormatting>
  <conditionalFormatting sqref="T103:T106">
    <cfRule type="expression" dxfId="140" priority="141">
      <formula>$B103&lt;2</formula>
    </cfRule>
    <cfRule type="expression" dxfId="139" priority="140">
      <formula>$B103=2</formula>
    </cfRule>
    <cfRule type="expression" dxfId="138" priority="139">
      <formula>$B103=3</formula>
    </cfRule>
  </conditionalFormatting>
  <conditionalFormatting sqref="T104">
    <cfRule type="expression" dxfId="137" priority="70">
      <formula>$B104&lt;2</formula>
    </cfRule>
    <cfRule type="expression" dxfId="136" priority="68">
      <formula>$B104=3</formula>
    </cfRule>
    <cfRule type="expression" dxfId="135" priority="69">
      <formula>$B104=2</formula>
    </cfRule>
  </conditionalFormatting>
  <conditionalFormatting sqref="T106:T107">
    <cfRule type="expression" dxfId="134" priority="79">
      <formula>$B106=2</formula>
    </cfRule>
    <cfRule type="expression" dxfId="133" priority="78">
      <formula>$B106=3</formula>
    </cfRule>
    <cfRule type="expression" dxfId="132" priority="80">
      <formula>$B106&lt;2</formula>
    </cfRule>
  </conditionalFormatting>
  <conditionalFormatting sqref="U110">
    <cfRule type="expression" dxfId="131" priority="852">
      <formula>$B109=3</formula>
    </cfRule>
    <cfRule type="expression" dxfId="130" priority="853">
      <formula>$B109=2</formula>
    </cfRule>
    <cfRule type="expression" dxfId="129" priority="854">
      <formula>$B109&lt;2</formula>
    </cfRule>
    <cfRule type="expression" dxfId="128" priority="855">
      <formula>$B109=0</formula>
    </cfRule>
  </conditionalFormatting>
  <conditionalFormatting sqref="U139:AG144">
    <cfRule type="expression" dxfId="127" priority="475">
      <formula>$B139=0</formula>
    </cfRule>
  </conditionalFormatting>
  <conditionalFormatting sqref="V16:AG17">
    <cfRule type="expression" dxfId="126" priority="2">
      <formula>$B16=3</formula>
    </cfRule>
  </conditionalFormatting>
  <conditionalFormatting sqref="W101:W107">
    <cfRule type="expression" dxfId="125" priority="279">
      <formula>$B101=3</formula>
    </cfRule>
    <cfRule type="expression" dxfId="124" priority="282">
      <formula>$B101=0</formula>
    </cfRule>
    <cfRule type="expression" dxfId="123" priority="281">
      <formula>$B101&lt;2</formula>
    </cfRule>
    <cfRule type="expression" dxfId="122" priority="280">
      <formula>$B101=2</formula>
    </cfRule>
  </conditionalFormatting>
  <conditionalFormatting sqref="W80:AG86">
    <cfRule type="expression" dxfId="121" priority="573">
      <formula>$B80=2</formula>
    </cfRule>
    <cfRule type="expression" dxfId="120" priority="572">
      <formula>$B80=3</formula>
    </cfRule>
    <cfRule type="expression" dxfId="119" priority="575">
      <formula>$B80=0</formula>
    </cfRule>
    <cfRule type="expression" dxfId="118" priority="574">
      <formula>$B80&lt;2</formula>
    </cfRule>
  </conditionalFormatting>
  <conditionalFormatting sqref="W99:AG100 A149:G150 I149:R150 A151:R151">
    <cfRule type="expression" dxfId="117" priority="777">
      <formula>$B99&lt;2</formula>
    </cfRule>
    <cfRule type="expression" dxfId="116" priority="776">
      <formula>$B99=2</formula>
    </cfRule>
  </conditionalFormatting>
  <conditionalFormatting sqref="W110:AG112">
    <cfRule type="expression" dxfId="115" priority="551">
      <formula>$B110=0</formula>
    </cfRule>
  </conditionalFormatting>
  <conditionalFormatting sqref="W136:AG136">
    <cfRule type="expression" dxfId="114" priority="545">
      <formula>$B136=2</formula>
    </cfRule>
    <cfRule type="expression" dxfId="113" priority="546">
      <formula>$B136&lt;2</formula>
    </cfRule>
    <cfRule type="expression" dxfId="112" priority="547">
      <formula>$B136=0</formula>
    </cfRule>
    <cfRule type="expression" dxfId="111" priority="544">
      <formula>$B136=3</formula>
    </cfRule>
  </conditionalFormatting>
  <conditionalFormatting sqref="W139:AG144">
    <cfRule type="expression" dxfId="110" priority="474">
      <formula>$B139&lt;2</formula>
    </cfRule>
    <cfRule type="expression" dxfId="109" priority="473">
      <formula>$B139=2</formula>
    </cfRule>
    <cfRule type="expression" dxfId="108" priority="472">
      <formula>$B139=3</formula>
    </cfRule>
  </conditionalFormatting>
  <conditionalFormatting sqref="Z101:AG107">
    <cfRule type="expression" dxfId="107" priority="124">
      <formula>$B101=0</formula>
    </cfRule>
    <cfRule type="expression" dxfId="106" priority="123">
      <formula>$B101&lt;2</formula>
    </cfRule>
    <cfRule type="expression" dxfId="105" priority="122">
      <formula>$B101=2</formula>
    </cfRule>
    <cfRule type="expression" dxfId="104" priority="121">
      <formula>$B101=3</formula>
    </cfRule>
  </conditionalFormatting>
  <conditionalFormatting sqref="Z137:AG137">
    <cfRule type="expression" dxfId="103" priority="522">
      <formula>$B137&lt;2</formula>
    </cfRule>
    <cfRule type="expression" dxfId="102" priority="521">
      <formula>$B137=2</formula>
    </cfRule>
    <cfRule type="expression" dxfId="101" priority="520">
      <formula>$B137=3</formula>
    </cfRule>
  </conditionalFormatting>
  <dataValidations count="17">
    <dataValidation type="whole" allowBlank="1" showInputMessage="1" showErrorMessage="1" sqref="Q194:R201 Q155:Q201 Q2:Q153" ns2:uid="{00000000-0002-0000-0000-000000000000}">
      <formula1>1950</formula1>
      <formula2>2025</formula2>
    </dataValidation>
    <dataValidation type="decimal" operator="greaterThan" allowBlank="1" showInputMessage="1" showErrorMessage="1" sqref="J134:J135 J138:J145 J149:J193 K2:K9 K56:K58 K61:K63 K65:K67 K71:K83 K88 K98:K108 K110:K151 K153:K193 N109:N1048576 N75:N87 N89:N107 N1:N71 J2:J131 K11:K52" ns2:uid="{00000000-0002-0000-0000-000001000000}">
      <formula1>0</formula1>
    </dataValidation>
    <dataValidation type="list" allowBlank="1" showInputMessage="1" showErrorMessage="1" sqref="M360:M370" ns2: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4:L1048576" ns2:uid="{00000000-0002-0000-0000-000003000000}">
      <formula1>"$/acres, $/MWe, $/m^3, $/MWt"</formula1>
    </dataValidation>
    <dataValidation type="whole" allowBlank="1" showInputMessage="1" showErrorMessage="1" sqref="P194:P339" ns2:uid="{00000000-0002-0000-0000-000004000000}">
      <formula1>0</formula1>
      <formula2>2</formula2>
    </dataValidation>
    <dataValidation type="decimal" allowBlank="1" showInputMessage="1" showErrorMessage="1" sqref="P145:P201 P86:P138 P2:P84" ns2:uid="{00000000-0002-0000-0000-000005000000}">
      <formula1>0</formula1>
      <formula2>2</formula2>
    </dataValidation>
    <dataValidation type="list" allowBlank="1" showInputMessage="1" showErrorMessage="1" sqref="O145:O201 O86:O135 O138 O2:O13 O18:O84 O15" ns2:uid="{00000000-0002-0000-0000-000006000000}">
      <formula1>"acres, MWe, m^3, MWt, Kg, Drums, kW, $, m^2, kg/s"</formula1>
    </dataValidation>
    <dataValidation type="list" allowBlank="1" showInputMessage="1" showErrorMessage="1" sqref="L145:L201 L86:L114 L116:L138 L2:L13 L18:L84 L15" ns2:uid="{00000000-0002-0000-0000-000007000000}">
      <formula1>"$/m^2,$/MWeHour,$/FTE, $/acres, $/MWe, $/m^3, $/MWt, $/Kg, $/Drum, $/(kg.sec), $/SWU, unitless, $/kWe"</formula1>
    </dataValidation>
    <dataValidation type="list" allowBlank="1" showInputMessage="1" showErrorMessage="1" sqref="O136:O137" ns2:uid="{00000000-0002-0000-0000-000008000000}">
      <formula1>"acres, MWe, m^3, MWt, Kg, Drums, kW, $, m^2, kg/s, kWe"</formula1>
    </dataValidation>
    <dataValidation type="list" allowBlank="1" showInputMessage="1" showErrorMessage="1" sqref="L85 L139:L144" ns2:uid="{00000000-0002-0000-0000-000009000000}">
      <formula1>"$/MWeHour,$/FTE, $/acres, $/MWe, $/m^3, $/MWt, $/Kg, $/Drum, $/(kg.sec), $/SWU, unitless"</formula1>
    </dataValidation>
    <dataValidation type="list" allowBlank="1" showInputMessage="1" showErrorMessage="1" sqref="O85 O139:O144" ns2:uid="{00000000-0002-0000-0000-00000A000000}">
      <formula1>"acres, MWe, m^3, MWt, Kg, Drums, kW, $"</formula1>
    </dataValidation>
    <dataValidation type="decimal" allowBlank="1" showInputMessage="1" showErrorMessage="1" sqref="P85 P139:P144" ns2:uid="{00000000-0002-0000-0000-00000B000000}">
      <formula1>0</formula1>
      <formula2>1</formula2>
    </dataValidation>
    <dataValidation type="list" allowBlank="1" showInputMessage="1" showErrorMessage="1" sqref="E2:E201" ns2:uid="{00000000-0002-0000-0000-00000C000000}">
      <formula1>"standard, nonstandard"</formula1>
    </dataValidation>
    <dataValidation type="list" allowBlank="1" showInputMessage="1" showErrorMessage="1" sqref="R2:R201" ns2:uid="{00000000-0002-0000-0000-00000D000000}">
      <formula1>"NA, General, Labor, Material, Equipment,Lab and Mat and Equip, 'Lab and Equip"</formula1>
    </dataValidation>
    <dataValidation type="list" allowBlank="1" showInputMessage="1" showErrorMessage="1" sqref="L115" ns2:uid="{00000000-0002-0000-0000-00000E000000}">
      <formula1>"$/heatpipe,$/m^2,$/MWeHour,$/FTE, $/acres, $/MWe, $/m^3, $/MWt, $/Kg, $/Drum, $/(kg.sec), $/SWU, unitless, $/kWe"</formula1>
    </dataValidation>
    <dataValidation type="list" allowBlank="1" showInputMessage="1" showErrorMessage="1" sqref="O16:O17 O14" ns2:uid="{404860D7-E1E0-6A4B-A6BA-FCD332FF61FE}">
      <formula1>"m,acres, MWe, m^3, MWt, Kg, Drums, kW, $, m^2, kg/s"</formula1>
    </dataValidation>
    <dataValidation type="list" allowBlank="1" showInputMessage="1" showErrorMessage="1" sqref="L16:L17 L14" ns2:uid="{F79DC16A-CFBC-5E4B-AA4C-06A7E72D0753}">
      <formula1>"$/m,$/m^2,$/MWeHour,$/FTE, $/acres, $/MWe, $/m^3, $/MWt, $/Kg, $/Drum, $/(kg.sec), $/SWU, unitless, $/kWe"</formula1>
    </dataValidation>
  </dataValidations>
  <hyperlinks>
    <hyperlink ref="U3" ns4:id="rId1" ns2:uid="{00000000-0004-0000-0000-000000000000}"/>
    <hyperlink ref="U5" ns4:id="rId2" ns2:uid="{00000000-0004-0000-0000-000001000000}"/>
    <hyperlink ref="U22" ns4:id="rId3" ns2:uid="{00000000-0004-0000-0000-000002000000}"/>
    <hyperlink ref="U23" ns4:id="rId4" ns2:uid="{00000000-0004-0000-0000-000003000000}"/>
    <hyperlink ref="U37" ns4:id="rId5" ns2:uid="{00000000-0004-0000-0000-000004000000}"/>
    <hyperlink ref="U53" ns4:id="rId6" ns2:uid="{00000000-0004-0000-0000-000005000000}"/>
    <hyperlink ref="U113" ns4:id="rId7" ns2:uid="{00000000-0004-0000-0000-000006000000}"/>
    <hyperlink ref="U124" ns4:id="rId8" ns2:uid="{00000000-0004-0000-0000-000007000000}"/>
    <hyperlink ref="U134" ns4:id="rId9" ns2:uid="{00000000-0004-0000-0000-000008000000}"/>
    <hyperlink ref="U135" ns4:id="rId10" ns2:uid="{00000000-0004-0000-0000-000009000000}"/>
    <hyperlink ref="U139" ns4:id="rId11" ns2:uid="{00000000-0004-0000-0000-00000A000000}"/>
    <hyperlink ref="U140" ns4:id="rId12" ns2:uid="{00000000-0004-0000-0000-00000B000000}"/>
    <hyperlink ref="U173" ns4:id="rId13" ns2: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election sqref="A1:A2"/>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6.75" customHeight="1" x14ac:dyDescent="0.2">
      <c r="A1" s="230" t="s">
        <v>428</v>
      </c>
      <c r="B1" s="229" t="s">
        <v>3</v>
      </c>
      <c r="C1" s="227" t="s">
        <v>429</v>
      </c>
    </row>
    <row r="2" spans="1:5" x14ac:dyDescent="0.2">
      <c r="A2" s="228"/>
      <c r="B2" s="228"/>
      <c r="C2" s="228"/>
    </row>
    <row r="3" spans="1:5" ht="28.25" customHeight="1" x14ac:dyDescent="0.2">
      <c r="A3" s="28">
        <v>10</v>
      </c>
      <c r="B3" s="12" t="s">
        <v>33</v>
      </c>
      <c r="C3" s="13">
        <f>C4</f>
        <v>5210451</v>
      </c>
    </row>
    <row r="4" spans="1:5" ht="28.25" customHeight="1" x14ac:dyDescent="0.2">
      <c r="A4" s="29">
        <v>15</v>
      </c>
      <c r="B4" s="10" t="s">
        <v>64</v>
      </c>
      <c r="C4" s="11">
        <v>5210451</v>
      </c>
      <c r="E4" s="11"/>
    </row>
    <row r="5" spans="1:5" ht="28.25" customHeight="1" x14ac:dyDescent="0.2">
      <c r="A5" s="28">
        <v>20</v>
      </c>
      <c r="B5" s="12" t="s">
        <v>69</v>
      </c>
      <c r="C5" s="13">
        <f>C6+C13+C45+C48+C52+C54</f>
        <v>30295715.421999998</v>
      </c>
    </row>
    <row r="6" spans="1:5" ht="28.25" customHeight="1" x14ac:dyDescent="0.2">
      <c r="A6" s="29">
        <v>21</v>
      </c>
      <c r="B6" s="10" t="s">
        <v>70</v>
      </c>
      <c r="C6" s="11">
        <f>C7+C8+C9+C10</f>
        <v>2799006.731999998</v>
      </c>
    </row>
    <row r="7" spans="1:5" ht="28.25" customHeight="1" x14ac:dyDescent="0.2">
      <c r="A7" s="29">
        <v>211</v>
      </c>
      <c r="B7" s="10" t="s">
        <v>430</v>
      </c>
      <c r="C7" s="11"/>
    </row>
    <row r="8" spans="1:5" ht="28.25" customHeight="1" x14ac:dyDescent="0.2">
      <c r="A8" s="29">
        <v>212</v>
      </c>
      <c r="B8" s="10" t="s">
        <v>83</v>
      </c>
      <c r="C8" s="11">
        <v>2573469.8719999981</v>
      </c>
    </row>
    <row r="9" spans="1:5" ht="28.25" customHeight="1" x14ac:dyDescent="0.2">
      <c r="A9" s="29">
        <v>213</v>
      </c>
      <c r="B9" s="10" t="s">
        <v>101</v>
      </c>
      <c r="C9" s="11"/>
    </row>
    <row r="10" spans="1:5" ht="28.25" customHeight="1" x14ac:dyDescent="0.2">
      <c r="A10" s="29">
        <v>214</v>
      </c>
      <c r="B10" s="10" t="s">
        <v>128</v>
      </c>
      <c r="C10" s="11">
        <f>SUM(C11:C11)</f>
        <v>225536.86</v>
      </c>
    </row>
    <row r="11" spans="1:5" ht="28.25" customHeight="1" x14ac:dyDescent="0.2">
      <c r="A11" s="29">
        <v>214.7</v>
      </c>
      <c r="B11" s="10" t="s">
        <v>431</v>
      </c>
      <c r="C11" s="11">
        <v>225536.86</v>
      </c>
      <c r="E11" s="32"/>
    </row>
    <row r="12" spans="1:5" ht="28.25" customHeight="1" x14ac:dyDescent="0.2">
      <c r="A12" s="29">
        <v>217</v>
      </c>
      <c r="B12" s="10" t="s">
        <v>432</v>
      </c>
      <c r="C12" s="11"/>
    </row>
    <row r="13" spans="1:5" ht="28.25" customHeight="1" x14ac:dyDescent="0.2">
      <c r="A13" s="29">
        <v>22</v>
      </c>
      <c r="B13" s="10" t="s">
        <v>182</v>
      </c>
      <c r="C13" s="11">
        <f>C14+C32+C41+C42+C43+C44</f>
        <v>17586712.57</v>
      </c>
    </row>
    <row r="14" spans="1:5" ht="28.25" customHeight="1" x14ac:dyDescent="0.2">
      <c r="A14" s="29">
        <v>221</v>
      </c>
      <c r="B14" s="10" t="s">
        <v>183</v>
      </c>
      <c r="C14" s="11">
        <f>C15+C19+C25</f>
        <v>8937296.5999999996</v>
      </c>
    </row>
    <row r="15" spans="1:5" ht="28.25" customHeight="1" x14ac:dyDescent="0.2">
      <c r="A15" s="29">
        <v>221.1</v>
      </c>
      <c r="B15" s="10" t="s">
        <v>433</v>
      </c>
      <c r="C15" s="11">
        <f>C16+C17+C18</f>
        <v>2004852</v>
      </c>
    </row>
    <row r="16" spans="1:5" ht="28.25" customHeight="1" x14ac:dyDescent="0.2">
      <c r="A16" s="29">
        <v>221.11</v>
      </c>
      <c r="B16" s="10" t="s">
        <v>434</v>
      </c>
      <c r="C16" s="11">
        <v>762382.4</v>
      </c>
    </row>
    <row r="17" spans="1:4" ht="28.25" customHeight="1" x14ac:dyDescent="0.2">
      <c r="A17" s="29">
        <v>221.12</v>
      </c>
      <c r="B17" s="14" t="s">
        <v>435</v>
      </c>
      <c r="C17" s="11">
        <v>1201688.6000000001</v>
      </c>
    </row>
    <row r="18" spans="1:4" ht="28.25" customHeight="1" x14ac:dyDescent="0.2">
      <c r="A18" s="29">
        <v>221.13</v>
      </c>
      <c r="B18" s="14" t="s">
        <v>436</v>
      </c>
      <c r="C18" s="11">
        <v>40781</v>
      </c>
    </row>
    <row r="19" spans="1:4" ht="28.25" customHeight="1" x14ac:dyDescent="0.2">
      <c r="A19" s="29">
        <v>221.2</v>
      </c>
      <c r="B19" s="14" t="s">
        <v>437</v>
      </c>
      <c r="C19" s="11">
        <f>C20</f>
        <v>2114223</v>
      </c>
    </row>
    <row r="20" spans="1:4" ht="30.25" customHeight="1" x14ac:dyDescent="0.2">
      <c r="A20" s="29">
        <v>221.21</v>
      </c>
      <c r="B20" s="14" t="s">
        <v>438</v>
      </c>
      <c r="C20" s="11">
        <f>SUM(C21:C23)</f>
        <v>2114223</v>
      </c>
    </row>
    <row r="21" spans="1:4" ht="28.25" customHeight="1" x14ac:dyDescent="0.2">
      <c r="A21" s="8">
        <v>221.21100000000001</v>
      </c>
      <c r="B21" s="9" t="s">
        <v>206</v>
      </c>
      <c r="C21" s="11">
        <v>1391560</v>
      </c>
      <c r="D21" s="6"/>
    </row>
    <row r="22" spans="1:4" ht="28.25" customHeight="1" x14ac:dyDescent="0.2">
      <c r="A22" s="8">
        <v>221.21199999999999</v>
      </c>
      <c r="B22" s="9" t="s">
        <v>214</v>
      </c>
      <c r="C22" s="11">
        <v>322663</v>
      </c>
    </row>
    <row r="23" spans="1:4" ht="28.25" customHeight="1" x14ac:dyDescent="0.2">
      <c r="A23" s="8">
        <v>221.21299999999999</v>
      </c>
      <c r="B23" s="9" t="s">
        <v>215</v>
      </c>
      <c r="C23" s="11">
        <v>400000</v>
      </c>
    </row>
    <row r="24" spans="1:4" ht="28.25" customHeight="1" x14ac:dyDescent="0.2">
      <c r="A24" s="8">
        <v>221.214</v>
      </c>
      <c r="B24" s="9" t="s">
        <v>222</v>
      </c>
    </row>
    <row r="25" spans="1:4" ht="28.25" customHeight="1" x14ac:dyDescent="0.2">
      <c r="A25" s="29">
        <v>221.3</v>
      </c>
      <c r="B25" s="14" t="s">
        <v>439</v>
      </c>
      <c r="C25" s="11">
        <f>C26+C30+C31</f>
        <v>4818221.5999999996</v>
      </c>
    </row>
    <row r="26" spans="1:4" ht="28.25" customHeight="1" x14ac:dyDescent="0.2">
      <c r="A26" s="29">
        <v>221.31</v>
      </c>
      <c r="B26" s="14" t="s">
        <v>236</v>
      </c>
      <c r="C26" s="11">
        <v>4170231</v>
      </c>
    </row>
    <row r="27" spans="1:4" ht="28.25" customHeight="1" x14ac:dyDescent="0.2">
      <c r="A27" s="31">
        <v>221.31100000000001</v>
      </c>
      <c r="B27" s="14" t="s">
        <v>440</v>
      </c>
      <c r="C27" s="11">
        <v>3200000</v>
      </c>
    </row>
    <row r="28" spans="1:4" ht="28.25" customHeight="1" x14ac:dyDescent="0.2">
      <c r="A28" s="31">
        <v>221.31200000000001</v>
      </c>
      <c r="B28" s="14" t="s">
        <v>441</v>
      </c>
      <c r="C28" s="11">
        <v>850000</v>
      </c>
    </row>
    <row r="29" spans="1:4" ht="28.25" customHeight="1" x14ac:dyDescent="0.2">
      <c r="A29" s="31">
        <v>221.31299999999999</v>
      </c>
      <c r="B29" s="14" t="s">
        <v>442</v>
      </c>
      <c r="C29" s="11">
        <v>120231</v>
      </c>
    </row>
    <row r="30" spans="1:4" ht="28.25" customHeight="1" x14ac:dyDescent="0.2">
      <c r="A30" s="29">
        <v>221.32</v>
      </c>
      <c r="B30" s="14" t="s">
        <v>243</v>
      </c>
      <c r="C30" s="11">
        <v>647990.6</v>
      </c>
    </row>
    <row r="31" spans="1:4" ht="28.25" customHeight="1" x14ac:dyDescent="0.2">
      <c r="A31" s="29">
        <v>221.33</v>
      </c>
      <c r="B31" s="14" t="s">
        <v>251</v>
      </c>
      <c r="C31" s="11">
        <v>0</v>
      </c>
    </row>
    <row r="32" spans="1:4" ht="28.25" customHeight="1" x14ac:dyDescent="0.2">
      <c r="A32" s="29" t="s">
        <v>443</v>
      </c>
      <c r="B32" s="10" t="s">
        <v>265</v>
      </c>
      <c r="C32" s="11">
        <f>C33+C34+C38+C39+C40</f>
        <v>5908950.5999999996</v>
      </c>
    </row>
    <row r="33" spans="1:3" ht="28.25" customHeight="1" x14ac:dyDescent="0.2">
      <c r="A33" s="29">
        <v>222.1</v>
      </c>
      <c r="B33" s="10" t="s">
        <v>444</v>
      </c>
      <c r="C33" s="11">
        <v>0</v>
      </c>
    </row>
    <row r="34" spans="1:3" ht="28.25" customHeight="1" x14ac:dyDescent="0.2">
      <c r="A34" s="29">
        <v>222.2</v>
      </c>
      <c r="B34" s="10" t="s">
        <v>445</v>
      </c>
      <c r="C34" s="11">
        <v>4890230.5999999996</v>
      </c>
    </row>
    <row r="35" spans="1:3" ht="28.25" customHeight="1" x14ac:dyDescent="0.2">
      <c r="A35" s="29">
        <v>222.21</v>
      </c>
      <c r="B35" s="10" t="s">
        <v>446</v>
      </c>
      <c r="C35" s="11">
        <v>1520786</v>
      </c>
    </row>
    <row r="36" spans="1:3" ht="57" customHeight="1" x14ac:dyDescent="0.2">
      <c r="A36" s="29">
        <v>222.22</v>
      </c>
      <c r="B36" s="10" t="s">
        <v>447</v>
      </c>
      <c r="C36" s="11">
        <v>3341486</v>
      </c>
    </row>
    <row r="37" spans="1:3" ht="57" customHeight="1" x14ac:dyDescent="0.2">
      <c r="A37" s="29">
        <v>222.23</v>
      </c>
      <c r="B37" s="10" t="s">
        <v>448</v>
      </c>
      <c r="C37" s="11">
        <v>27958.6</v>
      </c>
    </row>
    <row r="38" spans="1:3" ht="28.25" customHeight="1" x14ac:dyDescent="0.2">
      <c r="A38" s="29">
        <v>222.3</v>
      </c>
      <c r="B38" s="10" t="s">
        <v>290</v>
      </c>
      <c r="C38" s="11">
        <v>0</v>
      </c>
    </row>
    <row r="39" spans="1:3" ht="28.25" customHeight="1" x14ac:dyDescent="0.2">
      <c r="A39" s="29">
        <v>222.4</v>
      </c>
      <c r="B39" s="10" t="s">
        <v>449</v>
      </c>
      <c r="C39" s="11">
        <v>0</v>
      </c>
    </row>
    <row r="40" spans="1:3" ht="28.25" customHeight="1" x14ac:dyDescent="0.2">
      <c r="A40" s="29">
        <v>222.5</v>
      </c>
      <c r="B40" s="10" t="s">
        <v>450</v>
      </c>
      <c r="C40" s="11">
        <v>1018720</v>
      </c>
    </row>
    <row r="41" spans="1:3" ht="28.25" customHeight="1" x14ac:dyDescent="0.2">
      <c r="A41" s="29" t="s">
        <v>451</v>
      </c>
      <c r="B41" s="10" t="s">
        <v>452</v>
      </c>
      <c r="C41" s="11"/>
    </row>
    <row r="42" spans="1:3" ht="28.25" customHeight="1" x14ac:dyDescent="0.2">
      <c r="A42" s="29" t="s">
        <v>453</v>
      </c>
      <c r="B42" s="10" t="s">
        <v>319</v>
      </c>
      <c r="C42" s="11">
        <v>456297</v>
      </c>
    </row>
    <row r="43" spans="1:3" ht="28.25" customHeight="1" x14ac:dyDescent="0.2">
      <c r="A43" s="29" t="s">
        <v>454</v>
      </c>
      <c r="B43" s="10" t="s">
        <v>327</v>
      </c>
      <c r="C43" s="11">
        <v>2253208.37</v>
      </c>
    </row>
    <row r="44" spans="1:3" ht="28.25" customHeight="1" x14ac:dyDescent="0.2">
      <c r="A44" s="29" t="s">
        <v>455</v>
      </c>
      <c r="B44" s="10" t="s">
        <v>332</v>
      </c>
      <c r="C44" s="11">
        <v>30960</v>
      </c>
    </row>
    <row r="45" spans="1:3" ht="28.25" customHeight="1" x14ac:dyDescent="0.2">
      <c r="A45" s="29">
        <v>23</v>
      </c>
      <c r="B45" s="10" t="s">
        <v>456</v>
      </c>
      <c r="C45" s="11">
        <f>C46</f>
        <v>0</v>
      </c>
    </row>
    <row r="46" spans="1:3" ht="28.25" customHeight="1" x14ac:dyDescent="0.2">
      <c r="A46" s="29">
        <v>232</v>
      </c>
      <c r="B46" s="10" t="s">
        <v>334</v>
      </c>
      <c r="C46" s="11">
        <f>C47</f>
        <v>0</v>
      </c>
    </row>
    <row r="47" spans="1:3" ht="28.25" customHeight="1" x14ac:dyDescent="0.2">
      <c r="A47" s="29">
        <v>232.1</v>
      </c>
      <c r="B47" s="10" t="s">
        <v>335</v>
      </c>
      <c r="C47" s="11">
        <v>0</v>
      </c>
    </row>
    <row r="48" spans="1:3" ht="28.25" customHeight="1" x14ac:dyDescent="0.2">
      <c r="A48" s="29">
        <v>24</v>
      </c>
      <c r="B48" s="10" t="s">
        <v>342</v>
      </c>
      <c r="C48" s="11">
        <f>C49+C50+C51</f>
        <v>73415.62000000001</v>
      </c>
    </row>
    <row r="49" spans="1:3" ht="28.25" customHeight="1" x14ac:dyDescent="0.2">
      <c r="A49" s="29" t="s">
        <v>457</v>
      </c>
      <c r="B49" s="10" t="s">
        <v>458</v>
      </c>
      <c r="C49" s="11">
        <v>1627.02</v>
      </c>
    </row>
    <row r="50" spans="1:3" ht="28.25" customHeight="1" x14ac:dyDescent="0.2">
      <c r="A50" s="29" t="s">
        <v>459</v>
      </c>
      <c r="B50" s="10" t="s">
        <v>460</v>
      </c>
      <c r="C50" s="11">
        <v>0</v>
      </c>
    </row>
    <row r="51" spans="1:3" ht="28.25" customHeight="1" x14ac:dyDescent="0.2">
      <c r="A51" s="29" t="s">
        <v>461</v>
      </c>
      <c r="B51" s="10" t="s">
        <v>462</v>
      </c>
      <c r="C51" s="11">
        <v>71788.600000000006</v>
      </c>
    </row>
    <row r="52" spans="1:3" ht="28.25" customHeight="1" x14ac:dyDescent="0.2">
      <c r="A52" s="29">
        <v>25</v>
      </c>
      <c r="B52" s="10" t="s">
        <v>351</v>
      </c>
      <c r="C52" s="11">
        <f>C53</f>
        <v>9836580.5</v>
      </c>
    </row>
    <row r="53" spans="1:3" ht="28.25" customHeight="1" x14ac:dyDescent="0.2">
      <c r="A53" s="29" t="s">
        <v>463</v>
      </c>
      <c r="B53" s="10" t="s">
        <v>360</v>
      </c>
      <c r="C53" s="11">
        <v>9836580.5</v>
      </c>
    </row>
    <row r="54" spans="1:3" ht="28.25" customHeight="1" x14ac:dyDescent="0.2">
      <c r="A54" s="29">
        <v>26</v>
      </c>
      <c r="B54" s="10" t="s">
        <v>464</v>
      </c>
      <c r="C54" s="11"/>
    </row>
    <row r="55" spans="1:3" ht="28.25" customHeight="1" x14ac:dyDescent="0.2">
      <c r="A55" s="28">
        <v>30</v>
      </c>
      <c r="B55" s="12" t="s">
        <v>370</v>
      </c>
      <c r="C55" s="13">
        <f>C56+C58+C62+C65+C68</f>
        <v>6442742.523737831</v>
      </c>
    </row>
    <row r="56" spans="1:3" ht="28.25" customHeight="1" x14ac:dyDescent="0.2">
      <c r="A56" s="29">
        <v>31</v>
      </c>
      <c r="B56" s="10" t="s">
        <v>465</v>
      </c>
      <c r="C56" s="11">
        <f>C57</f>
        <v>1333020.8</v>
      </c>
    </row>
    <row r="57" spans="1:3" ht="28.25" customHeight="1" x14ac:dyDescent="0.2">
      <c r="A57" s="29">
        <v>317</v>
      </c>
      <c r="B57" s="10" t="s">
        <v>466</v>
      </c>
      <c r="C57" s="11">
        <v>1333020.8</v>
      </c>
    </row>
    <row r="58" spans="1:3" ht="28.25" customHeight="1" x14ac:dyDescent="0.2">
      <c r="A58" s="29">
        <v>33</v>
      </c>
      <c r="B58" s="10" t="s">
        <v>373</v>
      </c>
      <c r="C58" s="11">
        <f>C59</f>
        <v>2407166.4</v>
      </c>
    </row>
    <row r="59" spans="1:3" ht="28.25" customHeight="1" x14ac:dyDescent="0.2">
      <c r="A59" s="29">
        <v>331</v>
      </c>
      <c r="B59" s="10" t="s">
        <v>467</v>
      </c>
      <c r="C59" s="11">
        <f>C60+C61</f>
        <v>2407166.4</v>
      </c>
    </row>
    <row r="60" spans="1:3" ht="28.25" customHeight="1" x14ac:dyDescent="0.2">
      <c r="A60" s="29">
        <v>331.3</v>
      </c>
      <c r="B60" s="10" t="s">
        <v>468</v>
      </c>
      <c r="C60" s="11">
        <v>215000</v>
      </c>
    </row>
    <row r="61" spans="1:3" ht="28.25" customHeight="1" x14ac:dyDescent="0.2">
      <c r="A61" s="29">
        <v>331.5</v>
      </c>
      <c r="B61" s="10" t="s">
        <v>469</v>
      </c>
      <c r="C61" s="11">
        <v>2192166.4</v>
      </c>
    </row>
    <row r="62" spans="1:3" ht="28.25" customHeight="1" x14ac:dyDescent="0.2">
      <c r="A62" s="29">
        <v>34</v>
      </c>
      <c r="B62" s="10" t="s">
        <v>374</v>
      </c>
      <c r="C62" s="11">
        <f>C63+C64</f>
        <v>1665282.8</v>
      </c>
    </row>
    <row r="63" spans="1:3" ht="28.25" customHeight="1" x14ac:dyDescent="0.2">
      <c r="A63" s="29">
        <v>341</v>
      </c>
      <c r="B63" s="10" t="s">
        <v>470</v>
      </c>
      <c r="C63" s="11">
        <v>1635355.8</v>
      </c>
    </row>
    <row r="64" spans="1:3" ht="28.25" customHeight="1" x14ac:dyDescent="0.2">
      <c r="A64" s="29">
        <v>345</v>
      </c>
      <c r="B64" s="10" t="s">
        <v>471</v>
      </c>
      <c r="C64" s="11">
        <v>29927</v>
      </c>
    </row>
    <row r="65" spans="1:3" ht="28.25" customHeight="1" x14ac:dyDescent="0.2">
      <c r="A65" s="29">
        <v>35</v>
      </c>
      <c r="B65" s="10" t="s">
        <v>375</v>
      </c>
      <c r="C65" s="11">
        <f>C66+C67</f>
        <v>620313.58773783164</v>
      </c>
    </row>
    <row r="66" spans="1:3" ht="28.25" customHeight="1" x14ac:dyDescent="0.2">
      <c r="A66" s="29">
        <v>351</v>
      </c>
      <c r="B66" s="10" t="s">
        <v>472</v>
      </c>
      <c r="C66" s="11">
        <v>257261.4</v>
      </c>
    </row>
    <row r="67" spans="1:3" ht="28.25" customHeight="1" x14ac:dyDescent="0.2">
      <c r="A67" s="29">
        <v>352</v>
      </c>
      <c r="B67" s="10" t="s">
        <v>473</v>
      </c>
      <c r="C67" s="11">
        <v>363052.18773783161</v>
      </c>
    </row>
    <row r="68" spans="1:3" ht="28.25" customHeight="1" x14ac:dyDescent="0.2">
      <c r="A68" s="29">
        <v>36</v>
      </c>
      <c r="B68" s="10" t="s">
        <v>376</v>
      </c>
      <c r="C68" s="11">
        <f>C69+C70</f>
        <v>416958.9359999997</v>
      </c>
    </row>
    <row r="69" spans="1:3" ht="28.25" customHeight="1" x14ac:dyDescent="0.2">
      <c r="A69" s="29">
        <v>361</v>
      </c>
      <c r="B69" s="10" t="s">
        <v>472</v>
      </c>
      <c r="C69" s="11"/>
    </row>
    <row r="70" spans="1:3" ht="28.25" customHeight="1" x14ac:dyDescent="0.2">
      <c r="A70" s="29">
        <v>362</v>
      </c>
      <c r="B70" s="10" t="s">
        <v>473</v>
      </c>
      <c r="C70" s="11">
        <v>416958.9359999997</v>
      </c>
    </row>
    <row r="71" spans="1:3" ht="28.25" customHeight="1" x14ac:dyDescent="0.2">
      <c r="A71" s="28">
        <v>40</v>
      </c>
      <c r="B71" s="12" t="s">
        <v>474</v>
      </c>
      <c r="C71" s="13">
        <f>C72</f>
        <v>4169765</v>
      </c>
    </row>
    <row r="72" spans="1:3" ht="28.25" customHeight="1" x14ac:dyDescent="0.2">
      <c r="A72" s="29">
        <v>41</v>
      </c>
      <c r="B72" s="10" t="s">
        <v>475</v>
      </c>
      <c r="C72" s="11">
        <v>4169765</v>
      </c>
    </row>
    <row r="73" spans="1:3" ht="28.25" customHeight="1" x14ac:dyDescent="0.2">
      <c r="A73" s="28">
        <v>50</v>
      </c>
      <c r="B73" s="12" t="s">
        <v>476</v>
      </c>
      <c r="C73" s="13">
        <f>C74</f>
        <v>16408781.6</v>
      </c>
    </row>
    <row r="74" spans="1:3" ht="28.25" customHeight="1" x14ac:dyDescent="0.2">
      <c r="A74" s="29">
        <v>54</v>
      </c>
      <c r="B74" s="10" t="s">
        <v>477</v>
      </c>
      <c r="C74" s="11">
        <v>16408781.6</v>
      </c>
    </row>
    <row r="75" spans="1:3" ht="28.25" customHeight="1" x14ac:dyDescent="0.2">
      <c r="A75" s="28">
        <v>60</v>
      </c>
      <c r="B75" s="12" t="s">
        <v>381</v>
      </c>
      <c r="C75" s="13">
        <f>C76</f>
        <v>6160606</v>
      </c>
    </row>
    <row r="76" spans="1:3" ht="28.25" customHeight="1" x14ac:dyDescent="0.2">
      <c r="A76" s="29">
        <v>61</v>
      </c>
      <c r="B76" s="10" t="s">
        <v>478</v>
      </c>
      <c r="C76" s="11">
        <v>6160606</v>
      </c>
    </row>
    <row r="77" spans="1:3" ht="28.25" customHeight="1" x14ac:dyDescent="0.2">
      <c r="A77" s="29">
        <v>70</v>
      </c>
      <c r="B77" s="10" t="s">
        <v>383</v>
      </c>
      <c r="C77" s="11">
        <f>C78</f>
        <v>2456659.2000000002</v>
      </c>
    </row>
    <row r="78" spans="1:3" ht="28.25" customHeight="1" x14ac:dyDescent="0.2">
      <c r="A78" s="29">
        <v>71</v>
      </c>
      <c r="B78" s="10" t="s">
        <v>384</v>
      </c>
      <c r="C78" s="11">
        <v>2456659.2000000002</v>
      </c>
    </row>
    <row r="79" spans="1:3" ht="85.25"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30.25" customHeight="1" x14ac:dyDescent="0.2">
      <c r="A1" s="17" t="s">
        <v>480</v>
      </c>
      <c r="B1" s="18" t="s">
        <v>481</v>
      </c>
      <c r="C1" s="18" t="s">
        <v>14</v>
      </c>
      <c r="D1" s="18" t="s">
        <v>482</v>
      </c>
    </row>
    <row r="2" spans="1:4" ht="25" customHeight="1" x14ac:dyDescent="0.2">
      <c r="A2" s="231" t="s">
        <v>483</v>
      </c>
      <c r="B2" s="232"/>
      <c r="C2" s="232"/>
      <c r="D2" s="233"/>
    </row>
    <row r="3" spans="1:4" ht="25" customHeight="1" x14ac:dyDescent="0.2">
      <c r="A3" s="20" t="s">
        <v>484</v>
      </c>
      <c r="B3" s="5">
        <v>83</v>
      </c>
      <c r="C3" s="21" t="s">
        <v>485</v>
      </c>
      <c r="D3" s="21" t="s">
        <v>486</v>
      </c>
    </row>
    <row r="4" spans="1:4" ht="25" customHeight="1" x14ac:dyDescent="0.2">
      <c r="A4" s="20" t="s">
        <v>487</v>
      </c>
      <c r="B4" s="5">
        <v>20</v>
      </c>
      <c r="C4" s="21" t="s">
        <v>488</v>
      </c>
      <c r="D4" s="21"/>
    </row>
    <row r="5" spans="1:4" ht="25" customHeight="1" x14ac:dyDescent="0.2">
      <c r="A5" s="20" t="s">
        <v>489</v>
      </c>
      <c r="B5" s="5">
        <v>5.5</v>
      </c>
      <c r="C5" s="21" t="s">
        <v>490</v>
      </c>
      <c r="D5" s="21" t="s">
        <v>486</v>
      </c>
    </row>
    <row r="6" spans="1:4" ht="25" customHeight="1" x14ac:dyDescent="0.2">
      <c r="A6" s="20" t="s">
        <v>491</v>
      </c>
      <c r="B6" s="5">
        <v>16.5</v>
      </c>
      <c r="C6" s="21" t="s">
        <v>490</v>
      </c>
      <c r="D6" s="21" t="s">
        <v>486</v>
      </c>
    </row>
    <row r="7" spans="1:4" ht="25" customHeight="1" x14ac:dyDescent="0.2">
      <c r="A7" s="231" t="s">
        <v>363</v>
      </c>
      <c r="B7" s="232"/>
      <c r="C7" s="232"/>
      <c r="D7" s="233"/>
    </row>
    <row r="8" spans="1:4" ht="25" customHeight="1" x14ac:dyDescent="0.2">
      <c r="A8" s="20" t="s">
        <v>492</v>
      </c>
      <c r="B8" s="5">
        <v>145.30000000000001</v>
      </c>
      <c r="C8" s="21" t="s">
        <v>493</v>
      </c>
      <c r="D8" s="21" t="s">
        <v>494</v>
      </c>
    </row>
    <row r="9" spans="1:4" ht="25" customHeight="1" x14ac:dyDescent="0.2">
      <c r="A9" s="20" t="s">
        <v>495</v>
      </c>
      <c r="B9" s="5">
        <v>30</v>
      </c>
      <c r="C9" s="21" t="s">
        <v>496</v>
      </c>
      <c r="D9" s="21" t="s">
        <v>497</v>
      </c>
    </row>
    <row r="10" spans="1:4" ht="25" customHeight="1" x14ac:dyDescent="0.2">
      <c r="A10" s="20" t="s">
        <v>498</v>
      </c>
      <c r="B10" s="5">
        <v>19.75</v>
      </c>
      <c r="C10" s="21" t="s">
        <v>496</v>
      </c>
      <c r="D10" s="21" t="s">
        <v>499</v>
      </c>
    </row>
    <row r="11" spans="1:4" ht="25" customHeight="1" x14ac:dyDescent="0.2">
      <c r="A11" s="20" t="s">
        <v>500</v>
      </c>
      <c r="B11" s="5">
        <v>36</v>
      </c>
      <c r="C11" s="21" t="s">
        <v>501</v>
      </c>
      <c r="D11" s="21" t="s">
        <v>486</v>
      </c>
    </row>
    <row r="12" spans="1:4" ht="25" customHeight="1" x14ac:dyDescent="0.2">
      <c r="A12" s="231" t="s">
        <v>236</v>
      </c>
      <c r="B12" s="232"/>
      <c r="C12" s="232"/>
      <c r="D12" s="233"/>
    </row>
    <row r="13" spans="1:4" ht="25" customHeight="1" x14ac:dyDescent="0.2">
      <c r="A13" s="20" t="s">
        <v>502</v>
      </c>
      <c r="B13" s="5" t="s">
        <v>224</v>
      </c>
      <c r="C13" s="21" t="s">
        <v>486</v>
      </c>
      <c r="D13" s="21" t="s">
        <v>503</v>
      </c>
    </row>
    <row r="14" spans="1:4" ht="25" customHeight="1" x14ac:dyDescent="0.2">
      <c r="A14" s="20" t="s">
        <v>504</v>
      </c>
      <c r="B14" s="5">
        <v>124</v>
      </c>
      <c r="C14" s="21" t="s">
        <v>501</v>
      </c>
      <c r="D14" s="21" t="s">
        <v>505</v>
      </c>
    </row>
    <row r="15" spans="1:4" ht="25" customHeight="1" x14ac:dyDescent="0.2">
      <c r="A15" s="20" t="s">
        <v>506</v>
      </c>
      <c r="B15" s="5">
        <v>1</v>
      </c>
      <c r="C15" s="21" t="s">
        <v>490</v>
      </c>
      <c r="D15" s="21" t="s">
        <v>486</v>
      </c>
    </row>
    <row r="16" spans="1:4" ht="28.25" customHeight="1" x14ac:dyDescent="0.2">
      <c r="A16" s="20" t="s">
        <v>507</v>
      </c>
      <c r="B16" s="5">
        <v>818.4</v>
      </c>
      <c r="C16" s="21" t="s">
        <v>508</v>
      </c>
      <c r="D16" s="21" t="s">
        <v>486</v>
      </c>
    </row>
    <row r="17" spans="1:4" ht="25" customHeight="1" x14ac:dyDescent="0.2">
      <c r="A17" s="20" t="s">
        <v>509</v>
      </c>
      <c r="B17" s="5">
        <v>318</v>
      </c>
      <c r="C17" s="21" t="s">
        <v>188</v>
      </c>
      <c r="D17" s="21"/>
    </row>
    <row r="18" spans="1:4" ht="28.25" customHeight="1" x14ac:dyDescent="0.2">
      <c r="A18" s="20" t="s">
        <v>510</v>
      </c>
      <c r="B18" s="5">
        <v>570</v>
      </c>
      <c r="C18" s="21" t="s">
        <v>508</v>
      </c>
      <c r="D18" s="21" t="s">
        <v>486</v>
      </c>
    </row>
    <row r="19" spans="1:4" ht="25" customHeight="1" x14ac:dyDescent="0.2">
      <c r="A19" s="20" t="s">
        <v>511</v>
      </c>
      <c r="B19" s="5">
        <v>1.9E-2</v>
      </c>
      <c r="C19" s="21" t="s">
        <v>512</v>
      </c>
      <c r="D19" s="21" t="s">
        <v>486</v>
      </c>
    </row>
    <row r="20" spans="1:4" ht="25" customHeight="1" x14ac:dyDescent="0.2">
      <c r="A20" s="231" t="s">
        <v>513</v>
      </c>
      <c r="B20" s="232"/>
      <c r="C20" s="232"/>
      <c r="D20" s="233"/>
    </row>
    <row r="21" spans="1:4" ht="25" customHeight="1" x14ac:dyDescent="0.2">
      <c r="A21" s="20" t="s">
        <v>514</v>
      </c>
      <c r="B21" s="5">
        <v>4</v>
      </c>
      <c r="C21" s="21" t="s">
        <v>501</v>
      </c>
      <c r="D21" s="21" t="s">
        <v>486</v>
      </c>
    </row>
    <row r="22" spans="1:4" ht="25" customHeight="1" x14ac:dyDescent="0.2">
      <c r="A22" s="20" t="s">
        <v>515</v>
      </c>
      <c r="B22" s="5">
        <v>1</v>
      </c>
      <c r="C22" s="21" t="s">
        <v>501</v>
      </c>
      <c r="D22" s="21" t="s">
        <v>486</v>
      </c>
    </row>
    <row r="23" spans="1:4" ht="25" customHeight="1" x14ac:dyDescent="0.2">
      <c r="A23" s="20" t="s">
        <v>516</v>
      </c>
      <c r="B23" s="5">
        <v>124</v>
      </c>
      <c r="C23" s="21" t="s">
        <v>501</v>
      </c>
      <c r="D23" s="21" t="s">
        <v>517</v>
      </c>
    </row>
    <row r="24" spans="1:4" ht="25" customHeight="1" x14ac:dyDescent="0.2">
      <c r="A24" s="20" t="s">
        <v>518</v>
      </c>
      <c r="B24" s="5">
        <v>1</v>
      </c>
      <c r="C24" s="21" t="s">
        <v>490</v>
      </c>
      <c r="D24" s="21" t="s">
        <v>486</v>
      </c>
    </row>
    <row r="25" spans="1:4" ht="28.25" customHeight="1" x14ac:dyDescent="0.2">
      <c r="A25" s="20" t="s">
        <v>519</v>
      </c>
      <c r="B25" s="5">
        <v>880.8</v>
      </c>
      <c r="C25" s="21" t="s">
        <v>508</v>
      </c>
      <c r="D25" s="21" t="s">
        <v>520</v>
      </c>
    </row>
    <row r="26" spans="1:4" ht="25" customHeight="1" x14ac:dyDescent="0.2">
      <c r="A26" s="20" t="s">
        <v>521</v>
      </c>
      <c r="B26" s="5">
        <v>309</v>
      </c>
      <c r="C26" s="21" t="s">
        <v>188</v>
      </c>
      <c r="D26" s="21" t="s">
        <v>486</v>
      </c>
    </row>
    <row r="27" spans="1:4" ht="32" customHeight="1" x14ac:dyDescent="0.2">
      <c r="A27" s="20" t="s">
        <v>522</v>
      </c>
      <c r="B27" s="5">
        <v>49.2</v>
      </c>
      <c r="C27" s="21" t="s">
        <v>508</v>
      </c>
      <c r="D27" s="21" t="s">
        <v>523</v>
      </c>
    </row>
    <row r="28" spans="1:4" ht="25" customHeight="1" x14ac:dyDescent="0.2">
      <c r="A28" s="20" t="s">
        <v>524</v>
      </c>
      <c r="B28" s="5">
        <v>14</v>
      </c>
      <c r="C28" s="21" t="s">
        <v>188</v>
      </c>
      <c r="D28" s="21" t="s">
        <v>486</v>
      </c>
    </row>
    <row r="29" spans="1:4" ht="32" customHeight="1" x14ac:dyDescent="0.2">
      <c r="A29" s="20" t="s">
        <v>525</v>
      </c>
      <c r="B29" s="5">
        <v>14</v>
      </c>
      <c r="C29" s="21" t="s">
        <v>188</v>
      </c>
      <c r="D29" s="21" t="s">
        <v>523</v>
      </c>
    </row>
    <row r="30" spans="1:4" ht="25" customHeight="1" x14ac:dyDescent="0.2">
      <c r="A30" s="231" t="s">
        <v>526</v>
      </c>
      <c r="B30" s="232"/>
      <c r="C30" s="232"/>
      <c r="D30" s="233"/>
    </row>
    <row r="31" spans="1:4" ht="25" customHeight="1" x14ac:dyDescent="0.15">
      <c r="A31" s="20" t="s">
        <v>527</v>
      </c>
      <c r="B31" s="5">
        <v>5</v>
      </c>
      <c r="C31" s="22"/>
      <c r="D31" s="21" t="s">
        <v>486</v>
      </c>
    </row>
    <row r="32" spans="1:4" ht="25" customHeight="1" x14ac:dyDescent="0.15">
      <c r="A32" s="20" t="s">
        <v>528</v>
      </c>
      <c r="B32" s="5">
        <v>2</v>
      </c>
      <c r="C32" s="22"/>
      <c r="D32" s="21" t="s">
        <v>486</v>
      </c>
    </row>
    <row r="33" spans="1:4" ht="25" customHeight="1" x14ac:dyDescent="0.15">
      <c r="A33" s="20" t="s">
        <v>529</v>
      </c>
      <c r="B33" s="5">
        <v>9</v>
      </c>
      <c r="C33" s="22"/>
      <c r="D33" s="21" t="s">
        <v>486</v>
      </c>
    </row>
    <row r="34" spans="1:4" ht="25" customHeight="1" x14ac:dyDescent="0.15">
      <c r="A34" s="20" t="s">
        <v>530</v>
      </c>
      <c r="B34" s="5">
        <v>213</v>
      </c>
      <c r="C34" s="22"/>
      <c r="D34" s="21" t="s">
        <v>486</v>
      </c>
    </row>
    <row r="35" spans="1:4" s="27" customFormat="1" ht="51.75" customHeight="1" x14ac:dyDescent="0.2">
      <c r="A35" s="23" t="s">
        <v>531</v>
      </c>
      <c r="B35" s="24">
        <v>48</v>
      </c>
      <c r="C35" s="25" t="s">
        <v>486</v>
      </c>
      <c r="D35" s="26" t="s">
        <v>532</v>
      </c>
    </row>
    <row r="36" spans="1:4" s="27" customFormat="1" ht="25" customHeight="1" x14ac:dyDescent="0.2">
      <c r="A36" s="23" t="s">
        <v>533</v>
      </c>
      <c r="B36" s="24">
        <v>277</v>
      </c>
      <c r="C36" s="25"/>
      <c r="D36" s="26"/>
    </row>
    <row r="37" spans="1:4" ht="25" customHeight="1" x14ac:dyDescent="0.2">
      <c r="A37" s="231" t="s">
        <v>534</v>
      </c>
      <c r="B37" s="232"/>
      <c r="C37" s="232"/>
      <c r="D37" s="233"/>
    </row>
    <row r="38" spans="1:4" ht="25" customHeight="1" x14ac:dyDescent="0.2">
      <c r="A38" s="20" t="s">
        <v>535</v>
      </c>
      <c r="B38" s="5">
        <v>54.2</v>
      </c>
      <c r="C38" s="21" t="s">
        <v>188</v>
      </c>
      <c r="D38" s="21" t="s">
        <v>536</v>
      </c>
    </row>
    <row r="39" spans="1:4" ht="25" customHeight="1" x14ac:dyDescent="0.2">
      <c r="A39" s="20" t="s">
        <v>537</v>
      </c>
      <c r="B39" s="5">
        <v>56.3</v>
      </c>
      <c r="C39" s="21" t="s">
        <v>188</v>
      </c>
      <c r="D39" s="21" t="s">
        <v>538</v>
      </c>
    </row>
    <row r="40" spans="1:4" ht="25" customHeight="1" x14ac:dyDescent="0.2">
      <c r="A40" s="20" t="s">
        <v>539</v>
      </c>
      <c r="B40" s="5">
        <v>39.700000000000003</v>
      </c>
      <c r="C40" s="21" t="s">
        <v>188</v>
      </c>
      <c r="D40" s="21" t="s">
        <v>540</v>
      </c>
    </row>
    <row r="41" spans="1:4" ht="25" customHeight="1" x14ac:dyDescent="0.2">
      <c r="A41" s="20" t="s">
        <v>541</v>
      </c>
      <c r="B41" s="5">
        <v>95.3</v>
      </c>
      <c r="C41" s="21" t="s">
        <v>188</v>
      </c>
      <c r="D41" s="21" t="s">
        <v>542</v>
      </c>
    </row>
    <row r="42" spans="1:4" ht="25" customHeight="1" x14ac:dyDescent="0.2">
      <c r="A42" s="20" t="s">
        <v>543</v>
      </c>
      <c r="B42" s="5">
        <v>2571.9</v>
      </c>
      <c r="C42" s="21" t="s">
        <v>188</v>
      </c>
      <c r="D42" s="21" t="s">
        <v>544</v>
      </c>
    </row>
    <row r="43" spans="1:4" ht="25" customHeight="1" x14ac:dyDescent="0.2">
      <c r="A43" s="20" t="s">
        <v>545</v>
      </c>
      <c r="B43" s="5">
        <v>925.3</v>
      </c>
      <c r="C43" s="21" t="s">
        <v>188</v>
      </c>
      <c r="D43" s="21" t="s">
        <v>546</v>
      </c>
    </row>
    <row r="44" spans="1:4" ht="25" customHeight="1" x14ac:dyDescent="0.2">
      <c r="A44" s="231" t="s">
        <v>547</v>
      </c>
      <c r="B44" s="232"/>
      <c r="C44" s="232"/>
      <c r="D44" s="233"/>
    </row>
    <row r="45" spans="1:4" ht="25" customHeight="1" x14ac:dyDescent="0.2">
      <c r="A45" s="20" t="s">
        <v>548</v>
      </c>
      <c r="B45" s="5">
        <v>8.3000000000000007</v>
      </c>
      <c r="C45" s="21" t="s">
        <v>512</v>
      </c>
      <c r="D45" s="21" t="s">
        <v>549</v>
      </c>
    </row>
    <row r="46" spans="1:4" ht="25" customHeight="1" x14ac:dyDescent="0.2">
      <c r="A46" s="231" t="s">
        <v>550</v>
      </c>
      <c r="B46" s="232"/>
      <c r="C46" s="232"/>
      <c r="D46" s="233"/>
    </row>
    <row r="47" spans="1:4" ht="25" customHeight="1" x14ac:dyDescent="0.2">
      <c r="A47" s="20" t="s">
        <v>551</v>
      </c>
      <c r="B47" s="5">
        <v>156</v>
      </c>
      <c r="C47" s="21" t="s">
        <v>188</v>
      </c>
      <c r="D47" s="21" t="s">
        <v>552</v>
      </c>
    </row>
    <row r="48" spans="1:4" ht="25" customHeight="1" x14ac:dyDescent="0.2">
      <c r="A48" s="20" t="s">
        <v>553</v>
      </c>
      <c r="B48" s="5">
        <v>4</v>
      </c>
      <c r="C48" s="21" t="s">
        <v>501</v>
      </c>
      <c r="D48" s="21" t="s">
        <v>554</v>
      </c>
    </row>
    <row r="49" spans="1:4" ht="25" customHeight="1" x14ac:dyDescent="0.2">
      <c r="A49" s="20" t="s">
        <v>555</v>
      </c>
      <c r="B49" s="5">
        <v>0.86</v>
      </c>
      <c r="C49" s="21" t="s">
        <v>512</v>
      </c>
      <c r="D49" s="21" t="s">
        <v>556</v>
      </c>
    </row>
    <row r="50" spans="1:4" ht="25" customHeight="1" x14ac:dyDescent="0.2">
      <c r="A50" s="231" t="s">
        <v>557</v>
      </c>
      <c r="B50" s="232"/>
      <c r="C50" s="232"/>
      <c r="D50" s="233"/>
    </row>
    <row r="51" spans="1:4" ht="25" customHeight="1" x14ac:dyDescent="0.2">
      <c r="A51" s="20" t="s">
        <v>558</v>
      </c>
      <c r="B51" s="5">
        <v>1.1100000000000001</v>
      </c>
      <c r="C51" s="21" t="s">
        <v>512</v>
      </c>
      <c r="D51" s="21" t="s">
        <v>552</v>
      </c>
    </row>
    <row r="52" spans="1:4" ht="2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59"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opLeftCell="A8" workbookViewId="0">
      <selection activeCell="A17" sqref="A17"/>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ht="20" customHeight="1" x14ac:dyDescent="0.2">
      <c r="A9" t="s">
        <v>77</v>
      </c>
      <c r="B9">
        <v>0.08</v>
      </c>
      <c r="C9" s="202" t="s">
        <v>571</v>
      </c>
      <c r="D9" s="236" t="s">
        <v>572</v>
      </c>
      <c r="E9" s="234" t="s">
        <v>573</v>
      </c>
    </row>
    <row r="10" spans="1:5" ht="26.75" customHeight="1" x14ac:dyDescent="0.2">
      <c r="A10" s="3" t="s">
        <v>43</v>
      </c>
      <c r="B10">
        <v>0</v>
      </c>
      <c r="D10" s="235"/>
      <c r="E10" s="235"/>
    </row>
    <row r="11" spans="1:5" ht="128" x14ac:dyDescent="0.2">
      <c r="A11" s="3" t="s">
        <v>59</v>
      </c>
      <c r="B11">
        <v>0.2</v>
      </c>
      <c r="C11" s="201" t="s">
        <v>574</v>
      </c>
      <c r="D11" s="235"/>
      <c r="E11" s="235"/>
    </row>
    <row r="12" spans="1:5" ht="16" x14ac:dyDescent="0.2">
      <c r="A12" s="3" t="s">
        <v>191</v>
      </c>
      <c r="B12">
        <v>0.18443169820109739</v>
      </c>
      <c r="C12" s="117" t="s">
        <v>571</v>
      </c>
      <c r="D12" s="235"/>
      <c r="E12" s="235"/>
    </row>
    <row r="13" spans="1:5" ht="16" x14ac:dyDescent="0.2">
      <c r="A13" s="3" t="s">
        <v>213</v>
      </c>
      <c r="B13">
        <v>0.24138000000000001</v>
      </c>
      <c r="C13" s="117" t="s">
        <v>571</v>
      </c>
      <c r="D13" s="235"/>
      <c r="E13" s="235"/>
    </row>
    <row r="14" spans="1:5" ht="16" x14ac:dyDescent="0.2">
      <c r="A14" s="3" t="s">
        <v>157</v>
      </c>
      <c r="B14" s="82">
        <v>0.22962848022115531</v>
      </c>
      <c r="C14" s="117" t="s">
        <v>571</v>
      </c>
      <c r="D14" s="235"/>
      <c r="E14" s="235"/>
    </row>
    <row r="15" spans="1:5" ht="16" x14ac:dyDescent="0.2">
      <c r="A15" s="3" t="s">
        <v>228</v>
      </c>
      <c r="B15">
        <v>0.41505377678599259</v>
      </c>
      <c r="C15" s="203" t="s">
        <v>571</v>
      </c>
      <c r="D15" s="235"/>
      <c r="E15" s="235"/>
    </row>
    <row r="16" spans="1:5" ht="16" x14ac:dyDescent="0.2">
      <c r="A16" s="3" t="s">
        <v>226</v>
      </c>
      <c r="B16">
        <v>0.39914905811401719</v>
      </c>
      <c r="C16" s="203" t="s">
        <v>571</v>
      </c>
      <c r="D16" s="235"/>
      <c r="E16" s="235"/>
    </row>
    <row r="17" spans="1:5" x14ac:dyDescent="0.2">
      <c r="A17" s="3" t="s">
        <v>340</v>
      </c>
      <c r="B17">
        <v>0.05</v>
      </c>
      <c r="D17" t="s">
        <v>575</v>
      </c>
      <c r="E17" t="s">
        <v>576</v>
      </c>
    </row>
    <row r="18" spans="1:5" ht="26.75" customHeight="1" x14ac:dyDescent="0.2">
      <c r="A18" t="s">
        <v>577</v>
      </c>
      <c r="B18" s="82">
        <v>0.5</v>
      </c>
      <c r="C18" s="83"/>
      <c r="D18" s="83"/>
      <c r="E18" s="83" t="s">
        <v>578</v>
      </c>
    </row>
    <row r="19" spans="1:5" ht="26.75" customHeight="1" x14ac:dyDescent="0.2">
      <c r="A19" t="s">
        <v>579</v>
      </c>
      <c r="B19" s="82">
        <v>0.02</v>
      </c>
      <c r="C19" s="83"/>
      <c r="D19" s="83"/>
      <c r="E19" s="83" t="s">
        <v>580</v>
      </c>
    </row>
    <row r="20" spans="1:5" ht="26.75" customHeight="1" x14ac:dyDescent="0.2">
      <c r="A20" t="s">
        <v>581</v>
      </c>
      <c r="B20" s="82">
        <v>7.4999999999999997E-2</v>
      </c>
      <c r="C20" s="83"/>
      <c r="D20" s="83"/>
      <c r="E20" s="83" t="s">
        <v>582</v>
      </c>
    </row>
    <row r="21" spans="1:5" ht="26.75" customHeight="1" x14ac:dyDescent="0.2">
      <c r="A21" t="s">
        <v>583</v>
      </c>
      <c r="B21" s="82">
        <v>5.0000000000000001E-3</v>
      </c>
      <c r="C21" s="83"/>
      <c r="D21" s="83"/>
      <c r="E21" s="83" t="s">
        <v>584</v>
      </c>
    </row>
    <row r="22" spans="1:5" ht="26.75" customHeight="1" x14ac:dyDescent="0.2">
      <c r="A22" t="s">
        <v>585</v>
      </c>
      <c r="B22" s="82">
        <v>0.05</v>
      </c>
      <c r="C22" s="83"/>
      <c r="D22" s="83"/>
      <c r="E22" s="83" t="s">
        <v>586</v>
      </c>
    </row>
    <row r="23" spans="1:5" ht="47" customHeight="1" x14ac:dyDescent="0.2">
      <c r="A23" t="s">
        <v>587</v>
      </c>
      <c r="B23" s="82">
        <v>0.01</v>
      </c>
      <c r="C23" s="83"/>
      <c r="D23" s="83"/>
      <c r="E23" s="83" t="s">
        <v>588</v>
      </c>
    </row>
    <row r="24" spans="1:5" ht="26.75" customHeight="1" x14ac:dyDescent="0.2">
      <c r="A24" t="s">
        <v>589</v>
      </c>
      <c r="B24" s="82">
        <v>0.05</v>
      </c>
      <c r="C24" s="83"/>
      <c r="D24" s="83"/>
      <c r="E24" s="83" t="s">
        <v>590</v>
      </c>
    </row>
    <row r="25" spans="1:5" ht="26.75" customHeight="1" x14ac:dyDescent="0.2">
      <c r="A25" t="s">
        <v>591</v>
      </c>
      <c r="B25" s="82">
        <v>5.0000000000000001E-3</v>
      </c>
      <c r="C25" s="83"/>
      <c r="D25" s="83"/>
      <c r="E25" s="83" t="s">
        <v>592</v>
      </c>
    </row>
    <row r="26" spans="1:5" x14ac:dyDescent="0.2">
      <c r="A26" t="s">
        <v>593</v>
      </c>
      <c r="B26">
        <v>0.1</v>
      </c>
      <c r="E26" t="s">
        <v>594</v>
      </c>
    </row>
    <row r="27" spans="1:5" x14ac:dyDescent="0.2">
      <c r="A27" t="s">
        <v>595</v>
      </c>
      <c r="B27">
        <v>0.5</v>
      </c>
      <c r="E27" t="s">
        <v>596</v>
      </c>
    </row>
    <row r="28" spans="1:5" x14ac:dyDescent="0.2">
      <c r="A28" t="s">
        <v>597</v>
      </c>
      <c r="B28">
        <v>0.02</v>
      </c>
      <c r="E28" t="s">
        <v>580</v>
      </c>
    </row>
    <row r="29" spans="1:5" x14ac:dyDescent="0.2">
      <c r="A29" t="s">
        <v>598</v>
      </c>
      <c r="B29">
        <v>7.4999999999999997E-2</v>
      </c>
      <c r="E29" t="s">
        <v>582</v>
      </c>
    </row>
    <row r="30" spans="1:5" x14ac:dyDescent="0.2">
      <c r="A30" t="s">
        <v>599</v>
      </c>
      <c r="B30">
        <v>5.0000000000000001E-3</v>
      </c>
      <c r="E30" t="s">
        <v>584</v>
      </c>
    </row>
    <row r="31" spans="1:5" x14ac:dyDescent="0.2">
      <c r="A31" t="s">
        <v>600</v>
      </c>
      <c r="B31">
        <v>0.05</v>
      </c>
      <c r="E31" t="s">
        <v>586</v>
      </c>
    </row>
    <row r="32" spans="1:5" x14ac:dyDescent="0.2">
      <c r="A32" t="s">
        <v>601</v>
      </c>
      <c r="B32">
        <v>0.01</v>
      </c>
      <c r="E32" t="s">
        <v>588</v>
      </c>
    </row>
    <row r="33" spans="1:5" x14ac:dyDescent="0.2">
      <c r="A33" t="s">
        <v>602</v>
      </c>
      <c r="B33">
        <v>0.05</v>
      </c>
      <c r="E33" t="s">
        <v>590</v>
      </c>
    </row>
    <row r="34" spans="1:5" x14ac:dyDescent="0.2">
      <c r="A34" t="s">
        <v>603</v>
      </c>
      <c r="B34">
        <v>5.0000000000000001E-3</v>
      </c>
      <c r="E34" t="s">
        <v>592</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zoomScale="50"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606</v>
      </c>
      <c r="G3" s="94">
        <v>1</v>
      </c>
      <c r="H3" s="93"/>
      <c r="I3" s="93"/>
      <c r="J3" s="120"/>
      <c r="K3" s="120">
        <v>3800</v>
      </c>
      <c r="L3" s="100" t="s">
        <v>36</v>
      </c>
      <c r="M3" s="100" t="s">
        <v>607</v>
      </c>
      <c r="N3" s="121"/>
      <c r="O3" s="100" t="s">
        <v>38</v>
      </c>
      <c r="P3" s="101"/>
      <c r="Q3" s="101">
        <v>2022</v>
      </c>
      <c r="R3" s="100" t="s">
        <v>39</v>
      </c>
      <c r="S3" s="102" t="s">
        <v>40</v>
      </c>
      <c r="T3" s="237" t="s">
        <v>608</v>
      </c>
      <c r="U3" s="238"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609</v>
      </c>
      <c r="N4" s="121"/>
      <c r="O4" s="100" t="s">
        <v>52</v>
      </c>
      <c r="P4" s="101"/>
      <c r="Q4" s="101">
        <v>2022</v>
      </c>
      <c r="R4" s="100" t="s">
        <v>53</v>
      </c>
      <c r="S4" s="102" t="s">
        <v>54</v>
      </c>
      <c r="T4" s="237"/>
      <c r="U4" s="238"/>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f>
        <v>45000000</v>
      </c>
      <c r="K5" s="120"/>
      <c r="L5" s="121"/>
      <c r="M5" s="121"/>
      <c r="N5" s="121"/>
      <c r="O5" s="100"/>
      <c r="P5" s="101"/>
      <c r="Q5" s="101">
        <v>2009</v>
      </c>
      <c r="R5" s="100" t="s">
        <v>53</v>
      </c>
      <c r="S5" s="102" t="s">
        <v>62</v>
      </c>
      <c r="T5" s="237" t="s">
        <v>610</v>
      </c>
      <c r="U5" s="238"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37"/>
      <c r="U6" s="238"/>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607</v>
      </c>
      <c r="N11" s="121"/>
      <c r="O11" s="100" t="s">
        <v>38</v>
      </c>
      <c r="P11" s="123"/>
      <c r="Q11" s="101">
        <v>2024</v>
      </c>
      <c r="R11" s="100" t="s">
        <v>73</v>
      </c>
      <c r="S11" s="237" t="s">
        <v>74</v>
      </c>
      <c r="T11" s="237" t="s">
        <v>75</v>
      </c>
      <c r="U11" s="239"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607</v>
      </c>
      <c r="N12" s="121"/>
      <c r="O12" s="100" t="s">
        <v>38</v>
      </c>
      <c r="P12" s="123"/>
      <c r="Q12" s="101">
        <v>2024</v>
      </c>
      <c r="R12" s="100" t="s">
        <v>73</v>
      </c>
      <c r="S12" s="237"/>
      <c r="T12" s="237"/>
      <c r="U12" s="238"/>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615</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620</v>
      </c>
      <c r="N15" s="121"/>
      <c r="O15" s="100"/>
      <c r="P15" s="123"/>
      <c r="Q15" s="101">
        <v>2025</v>
      </c>
      <c r="R15" s="100" t="s">
        <v>73</v>
      </c>
      <c r="S15" s="130" t="s">
        <v>616</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621</v>
      </c>
      <c r="D16" s="93" t="str">
        <f t="shared" si="1"/>
        <v xml:space="preserve">                        Security Fencing Protected</v>
      </c>
      <c r="E16" s="93" t="s">
        <v>35</v>
      </c>
      <c r="F16" s="93" t="s">
        <v>606</v>
      </c>
      <c r="G16" s="94">
        <v>1</v>
      </c>
      <c r="H16" s="93"/>
      <c r="I16" s="93"/>
      <c r="J16" s="120"/>
      <c r="K16" s="120">
        <f>0.7*15746</f>
        <v>11022.199999999999</v>
      </c>
      <c r="L16" s="100" t="s">
        <v>619</v>
      </c>
      <c r="M16" s="100" t="s">
        <v>622</v>
      </c>
      <c r="N16" s="121"/>
      <c r="O16" s="100"/>
      <c r="P16" s="123"/>
      <c r="Q16" s="101">
        <v>2025</v>
      </c>
      <c r="R16" s="100" t="s">
        <v>73</v>
      </c>
      <c r="S16" s="130" t="s">
        <v>616</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623</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624</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71" x14ac:dyDescent="0.2">
      <c r="A19" s="107">
        <v>214.31</v>
      </c>
      <c r="B19" s="92">
        <v>4</v>
      </c>
      <c r="C19" s="98" t="s">
        <v>625</v>
      </c>
      <c r="D19" s="93" t="str">
        <f t="shared" ref="D19" si="9">REPT("   ", B19*2) &amp; C19</f>
        <v xml:space="preserve">                        Local Control Buidling Structure</v>
      </c>
      <c r="E19" s="93" t="s">
        <v>35</v>
      </c>
      <c r="F19" s="93" t="s">
        <v>606</v>
      </c>
      <c r="G19" s="94">
        <v>1</v>
      </c>
      <c r="H19" s="93"/>
      <c r="I19" s="93"/>
      <c r="J19" s="141"/>
      <c r="K19" s="120">
        <f>0.7*2653*(3.2808^2)</f>
        <v>19989.171889344001</v>
      </c>
      <c r="L19" s="100" t="s">
        <v>92</v>
      </c>
      <c r="M19" s="98" t="s">
        <v>626</v>
      </c>
      <c r="N19" s="142">
        <v>1</v>
      </c>
      <c r="O19" s="142" t="s">
        <v>94</v>
      </c>
      <c r="P19" s="143">
        <v>1</v>
      </c>
      <c r="Q19" s="101">
        <v>2025</v>
      </c>
      <c r="R19" s="121" t="s">
        <v>86</v>
      </c>
      <c r="S19" s="144" t="s">
        <v>627</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628</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629</v>
      </c>
      <c r="D21" s="151" t="str">
        <f>REPT("   ", B21*2) &amp; C21</f>
        <v xml:space="preserve">            Manufacturing Building</v>
      </c>
      <c r="E21" s="151" t="s">
        <v>35</v>
      </c>
      <c r="F21" s="152"/>
      <c r="G21" s="153"/>
      <c r="H21" s="151"/>
      <c r="I21" s="151"/>
      <c r="J21" s="120"/>
      <c r="K21" s="154">
        <f>62733028.09/N21</f>
        <v>62733.028090000007</v>
      </c>
      <c r="L21" s="142"/>
      <c r="M21" s="155" t="s">
        <v>630</v>
      </c>
      <c r="N21" s="142">
        <v>1000</v>
      </c>
      <c r="O21" s="142" t="s">
        <v>631</v>
      </c>
      <c r="P21" s="156">
        <v>0.13827064818134194</v>
      </c>
      <c r="Q21" s="101">
        <v>2025</v>
      </c>
      <c r="R21" s="121" t="s">
        <v>86</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632</v>
      </c>
      <c r="D22" s="151" t="str">
        <f>REPT("   ", B22*2) &amp; C22</f>
        <v xml:space="preserve">            Fueling Building</v>
      </c>
      <c r="E22" s="151" t="s">
        <v>35</v>
      </c>
      <c r="F22" s="152"/>
      <c r="G22" s="153"/>
      <c r="H22" s="151"/>
      <c r="I22" s="151"/>
      <c r="J22" s="120"/>
      <c r="K22" s="154">
        <f>35766971.91/N22</f>
        <v>35766.971909999993</v>
      </c>
      <c r="L22" s="142"/>
      <c r="M22" s="155" t="s">
        <v>630</v>
      </c>
      <c r="N22" s="142">
        <v>1000</v>
      </c>
      <c r="O22" s="142" t="s">
        <v>631</v>
      </c>
      <c r="P22" s="156">
        <v>0.13827064818134194</v>
      </c>
      <c r="Q22" s="101">
        <v>2025</v>
      </c>
      <c r="R22" s="121" t="s">
        <v>86</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633</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634</v>
      </c>
      <c r="D24" s="151" t="str">
        <f>REPT("   ", B24*2) &amp; C24</f>
        <v xml:space="preserve">            Warehouse</v>
      </c>
      <c r="E24" s="151" t="s">
        <v>35</v>
      </c>
      <c r="F24" s="151"/>
      <c r="G24" s="153"/>
      <c r="H24" s="151"/>
      <c r="I24" s="151"/>
      <c r="J24" s="162"/>
      <c r="K24" s="154">
        <v>3842.71</v>
      </c>
      <c r="L24" s="163" t="s">
        <v>92</v>
      </c>
      <c r="M24" s="155" t="s">
        <v>635</v>
      </c>
      <c r="N24" s="142">
        <v>1</v>
      </c>
      <c r="O24" s="142" t="s">
        <v>94</v>
      </c>
      <c r="P24" s="143">
        <v>1</v>
      </c>
      <c r="Q24" s="101">
        <v>2025</v>
      </c>
      <c r="R24" s="121" t="s">
        <v>86</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71" x14ac:dyDescent="0.2">
      <c r="A25" s="148">
        <v>225</v>
      </c>
      <c r="B25" s="149">
        <f t="shared" ref="B25" si="18">IF(ISNUMBER(A25),
    IF(AND(A25=INT(A25), MOD(A25, 10) = 0), 0,
        IF(AND(A25=INT(A25), LEN(A25)=2), 1,
            IF(AND(A25=INT(A25), LEN(A25)=3), 2,
                LEN(A25) - FIND(".", A25) + 2)
        )
    ),
"")</f>
        <v>2</v>
      </c>
      <c r="C25" s="150" t="s">
        <v>636</v>
      </c>
      <c r="D25" s="151" t="str">
        <f t="shared" ref="D25" si="19">REPT("   ", B25*2) &amp; C25</f>
        <v xml:space="preserve">            Administrative Building</v>
      </c>
      <c r="E25" s="151" t="s">
        <v>35</v>
      </c>
      <c r="F25" s="151"/>
      <c r="G25" s="153"/>
      <c r="H25" s="151"/>
      <c r="I25" s="151"/>
      <c r="J25" s="120"/>
      <c r="K25" s="154">
        <f>0.7*1968*(3.2808^2)</f>
        <v>14828.002366464001</v>
      </c>
      <c r="L25" s="142" t="s">
        <v>92</v>
      </c>
      <c r="M25" s="155" t="s">
        <v>637</v>
      </c>
      <c r="N25" s="142">
        <v>1</v>
      </c>
      <c r="O25" s="142" t="s">
        <v>94</v>
      </c>
      <c r="P25" s="143">
        <v>1</v>
      </c>
      <c r="Q25" s="101">
        <v>2025</v>
      </c>
      <c r="R25" s="121" t="s">
        <v>86</v>
      </c>
      <c r="S25" s="144" t="s">
        <v>627</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153</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638</v>
      </c>
      <c r="D27" s="93" t="str">
        <f>REPT("   ", B27*2) &amp; C27</f>
        <v xml:space="preserve">            Local Integrated Control Rooms</v>
      </c>
      <c r="E27" s="93" t="s">
        <v>35</v>
      </c>
      <c r="F27" s="93" t="s">
        <v>639</v>
      </c>
      <c r="G27" s="94">
        <v>1</v>
      </c>
      <c r="H27" s="93"/>
      <c r="I27" s="93"/>
      <c r="J27" s="60">
        <v>8500000</v>
      </c>
      <c r="K27" s="60"/>
      <c r="L27" s="49"/>
      <c r="M27" s="58"/>
      <c r="N27" s="49"/>
      <c r="O27" s="49"/>
      <c r="P27" s="49"/>
      <c r="Q27" s="65">
        <v>2023</v>
      </c>
      <c r="R27" s="49" t="s">
        <v>73</v>
      </c>
      <c r="S27" s="58" t="s">
        <v>328</v>
      </c>
      <c r="T27" s="58" t="s">
        <v>329</v>
      </c>
      <c r="U27" s="167" t="s">
        <v>330</v>
      </c>
      <c r="V27" s="49" t="s">
        <v>331</v>
      </c>
      <c r="W27" s="74" t="s">
        <v>157</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640</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641</v>
      </c>
      <c r="D29" s="151" t="str">
        <f>REPT("   ", B29*2) &amp; C29</f>
        <v xml:space="preserve">            Emergency Power</v>
      </c>
      <c r="E29" s="151" t="s">
        <v>35</v>
      </c>
      <c r="F29" s="151"/>
      <c r="G29" s="153"/>
      <c r="H29" s="151"/>
      <c r="I29" s="151"/>
      <c r="J29" s="120"/>
      <c r="K29" s="154">
        <f>(1450000*5+1500000)/2.5</f>
        <v>3500000</v>
      </c>
      <c r="L29" s="142" t="s">
        <v>50</v>
      </c>
      <c r="M29" s="155" t="s">
        <v>642</v>
      </c>
      <c r="N29" s="142">
        <v>1</v>
      </c>
      <c r="O29" s="142" t="s">
        <v>52</v>
      </c>
      <c r="P29" s="143">
        <v>1</v>
      </c>
      <c r="Q29" s="101">
        <v>2025</v>
      </c>
      <c r="R29" s="121" t="s">
        <v>153</v>
      </c>
      <c r="S29" s="170" t="s">
        <v>643</v>
      </c>
      <c r="T29" s="170"/>
      <c r="U29" s="171"/>
      <c r="V29" s="145"/>
      <c r="W29" s="96"/>
      <c r="X29" s="104"/>
      <c r="Y29" s="104"/>
      <c r="Z29" s="96"/>
      <c r="AA29" s="97"/>
      <c r="AB29" s="97"/>
      <c r="AC29" s="96"/>
      <c r="AD29" s="97"/>
      <c r="AE29" s="97"/>
      <c r="AF29" s="97"/>
      <c r="AG29" s="96"/>
    </row>
    <row r="30" spans="1:33" ht="71" x14ac:dyDescent="0.2">
      <c r="A30" s="148">
        <v>283</v>
      </c>
      <c r="B30" s="149">
        <f>IF(ISNUMBER(A30),
    IF(AND(A30=INT(A30), MOD(A30, 10) = 0), 0,
        IF(AND(A30=INT(A30), LEN(A30)=2), 1,
            IF(AND(A30=INT(A30), LEN(A30)=3), 2,
                LEN(A30) - FIND(".", A30) + 2)
        )
    ),
"")</f>
        <v>2</v>
      </c>
      <c r="C30" s="150" t="s">
        <v>644</v>
      </c>
      <c r="D30" s="151" t="str">
        <f>REPT("   ", B30*2) &amp; C30</f>
        <v xml:space="preserve">            Fire Station</v>
      </c>
      <c r="E30" s="151" t="s">
        <v>35</v>
      </c>
      <c r="F30" s="151" t="s">
        <v>645</v>
      </c>
      <c r="G30" s="153">
        <v>1</v>
      </c>
      <c r="H30" s="151"/>
      <c r="I30" s="151"/>
      <c r="J30" s="120">
        <f>0.7*20776500</f>
        <v>14543550</v>
      </c>
      <c r="K30" s="154"/>
      <c r="L30" s="142"/>
      <c r="M30" s="155"/>
      <c r="N30" s="142"/>
      <c r="O30" s="142"/>
      <c r="P30" s="143"/>
      <c r="Q30" s="101">
        <v>2025</v>
      </c>
      <c r="R30" s="121" t="s">
        <v>86</v>
      </c>
      <c r="S30" s="144" t="s">
        <v>627</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71" x14ac:dyDescent="0.2">
      <c r="A31" s="148">
        <v>284</v>
      </c>
      <c r="B31" s="149">
        <f t="shared" ref="B31" si="26">IF(ISNUMBER(A31),
    IF(AND(A31=INT(A31), MOD(A31, 10) = 0), 0,
        IF(AND(A31=INT(A31), LEN(A31)=2), 1,
            IF(AND(A31=INT(A31), LEN(A31)=3), 2,
                LEN(A31) - FIND(".", A31) + 2)
        )
    ),
"")</f>
        <v>2</v>
      </c>
      <c r="C31" s="150" t="s">
        <v>646</v>
      </c>
      <c r="D31" s="151" t="str">
        <f t="shared" ref="D31" si="27">REPT("   ", B31*2) &amp; C31</f>
        <v xml:space="preserve">            Security Building</v>
      </c>
      <c r="E31" s="151" t="s">
        <v>35</v>
      </c>
      <c r="F31" s="151"/>
      <c r="G31" s="153"/>
      <c r="H31" s="151"/>
      <c r="I31" s="151"/>
      <c r="J31" s="120"/>
      <c r="K31" s="154">
        <f>0.7*2548*(3.2808^2)</f>
        <v>19198.043714304</v>
      </c>
      <c r="L31" s="142" t="s">
        <v>92</v>
      </c>
      <c r="M31" s="155" t="s">
        <v>647</v>
      </c>
      <c r="N31" s="142">
        <v>1</v>
      </c>
      <c r="O31" s="142" t="s">
        <v>94</v>
      </c>
      <c r="P31" s="143">
        <v>1</v>
      </c>
      <c r="Q31" s="101">
        <v>2025</v>
      </c>
      <c r="R31" s="121" t="s">
        <v>86</v>
      </c>
      <c r="S31" s="144" t="s">
        <v>627</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648</v>
      </c>
      <c r="D32" s="151" t="str">
        <f>REPT("   ", B32*2) &amp; C32</f>
        <v xml:space="preserve">            Switchyard</v>
      </c>
      <c r="E32" s="151" t="s">
        <v>35</v>
      </c>
      <c r="F32" s="151"/>
      <c r="G32" s="153"/>
      <c r="H32" s="151"/>
      <c r="I32" s="151"/>
      <c r="J32" s="120"/>
      <c r="K32" s="154">
        <f>0.7*221450153/N32</f>
        <v>516717.02366666665</v>
      </c>
      <c r="L32" s="142" t="s">
        <v>50</v>
      </c>
      <c r="M32" s="155" t="s">
        <v>649</v>
      </c>
      <c r="N32" s="142">
        <v>300</v>
      </c>
      <c r="O32" s="142" t="s">
        <v>52</v>
      </c>
      <c r="P32" s="156">
        <v>0.99680000000000002</v>
      </c>
      <c r="Q32" s="101">
        <v>2025</v>
      </c>
      <c r="R32" s="121" t="s">
        <v>86</v>
      </c>
      <c r="S32" s="144" t="s">
        <v>650</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651</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652</v>
      </c>
      <c r="D34" s="93" t="str">
        <f t="shared" si="25"/>
        <v xml:space="preserve">                  Local Reactor Transport Vehicles</v>
      </c>
      <c r="E34" s="93" t="s">
        <v>35</v>
      </c>
      <c r="F34" s="93" t="s">
        <v>653</v>
      </c>
      <c r="G34" s="94">
        <v>1</v>
      </c>
      <c r="H34" s="93"/>
      <c r="I34" s="93"/>
      <c r="J34" s="169">
        <v>938000</v>
      </c>
      <c r="K34" s="99"/>
      <c r="L34" s="103"/>
      <c r="M34" s="100"/>
      <c r="N34" s="103"/>
      <c r="O34" s="103"/>
      <c r="P34" s="101"/>
      <c r="Q34" s="101">
        <v>2023</v>
      </c>
      <c r="R34" s="103" t="s">
        <v>153</v>
      </c>
      <c r="S34" s="110" t="s">
        <v>654</v>
      </c>
      <c r="T34" s="110" t="s">
        <v>655</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656</v>
      </c>
      <c r="D35" s="93" t="str">
        <f t="shared" si="25"/>
        <v xml:space="preserve">                  Utility Vehicles</v>
      </c>
      <c r="E35" s="93" t="s">
        <v>35</v>
      </c>
      <c r="F35" s="93" t="s">
        <v>657</v>
      </c>
      <c r="G35" s="94">
        <v>1</v>
      </c>
      <c r="H35" s="93"/>
      <c r="I35" s="93"/>
      <c r="J35" s="169">
        <v>50000</v>
      </c>
      <c r="K35" s="99"/>
      <c r="L35" s="103"/>
      <c r="M35" s="100"/>
      <c r="N35" s="103"/>
      <c r="O35" s="103"/>
      <c r="P35" s="101"/>
      <c r="Q35" s="101">
        <v>2024</v>
      </c>
      <c r="R35" s="103" t="s">
        <v>153</v>
      </c>
      <c r="S35" s="110" t="s">
        <v>658</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659</v>
      </c>
      <c r="D36" s="93" t="str">
        <f t="shared" si="25"/>
        <v xml:space="preserve">            Dispered Infrastructure</v>
      </c>
      <c r="E36" s="93"/>
      <c r="F36" s="93"/>
      <c r="G36" s="94"/>
      <c r="H36" s="93"/>
      <c r="I36" s="93"/>
      <c r="J36" s="172"/>
      <c r="K36" s="99"/>
      <c r="L36" s="173"/>
      <c r="M36" s="100"/>
      <c r="N36" s="103"/>
      <c r="O36" s="103"/>
      <c r="P36" s="101"/>
      <c r="Q36" s="101"/>
      <c r="R36" s="103"/>
      <c r="S36" s="174" t="s">
        <v>660</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661</v>
      </c>
      <c r="D37" s="93" t="str">
        <f t="shared" si="25"/>
        <v xml:space="preserve">                  Communication</v>
      </c>
      <c r="E37" s="93" t="s">
        <v>35</v>
      </c>
      <c r="F37" s="93"/>
      <c r="G37" s="94"/>
      <c r="H37" s="93"/>
      <c r="I37" s="93"/>
      <c r="J37" s="169"/>
      <c r="K37" s="177">
        <f>12575250/N37</f>
        <v>11774.578651685393</v>
      </c>
      <c r="L37" s="103" t="s">
        <v>36</v>
      </c>
      <c r="M37" s="178" t="s">
        <v>662</v>
      </c>
      <c r="N37" s="103">
        <v>1068</v>
      </c>
      <c r="O37" s="103" t="s">
        <v>38</v>
      </c>
      <c r="P37" s="101"/>
      <c r="Q37" s="101">
        <v>2025</v>
      </c>
      <c r="R37" s="103" t="s">
        <v>153</v>
      </c>
      <c r="S37" s="130" t="s">
        <v>663</v>
      </c>
      <c r="T37" s="110"/>
      <c r="U37" s="175"/>
      <c r="V37" s="176"/>
      <c r="W37" s="96"/>
      <c r="X37" s="104"/>
      <c r="Y37" s="104"/>
      <c r="Z37" s="96"/>
      <c r="AA37" s="97"/>
      <c r="AB37" s="97"/>
      <c r="AC37" s="96"/>
      <c r="AD37" s="97"/>
      <c r="AE37" s="97"/>
      <c r="AF37" s="97"/>
      <c r="AG37" s="96"/>
    </row>
    <row r="38" spans="1:33" ht="29" x14ac:dyDescent="0.2">
      <c r="A38" s="90">
        <v>288.2</v>
      </c>
      <c r="B38" s="92">
        <v>3</v>
      </c>
      <c r="C38" s="168" t="s">
        <v>664</v>
      </c>
      <c r="D38" s="93" t="str">
        <f t="shared" si="25"/>
        <v xml:space="preserve">                  Security Cameras</v>
      </c>
      <c r="E38" s="93" t="s">
        <v>35</v>
      </c>
      <c r="F38" s="93" t="s">
        <v>665</v>
      </c>
      <c r="G38" s="94">
        <v>1</v>
      </c>
      <c r="H38" s="93"/>
      <c r="I38" s="93"/>
      <c r="J38" s="179">
        <v>28431</v>
      </c>
      <c r="K38" s="99"/>
      <c r="L38" s="103"/>
      <c r="M38" s="100"/>
      <c r="N38" s="103"/>
      <c r="O38" s="103"/>
      <c r="P38" s="101"/>
      <c r="Q38" s="101">
        <v>2025</v>
      </c>
      <c r="R38" s="103" t="s">
        <v>153</v>
      </c>
      <c r="S38" s="130" t="s">
        <v>666</v>
      </c>
      <c r="T38" s="110"/>
      <c r="U38" s="175"/>
      <c r="V38" s="176"/>
      <c r="W38" s="96"/>
      <c r="X38" s="104"/>
      <c r="Y38" s="104"/>
      <c r="Z38" s="96"/>
      <c r="AA38" s="97"/>
      <c r="AB38" s="97"/>
      <c r="AC38" s="96"/>
      <c r="AD38" s="97"/>
      <c r="AE38" s="97"/>
      <c r="AF38" s="97"/>
      <c r="AG38" s="96"/>
    </row>
    <row r="39" spans="1:33" ht="29" x14ac:dyDescent="0.2">
      <c r="A39" s="90">
        <v>288.3</v>
      </c>
      <c r="B39" s="92">
        <v>3</v>
      </c>
      <c r="C39" s="168" t="s">
        <v>667</v>
      </c>
      <c r="D39" s="93" t="str">
        <f t="shared" si="25"/>
        <v xml:space="preserve">                  Motion Detectors</v>
      </c>
      <c r="E39" s="93" t="s">
        <v>35</v>
      </c>
      <c r="F39" s="93" t="s">
        <v>668</v>
      </c>
      <c r="G39" s="94">
        <v>1</v>
      </c>
      <c r="H39" s="93"/>
      <c r="I39" s="93"/>
      <c r="J39" s="179">
        <v>24057</v>
      </c>
      <c r="K39" s="99"/>
      <c r="L39" s="103"/>
      <c r="M39" s="100"/>
      <c r="N39" s="103"/>
      <c r="O39" s="103"/>
      <c r="P39" s="101"/>
      <c r="Q39" s="101">
        <v>2025</v>
      </c>
      <c r="R39" s="103" t="s">
        <v>153</v>
      </c>
      <c r="S39" s="130" t="s">
        <v>666</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669</v>
      </c>
      <c r="D40" s="93" t="str">
        <f t="shared" si="25"/>
        <v xml:space="preserve">                  Guard Station</v>
      </c>
      <c r="E40" s="93" t="s">
        <v>35</v>
      </c>
      <c r="F40" s="93" t="s">
        <v>670</v>
      </c>
      <c r="G40" s="94">
        <v>1</v>
      </c>
      <c r="H40" s="93"/>
      <c r="I40" s="93"/>
      <c r="J40" s="180">
        <v>6774250</v>
      </c>
      <c r="K40" s="99"/>
      <c r="L40" s="103"/>
      <c r="M40" s="100"/>
      <c r="N40" s="103"/>
      <c r="O40" s="103"/>
      <c r="P40" s="101"/>
      <c r="Q40" s="101">
        <v>2025</v>
      </c>
      <c r="R40" s="103" t="s">
        <v>153</v>
      </c>
      <c r="S40" s="130" t="s">
        <v>666</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370</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377</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378</v>
      </c>
      <c r="D43" s="93" t="str">
        <f t="shared" si="25"/>
        <v xml:space="preserve">      staff recruitment and training</v>
      </c>
      <c r="E43" s="93" t="s">
        <v>35</v>
      </c>
      <c r="F43" s="93" t="s">
        <v>606</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381</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382</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383</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384</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671</v>
      </c>
      <c r="D48" s="93" t="str">
        <f t="shared" si="25"/>
        <v xml:space="preserve">            Operators (Testing Only)</v>
      </c>
      <c r="E48" s="93" t="s">
        <v>268</v>
      </c>
      <c r="F48" s="93"/>
      <c r="G48" s="94"/>
      <c r="H48" s="93"/>
      <c r="I48" s="93"/>
      <c r="J48" s="120"/>
      <c r="K48" s="99">
        <v>178500</v>
      </c>
      <c r="L48" s="103" t="s">
        <v>386</v>
      </c>
      <c r="M48" s="110" t="s">
        <v>811</v>
      </c>
      <c r="N48" s="103"/>
      <c r="O48" s="103"/>
      <c r="P48" s="101">
        <v>1</v>
      </c>
      <c r="Q48" s="101">
        <v>2024</v>
      </c>
      <c r="R48" s="103" t="s">
        <v>53</v>
      </c>
      <c r="S48" s="110"/>
      <c r="T48" s="110" t="s">
        <v>388</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71" x14ac:dyDescent="0.2">
      <c r="A49" s="107">
        <v>712</v>
      </c>
      <c r="B49" s="92">
        <f t="shared" si="24"/>
        <v>2</v>
      </c>
      <c r="C49" s="109" t="s">
        <v>672</v>
      </c>
      <c r="D49" s="93" t="str">
        <f t="shared" si="25"/>
        <v xml:space="preserve">            Warehouse Staff</v>
      </c>
      <c r="E49" s="93" t="s">
        <v>268</v>
      </c>
      <c r="F49" s="93"/>
      <c r="G49" s="94"/>
      <c r="H49" s="93"/>
      <c r="I49" s="93"/>
      <c r="J49" s="120"/>
      <c r="K49" s="60">
        <v>113000</v>
      </c>
      <c r="L49" s="49" t="s">
        <v>386</v>
      </c>
      <c r="M49" s="58" t="s">
        <v>673</v>
      </c>
      <c r="N49" s="103"/>
      <c r="O49" s="103"/>
      <c r="P49" s="49">
        <v>1</v>
      </c>
      <c r="Q49" s="65">
        <v>2024</v>
      </c>
      <c r="R49" s="49" t="s">
        <v>53</v>
      </c>
      <c r="S49" s="58" t="s">
        <v>674</v>
      </c>
      <c r="T49" s="58" t="s">
        <v>675</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393</v>
      </c>
      <c r="D50" s="93" t="str">
        <f t="shared" si="25"/>
        <v xml:space="preserve">            Security Staff </v>
      </c>
      <c r="E50" s="93" t="s">
        <v>268</v>
      </c>
      <c r="F50" s="93"/>
      <c r="G50" s="94"/>
      <c r="H50" s="93"/>
      <c r="I50" s="93"/>
      <c r="J50" s="120"/>
      <c r="K50" s="60">
        <v>178500</v>
      </c>
      <c r="L50" s="49" t="s">
        <v>386</v>
      </c>
      <c r="M50" s="58" t="s">
        <v>676</v>
      </c>
      <c r="N50" s="103"/>
      <c r="O50" s="103"/>
      <c r="P50" s="49">
        <v>1</v>
      </c>
      <c r="Q50" s="65">
        <v>2024</v>
      </c>
      <c r="R50" s="49" t="s">
        <v>53</v>
      </c>
      <c r="S50" s="58"/>
      <c r="T50" s="58" t="s">
        <v>388</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677</v>
      </c>
      <c r="D51" s="93" t="str">
        <f t="shared" si="25"/>
        <v xml:space="preserve">            Maintenance Staff</v>
      </c>
      <c r="E51" s="93" t="s">
        <v>268</v>
      </c>
      <c r="F51" s="93"/>
      <c r="G51" s="94"/>
      <c r="H51" s="93"/>
      <c r="I51" s="93"/>
      <c r="J51" s="120"/>
      <c r="K51" s="60">
        <v>178500</v>
      </c>
      <c r="L51" s="49" t="s">
        <v>386</v>
      </c>
      <c r="M51" s="58" t="s">
        <v>678</v>
      </c>
      <c r="N51" s="103"/>
      <c r="O51" s="103"/>
      <c r="P51" s="49">
        <v>1</v>
      </c>
      <c r="Q51" s="65">
        <v>2024</v>
      </c>
      <c r="R51" s="49" t="s">
        <v>53</v>
      </c>
      <c r="S51" s="58"/>
      <c r="T51" s="58" t="s">
        <v>388</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679</v>
      </c>
      <c r="D52" s="93" t="str">
        <f t="shared" si="25"/>
        <v xml:space="preserve">            Engineering Staff (Testing Only)</v>
      </c>
      <c r="E52" s="93" t="s">
        <v>268</v>
      </c>
      <c r="F52" s="93"/>
      <c r="G52" s="94"/>
      <c r="H52" s="93"/>
      <c r="I52" s="93"/>
      <c r="J52" s="120"/>
      <c r="K52" s="60">
        <v>200000</v>
      </c>
      <c r="L52" s="49" t="s">
        <v>386</v>
      </c>
      <c r="M52" s="183" t="s">
        <v>680</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681</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682</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683</v>
      </c>
      <c r="D55" s="93" t="str">
        <f t="shared" si="25"/>
        <v xml:space="preserve">            Manfuacturing Building Staff</v>
      </c>
      <c r="E55" s="93" t="s">
        <v>35</v>
      </c>
      <c r="F55" s="93"/>
      <c r="G55" s="94"/>
      <c r="H55" s="93"/>
      <c r="I55" s="93"/>
      <c r="J55" s="181"/>
      <c r="K55" s="99">
        <v>2838754.3735329998</v>
      </c>
      <c r="L55" s="103" t="s">
        <v>279</v>
      </c>
      <c r="M55" s="110" t="s">
        <v>630</v>
      </c>
      <c r="N55" s="103">
        <v>1</v>
      </c>
      <c r="O55" s="103" t="s">
        <v>631</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684</v>
      </c>
      <c r="D56" s="93" t="str">
        <f t="shared" si="25"/>
        <v xml:space="preserve">            Fueling Building Staff</v>
      </c>
      <c r="E56" s="93" t="s">
        <v>35</v>
      </c>
      <c r="F56" s="93"/>
      <c r="G56" s="94"/>
      <c r="H56" s="93"/>
      <c r="I56" s="93"/>
      <c r="J56" s="181"/>
      <c r="K56" s="99">
        <v>699358.85747699998</v>
      </c>
      <c r="L56" s="103" t="s">
        <v>279</v>
      </c>
      <c r="M56" s="110" t="s">
        <v>630</v>
      </c>
      <c r="N56" s="103">
        <v>1</v>
      </c>
      <c r="O56" s="103" t="s">
        <v>631</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685</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686</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687</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688</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689</v>
      </c>
      <c r="D61" s="93" t="str">
        <f t="shared" si="25"/>
        <v xml:space="preserve">            Electricity</v>
      </c>
      <c r="E61" s="93" t="s">
        <v>268</v>
      </c>
      <c r="F61" s="93" t="s">
        <v>606</v>
      </c>
      <c r="G61" s="94">
        <v>1</v>
      </c>
      <c r="H61" s="93"/>
      <c r="I61" s="93"/>
      <c r="J61" s="120"/>
      <c r="K61" s="99">
        <v>90</v>
      </c>
      <c r="L61" s="103" t="s">
        <v>426</v>
      </c>
      <c r="M61" s="183" t="s">
        <v>609</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690</v>
      </c>
      <c r="D62" s="93" t="str">
        <f t="shared" si="25"/>
        <v xml:space="preserve">            Manufacturing Building Equipment</v>
      </c>
      <c r="E62" s="93" t="s">
        <v>35</v>
      </c>
      <c r="F62" s="93"/>
      <c r="G62" s="94"/>
      <c r="H62" s="93"/>
      <c r="I62" s="93"/>
      <c r="J62" s="120"/>
      <c r="K62" s="99">
        <v>405910.19340400002</v>
      </c>
      <c r="L62" s="103" t="s">
        <v>279</v>
      </c>
      <c r="M62" s="188" t="s">
        <v>630</v>
      </c>
      <c r="N62" s="103">
        <v>1</v>
      </c>
      <c r="O62" s="103" t="s">
        <v>631</v>
      </c>
      <c r="P62" s="101">
        <v>0.126887</v>
      </c>
      <c r="Q62" s="101">
        <v>2025</v>
      </c>
      <c r="R62" s="103" t="s">
        <v>153</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691</v>
      </c>
      <c r="D63" s="93" t="str">
        <f t="shared" si="25"/>
        <v xml:space="preserve">            Fueling Building Equipment</v>
      </c>
      <c r="E63" s="93" t="s">
        <v>35</v>
      </c>
      <c r="F63" s="93"/>
      <c r="G63" s="94"/>
      <c r="H63" s="93"/>
      <c r="I63" s="93"/>
      <c r="J63" s="120"/>
      <c r="K63" s="99">
        <v>82100.296140000006</v>
      </c>
      <c r="L63" s="103" t="s">
        <v>279</v>
      </c>
      <c r="M63" s="189" t="s">
        <v>630</v>
      </c>
      <c r="N63" s="103">
        <v>1</v>
      </c>
      <c r="O63" s="103" t="s">
        <v>631</v>
      </c>
      <c r="P63" s="101">
        <v>0.159548</v>
      </c>
      <c r="Q63" s="101">
        <v>2025</v>
      </c>
      <c r="R63" s="103" t="s">
        <v>153</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692</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693</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694</v>
      </c>
      <c r="D66" s="93" t="str">
        <f t="shared" si="25"/>
        <v xml:space="preserve">                  Annualized Helium Replenishment</v>
      </c>
      <c r="E66" s="93" t="s">
        <v>35</v>
      </c>
      <c r="F66" s="189" t="s">
        <v>630</v>
      </c>
      <c r="G66" s="94">
        <v>1</v>
      </c>
      <c r="H66" s="93"/>
      <c r="I66" s="93"/>
      <c r="J66" s="120"/>
      <c r="K66" s="99">
        <v>170</v>
      </c>
      <c r="L66" s="103" t="s">
        <v>186</v>
      </c>
      <c r="M66" s="183" t="s">
        <v>695</v>
      </c>
      <c r="N66" s="103"/>
      <c r="O66" s="103" t="s">
        <v>188</v>
      </c>
      <c r="P66" s="101"/>
      <c r="Q66" s="101">
        <v>2024</v>
      </c>
      <c r="R66" s="103" t="s">
        <v>153</v>
      </c>
      <c r="S66" s="190" t="s">
        <v>305</v>
      </c>
      <c r="T66" s="191" t="s">
        <v>305</v>
      </c>
      <c r="U66" s="182" t="s">
        <v>306</v>
      </c>
      <c r="V66" s="103" t="s">
        <v>307</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696</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402</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420</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00"/>
  <sheetViews>
    <sheetView zoomScale="150" workbookViewId="0">
      <selection activeCell="P1" sqref="P1:P1048576"/>
    </sheetView>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606</v>
      </c>
      <c r="G3" s="94">
        <v>1</v>
      </c>
      <c r="H3" s="93"/>
      <c r="I3" s="93"/>
      <c r="J3" s="120"/>
      <c r="K3" s="120">
        <v>3800</v>
      </c>
      <c r="L3" s="100" t="s">
        <v>36</v>
      </c>
      <c r="M3" s="100" t="s">
        <v>697</v>
      </c>
      <c r="N3" s="121"/>
      <c r="O3" s="100" t="s">
        <v>38</v>
      </c>
      <c r="P3" s="101"/>
      <c r="Q3" s="101">
        <v>2022</v>
      </c>
      <c r="R3" s="100" t="s">
        <v>39</v>
      </c>
      <c r="S3" s="102" t="s">
        <v>40</v>
      </c>
      <c r="T3" s="237" t="s">
        <v>608</v>
      </c>
      <c r="U3" s="238"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698</v>
      </c>
      <c r="N4" s="121"/>
      <c r="O4" s="100" t="s">
        <v>52</v>
      </c>
      <c r="P4" s="101"/>
      <c r="Q4" s="101">
        <v>2022</v>
      </c>
      <c r="R4" s="100" t="s">
        <v>53</v>
      </c>
      <c r="S4" s="102" t="s">
        <v>54</v>
      </c>
      <c r="T4" s="237"/>
      <c r="U4" s="238"/>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1000000*(45+70)/2</f>
        <v>57500000</v>
      </c>
      <c r="K5" s="120"/>
      <c r="L5" s="121"/>
      <c r="M5" s="121"/>
      <c r="N5" s="121"/>
      <c r="O5" s="100"/>
      <c r="P5" s="101"/>
      <c r="Q5" s="101">
        <v>2009</v>
      </c>
      <c r="R5" s="100" t="s">
        <v>53</v>
      </c>
      <c r="S5" s="102" t="s">
        <v>62</v>
      </c>
      <c r="T5" s="237" t="s">
        <v>610</v>
      </c>
      <c r="U5" s="238"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37"/>
      <c r="U6" s="238"/>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99"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699</v>
      </c>
      <c r="N11" s="121"/>
      <c r="O11" s="100" t="s">
        <v>38</v>
      </c>
      <c r="P11" s="123"/>
      <c r="Q11" s="101">
        <v>2024</v>
      </c>
      <c r="R11" s="100" t="s">
        <v>73</v>
      </c>
      <c r="S11" s="237" t="s">
        <v>74</v>
      </c>
      <c r="T11" s="237" t="s">
        <v>75</v>
      </c>
      <c r="U11" s="239"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699</v>
      </c>
      <c r="N12" s="121"/>
      <c r="O12" s="100" t="s">
        <v>38</v>
      </c>
      <c r="P12" s="123"/>
      <c r="Q12" s="101">
        <v>2024</v>
      </c>
      <c r="R12" s="100" t="s">
        <v>73</v>
      </c>
      <c r="S12" s="237"/>
      <c r="T12" s="237"/>
      <c r="U12" s="238"/>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700</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701</v>
      </c>
      <c r="N15" s="121"/>
      <c r="O15" s="100"/>
      <c r="P15" s="123"/>
      <c r="Q15" s="101">
        <v>2025</v>
      </c>
      <c r="R15" s="100" t="s">
        <v>73</v>
      </c>
      <c r="S15" s="130" t="s">
        <v>616</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702</v>
      </c>
      <c r="D16" s="93" t="str">
        <f t="shared" si="1"/>
        <v xml:space="preserve">                        Security Fencing Controlled</v>
      </c>
      <c r="E16" s="93" t="s">
        <v>35</v>
      </c>
      <c r="F16" s="93" t="s">
        <v>606</v>
      </c>
      <c r="G16" s="94">
        <v>1</v>
      </c>
      <c r="H16" s="93"/>
      <c r="I16" s="93"/>
      <c r="J16" s="120"/>
      <c r="K16" s="120">
        <f>0.7*328</f>
        <v>229.6</v>
      </c>
      <c r="L16" s="100" t="s">
        <v>619</v>
      </c>
      <c r="M16" s="100" t="s">
        <v>703</v>
      </c>
      <c r="N16" s="121"/>
      <c r="O16" s="100"/>
      <c r="P16" s="123"/>
      <c r="Q16" s="101">
        <v>2025</v>
      </c>
      <c r="R16" s="100" t="s">
        <v>73</v>
      </c>
      <c r="S16" s="130" t="s">
        <v>616</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621</v>
      </c>
      <c r="D17" s="93" t="str">
        <f t="shared" si="1"/>
        <v xml:space="preserve">                        Security Fencing Protected</v>
      </c>
      <c r="E17" s="93" t="s">
        <v>35</v>
      </c>
      <c r="F17" s="93" t="s">
        <v>606</v>
      </c>
      <c r="G17" s="94">
        <v>1</v>
      </c>
      <c r="H17" s="93"/>
      <c r="I17" s="93"/>
      <c r="J17" s="120"/>
      <c r="K17" s="120">
        <f>0.7*15746</f>
        <v>11022.199999999999</v>
      </c>
      <c r="L17" s="100" t="s">
        <v>619</v>
      </c>
      <c r="M17" s="100" t="s">
        <v>704</v>
      </c>
      <c r="N17" s="121"/>
      <c r="O17" s="100"/>
      <c r="P17" s="123"/>
      <c r="Q17" s="101">
        <v>2025</v>
      </c>
      <c r="R17" s="100" t="s">
        <v>73</v>
      </c>
      <c r="S17" s="130" t="s">
        <v>616</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623</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705</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706</v>
      </c>
      <c r="D20" s="151" t="str">
        <f t="shared" si="1"/>
        <v xml:space="preserve">                        Servicing Hot Cell Building Structure</v>
      </c>
      <c r="E20" s="151" t="s">
        <v>35</v>
      </c>
      <c r="F20" s="151" t="s">
        <v>606</v>
      </c>
      <c r="G20" s="153">
        <v>1</v>
      </c>
      <c r="H20" s="151"/>
      <c r="I20" s="151"/>
      <c r="J20" s="120"/>
      <c r="K20" s="154">
        <f>3476*3.2808^2</f>
        <v>37414.442672640005</v>
      </c>
      <c r="L20" s="142" t="s">
        <v>92</v>
      </c>
      <c r="M20" s="155" t="s">
        <v>707</v>
      </c>
      <c r="N20" s="142">
        <f>338988/(3.2808^2)</f>
        <v>31493.781647632819</v>
      </c>
      <c r="O20" s="142" t="s">
        <v>94</v>
      </c>
      <c r="P20" s="195">
        <v>0.95138500000000004</v>
      </c>
      <c r="Q20" s="101">
        <v>2025</v>
      </c>
      <c r="R20" s="121" t="s">
        <v>86</v>
      </c>
      <c r="S20" s="144" t="s">
        <v>708</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709</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710</v>
      </c>
      <c r="D22" s="151" t="str">
        <f t="shared" ref="D22" si="13">REPT("   ", B22*2) &amp; C22</f>
        <v xml:space="preserve">                        Helium Purification and Storage Building Structure</v>
      </c>
      <c r="E22" s="151" t="s">
        <v>35</v>
      </c>
      <c r="F22" s="151" t="s">
        <v>606</v>
      </c>
      <c r="G22" s="153">
        <v>1</v>
      </c>
      <c r="H22" s="151"/>
      <c r="I22" s="151"/>
      <c r="J22" s="154"/>
      <c r="K22" s="154">
        <f>3031*(3.2808^2)</f>
        <v>32624.619027840003</v>
      </c>
      <c r="L22" s="142" t="s">
        <v>92</v>
      </c>
      <c r="M22" s="155" t="s">
        <v>711</v>
      </c>
      <c r="N22" s="142">
        <v>1</v>
      </c>
      <c r="O22" s="142" t="s">
        <v>94</v>
      </c>
      <c r="P22" s="143">
        <v>1</v>
      </c>
      <c r="Q22" s="101">
        <v>2025</v>
      </c>
      <c r="R22" s="121" t="s">
        <v>86</v>
      </c>
      <c r="S22" s="144" t="s">
        <v>712</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624</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713</v>
      </c>
      <c r="D24" s="93" t="str">
        <f t="shared" ref="D24:D31" si="18">REPT("   ", B24*2) &amp; C24</f>
        <v xml:space="preserve">                        Local Control Building Structure</v>
      </c>
      <c r="E24" s="93" t="s">
        <v>35</v>
      </c>
      <c r="F24" s="93" t="s">
        <v>606</v>
      </c>
      <c r="G24" s="94">
        <v>1</v>
      </c>
      <c r="H24" s="93"/>
      <c r="I24" s="93"/>
      <c r="J24" s="141"/>
      <c r="K24" s="120">
        <f>0.7*2653*(3.2808^2)</f>
        <v>19989.171889344001</v>
      </c>
      <c r="L24" s="100" t="s">
        <v>92</v>
      </c>
      <c r="M24" s="98" t="s">
        <v>714</v>
      </c>
      <c r="N24" s="142">
        <v>1</v>
      </c>
      <c r="O24" s="142" t="s">
        <v>94</v>
      </c>
      <c r="P24" s="143">
        <v>1</v>
      </c>
      <c r="Q24" s="101">
        <v>2025</v>
      </c>
      <c r="R24" s="121" t="s">
        <v>86</v>
      </c>
      <c r="S24" s="144" t="s">
        <v>627</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715</v>
      </c>
      <c r="D25" s="93" t="str">
        <f t="shared" si="18"/>
        <v xml:space="preserve">                        Remote Control Center Structure</v>
      </c>
      <c r="E25" s="93" t="s">
        <v>35</v>
      </c>
      <c r="F25" s="93" t="s">
        <v>606</v>
      </c>
      <c r="G25" s="94">
        <v>1</v>
      </c>
      <c r="H25" s="93"/>
      <c r="I25" s="93"/>
      <c r="J25" s="141"/>
      <c r="K25" s="120">
        <f>0.7*2307*(3.2808^2)</f>
        <v>17382.216188736002</v>
      </c>
      <c r="L25" s="100" t="s">
        <v>92</v>
      </c>
      <c r="M25" s="98" t="s">
        <v>716</v>
      </c>
      <c r="N25" s="142">
        <v>1</v>
      </c>
      <c r="O25" s="142" t="s">
        <v>94</v>
      </c>
      <c r="P25" s="143">
        <v>1</v>
      </c>
      <c r="Q25" s="101">
        <v>2025</v>
      </c>
      <c r="R25" s="121" t="s">
        <v>86</v>
      </c>
      <c r="S25" s="144" t="s">
        <v>627</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717</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718</v>
      </c>
      <c r="D27" s="93" t="str">
        <f t="shared" si="18"/>
        <v xml:space="preserve">                        Radioactive Waste Processing Building Structure</v>
      </c>
      <c r="E27" s="151" t="s">
        <v>35</v>
      </c>
      <c r="F27" s="151" t="s">
        <v>606</v>
      </c>
      <c r="G27" s="153">
        <v>1</v>
      </c>
      <c r="H27" s="151"/>
      <c r="I27" s="151"/>
      <c r="J27" s="120"/>
      <c r="K27" s="154">
        <f>4354*(3.2808^2)</f>
        <v>46864.926178560003</v>
      </c>
      <c r="L27" s="142" t="s">
        <v>92</v>
      </c>
      <c r="M27" s="155" t="s">
        <v>719</v>
      </c>
      <c r="N27" s="142">
        <v>1</v>
      </c>
      <c r="O27" s="142" t="s">
        <v>94</v>
      </c>
      <c r="P27" s="143">
        <v>1</v>
      </c>
      <c r="Q27" s="101">
        <v>2025</v>
      </c>
      <c r="R27" s="121" t="s">
        <v>86</v>
      </c>
      <c r="S27" s="144" t="s">
        <v>712</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720</v>
      </c>
      <c r="D28" s="93" t="str">
        <f t="shared" si="18"/>
        <v xml:space="preserve">                  Used Fuel Storage Pads</v>
      </c>
      <c r="E28" s="93" t="s">
        <v>35</v>
      </c>
      <c r="F28" s="93"/>
      <c r="G28" s="94"/>
      <c r="H28" s="93"/>
      <c r="I28" s="93"/>
      <c r="J28" s="141"/>
      <c r="K28" s="120">
        <v>6171250</v>
      </c>
      <c r="L28" s="100" t="s">
        <v>814</v>
      </c>
      <c r="M28" s="155" t="s">
        <v>729</v>
      </c>
      <c r="N28" s="121">
        <v>1</v>
      </c>
      <c r="O28" s="100" t="s">
        <v>815</v>
      </c>
      <c r="P28" s="123">
        <v>1</v>
      </c>
      <c r="Q28" s="101">
        <v>2009</v>
      </c>
      <c r="R28" s="100" t="s">
        <v>86</v>
      </c>
      <c r="S28" s="102" t="s">
        <v>721</v>
      </c>
      <c r="T28" s="102"/>
      <c r="U28" s="140" t="s">
        <v>722</v>
      </c>
      <c r="V28" s="103"/>
      <c r="W28" s="145" t="s">
        <v>43</v>
      </c>
      <c r="X28" s="146">
        <f t="shared" si="14"/>
        <v>0</v>
      </c>
      <c r="Y28" s="146">
        <f t="shared" si="23"/>
        <v>0</v>
      </c>
      <c r="Z28" s="145" t="s">
        <v>44</v>
      </c>
      <c r="AA28" s="147">
        <f t="shared" si="24"/>
        <v>5554125</v>
      </c>
      <c r="AB28" s="147">
        <f t="shared" si="25"/>
        <v>8022625</v>
      </c>
      <c r="AC28" s="145" t="s">
        <v>44</v>
      </c>
      <c r="AD28" s="147">
        <v>0.1</v>
      </c>
      <c r="AE28" s="147" t="s">
        <v>46</v>
      </c>
      <c r="AF28" s="147" t="s">
        <v>47</v>
      </c>
      <c r="AG28" s="145" t="s">
        <v>48</v>
      </c>
    </row>
    <row r="29" spans="1:33" ht="57" x14ac:dyDescent="0.2">
      <c r="A29" s="107">
        <v>214.7</v>
      </c>
      <c r="B29" s="92">
        <f t="shared" si="22"/>
        <v>3</v>
      </c>
      <c r="C29" s="98" t="s">
        <v>723</v>
      </c>
      <c r="D29" s="93" t="str">
        <f t="shared" si="18"/>
        <v xml:space="preserve">                  Rad Waste Storage Warehouses</v>
      </c>
      <c r="E29" s="93" t="s">
        <v>35</v>
      </c>
      <c r="F29" s="93"/>
      <c r="G29" s="94"/>
      <c r="H29" s="93"/>
      <c r="I29" s="93"/>
      <c r="J29" s="141"/>
      <c r="K29" s="120">
        <f>1171*(3.2808^2)</f>
        <v>12604.232557440002</v>
      </c>
      <c r="L29" s="100" t="s">
        <v>92</v>
      </c>
      <c r="M29" s="155" t="s">
        <v>724</v>
      </c>
      <c r="N29" s="121">
        <v>1</v>
      </c>
      <c r="O29" s="100" t="s">
        <v>94</v>
      </c>
      <c r="P29" s="123">
        <v>1</v>
      </c>
      <c r="Q29" s="101">
        <v>2025</v>
      </c>
      <c r="R29" s="100" t="s">
        <v>86</v>
      </c>
      <c r="S29" s="144" t="s">
        <v>712</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725</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726</v>
      </c>
      <c r="D31" s="93" t="str">
        <f t="shared" si="18"/>
        <v xml:space="preserve">                  Air Transport Hangar</v>
      </c>
      <c r="E31" s="93" t="s">
        <v>35</v>
      </c>
      <c r="F31" s="93"/>
      <c r="G31" s="94"/>
      <c r="H31" s="93"/>
      <c r="I31" s="93"/>
      <c r="J31" s="196">
        <v>10000000</v>
      </c>
      <c r="K31" s="120"/>
      <c r="L31" s="100"/>
      <c r="M31" s="155"/>
      <c r="N31" s="121"/>
      <c r="O31" s="100"/>
      <c r="P31" s="123"/>
      <c r="Q31" s="101">
        <v>2024</v>
      </c>
      <c r="R31" s="100" t="s">
        <v>153</v>
      </c>
      <c r="S31" s="144" t="s">
        <v>727</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628</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728</v>
      </c>
      <c r="D33" s="151" t="str">
        <f>REPT("   ", B33*2) &amp; C33</f>
        <v xml:space="preserve">            Reactor Cask Management Yard and Inspection Shop</v>
      </c>
      <c r="E33" s="151" t="s">
        <v>35</v>
      </c>
      <c r="F33" s="151"/>
      <c r="G33" s="153"/>
      <c r="H33" s="151"/>
      <c r="I33" s="151"/>
      <c r="J33" s="120"/>
      <c r="K33" s="154">
        <f>0.7*17946522/N33</f>
        <v>41875.217999999993</v>
      </c>
      <c r="L33" s="142"/>
      <c r="M33" s="155" t="s">
        <v>729</v>
      </c>
      <c r="N33" s="142">
        <v>300</v>
      </c>
      <c r="O33" s="142" t="s">
        <v>631</v>
      </c>
      <c r="P33" s="195">
        <v>0.25047999999999998</v>
      </c>
      <c r="Q33" s="101">
        <v>2025</v>
      </c>
      <c r="R33" s="121" t="s">
        <v>86</v>
      </c>
      <c r="S33" s="144" t="s">
        <v>650</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730</v>
      </c>
      <c r="D34" s="151" t="str">
        <f>REPT("   ", B34*2) &amp; C34</f>
        <v xml:space="preserve">            Vehicle Depot and Mechanic Shop</v>
      </c>
      <c r="E34" s="151" t="s">
        <v>35</v>
      </c>
      <c r="F34" s="151"/>
      <c r="G34" s="153"/>
      <c r="H34" s="151"/>
      <c r="I34" s="151"/>
      <c r="J34" s="120"/>
      <c r="K34" s="154">
        <f>0.7*58097655/N34</f>
        <v>135561.19500000001</v>
      </c>
      <c r="L34" s="142"/>
      <c r="M34" s="155" t="s">
        <v>729</v>
      </c>
      <c r="N34" s="142">
        <v>300</v>
      </c>
      <c r="O34" s="142" t="s">
        <v>94</v>
      </c>
      <c r="P34" s="156">
        <v>0.26666499999999999</v>
      </c>
      <c r="Q34" s="101">
        <v>2025</v>
      </c>
      <c r="R34" s="121" t="s">
        <v>86</v>
      </c>
      <c r="S34" s="144" t="s">
        <v>650</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731</v>
      </c>
      <c r="D35" s="151" t="str">
        <f>REPT("   ", B35*2) &amp; C35</f>
        <v xml:space="preserve">            Parts Service Center and Warehouse</v>
      </c>
      <c r="E35" s="151" t="s">
        <v>35</v>
      </c>
      <c r="F35" s="151"/>
      <c r="G35" s="153"/>
      <c r="H35" s="151"/>
      <c r="I35" s="151"/>
      <c r="J35" s="162"/>
      <c r="K35" s="154">
        <v>3842.71</v>
      </c>
      <c r="L35" s="163" t="s">
        <v>92</v>
      </c>
      <c r="M35" s="155" t="s">
        <v>732</v>
      </c>
      <c r="N35" s="142">
        <v>1</v>
      </c>
      <c r="O35" s="142" t="s">
        <v>94</v>
      </c>
      <c r="P35" s="143">
        <v>1</v>
      </c>
      <c r="Q35" s="101">
        <v>2025</v>
      </c>
      <c r="R35" s="121" t="s">
        <v>86</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636</v>
      </c>
      <c r="D36" s="151" t="str">
        <f t="shared" ref="D36" si="34">REPT("   ", B36*2) &amp; C36</f>
        <v xml:space="preserve">            Administrative Building</v>
      </c>
      <c r="E36" s="151" t="s">
        <v>35</v>
      </c>
      <c r="F36" s="151"/>
      <c r="G36" s="153"/>
      <c r="H36" s="151"/>
      <c r="I36" s="151"/>
      <c r="J36" s="120"/>
      <c r="K36" s="154">
        <f>0.7*1968*(3.2808^2)</f>
        <v>14828.002366464001</v>
      </c>
      <c r="L36" s="142" t="s">
        <v>92</v>
      </c>
      <c r="M36" s="155" t="s">
        <v>733</v>
      </c>
      <c r="N36" s="142">
        <v>1</v>
      </c>
      <c r="O36" s="142" t="s">
        <v>94</v>
      </c>
      <c r="P36" s="143">
        <v>1</v>
      </c>
      <c r="Q36" s="101">
        <v>2025</v>
      </c>
      <c r="R36" s="121" t="s">
        <v>86</v>
      </c>
      <c r="S36" s="144" t="s">
        <v>627</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153</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734</v>
      </c>
      <c r="D38" s="93" t="str">
        <f>REPT("   ", B38*2) &amp; C38</f>
        <v xml:space="preserve">            Servicing Hot Cell</v>
      </c>
      <c r="E38" s="93" t="s">
        <v>35</v>
      </c>
      <c r="F38" s="93" t="s">
        <v>735</v>
      </c>
      <c r="G38" s="94">
        <v>1</v>
      </c>
      <c r="H38" s="93"/>
      <c r="I38" s="93"/>
      <c r="J38" s="120">
        <v>1000000000</v>
      </c>
      <c r="K38" s="120"/>
      <c r="L38" s="121"/>
      <c r="M38" s="124"/>
      <c r="N38" s="121"/>
      <c r="O38" s="121"/>
      <c r="P38" s="123"/>
      <c r="Q38" s="101">
        <v>2024</v>
      </c>
      <c r="R38" s="121" t="s">
        <v>86</v>
      </c>
      <c r="S38" s="124" t="s">
        <v>658</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736</v>
      </c>
      <c r="D39" s="151" t="str">
        <f t="shared" ref="D39" si="35">REPT("   ", B39*2) &amp; C39</f>
        <v xml:space="preserve">            Helium Purification Equipment</v>
      </c>
      <c r="E39" s="151" t="s">
        <v>35</v>
      </c>
      <c r="F39" s="151" t="s">
        <v>606</v>
      </c>
      <c r="G39" s="153">
        <v>1</v>
      </c>
      <c r="H39" s="151"/>
      <c r="I39" s="151"/>
      <c r="J39" s="154"/>
      <c r="K39" s="154">
        <f>((4700000+6000000)/2)/N39</f>
        <v>96300000</v>
      </c>
      <c r="L39" s="142"/>
      <c r="M39" s="155" t="s">
        <v>737</v>
      </c>
      <c r="N39" s="198">
        <f>200/3600</f>
        <v>5.5555555555555552E-2</v>
      </c>
      <c r="O39" s="142" t="s">
        <v>322</v>
      </c>
      <c r="P39" s="199">
        <v>0.6</v>
      </c>
      <c r="Q39" s="101">
        <v>2024</v>
      </c>
      <c r="R39" s="142" t="s">
        <v>86</v>
      </c>
      <c r="S39" s="144" t="s">
        <v>738</v>
      </c>
      <c r="T39" s="170" t="s">
        <v>739</v>
      </c>
      <c r="U39" s="171" t="s">
        <v>306</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740</v>
      </c>
      <c r="D40" s="93" t="str">
        <f>REPT("   ", B40*2) &amp; C40</f>
        <v xml:space="preserve">            Radioactive Waste Processing Hot Cell</v>
      </c>
      <c r="E40" s="93" t="s">
        <v>35</v>
      </c>
      <c r="F40" s="93" t="s">
        <v>741</v>
      </c>
      <c r="G40" s="94">
        <v>1</v>
      </c>
      <c r="H40" s="93"/>
      <c r="I40" s="93"/>
      <c r="J40" s="120">
        <v>1000000000</v>
      </c>
      <c r="K40" s="120"/>
      <c r="L40" s="100"/>
      <c r="M40" s="98"/>
      <c r="N40" s="121"/>
      <c r="O40" s="100"/>
      <c r="P40" s="123"/>
      <c r="Q40" s="101">
        <v>2024</v>
      </c>
      <c r="R40" s="100" t="s">
        <v>153</v>
      </c>
      <c r="S40" s="102" t="s">
        <v>658</v>
      </c>
      <c r="T40" s="102"/>
      <c r="U40" s="122"/>
      <c r="V40" s="103" t="s">
        <v>742</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638</v>
      </c>
      <c r="D41" s="93" t="str">
        <f>REPT("   ", B41*2) &amp; C41</f>
        <v xml:space="preserve">            Local Integrated Control Rooms</v>
      </c>
      <c r="E41" s="93" t="s">
        <v>35</v>
      </c>
      <c r="F41" s="93" t="s">
        <v>735</v>
      </c>
      <c r="G41" s="94">
        <v>1</v>
      </c>
      <c r="H41" s="93"/>
      <c r="I41" s="93"/>
      <c r="J41" s="120">
        <f>21555270/2</f>
        <v>10777635</v>
      </c>
      <c r="K41" s="120"/>
      <c r="L41" s="100"/>
      <c r="M41" s="98"/>
      <c r="N41" s="121"/>
      <c r="O41" s="100"/>
      <c r="P41" s="123"/>
      <c r="Q41" s="101">
        <v>1987</v>
      </c>
      <c r="R41" s="100" t="s">
        <v>86</v>
      </c>
      <c r="S41" s="102" t="s">
        <v>743</v>
      </c>
      <c r="T41" s="102" t="s">
        <v>744</v>
      </c>
      <c r="U41" s="140" t="s">
        <v>745</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746</v>
      </c>
      <c r="D42" s="93" t="str">
        <f>REPT("   ", B42*2) &amp; C42</f>
        <v xml:space="preserve">            Remote Control Rooms</v>
      </c>
      <c r="E42" s="93" t="s">
        <v>35</v>
      </c>
      <c r="F42" s="93" t="s">
        <v>606</v>
      </c>
      <c r="G42" s="94">
        <v>1</v>
      </c>
      <c r="H42" s="93"/>
      <c r="I42" s="93"/>
      <c r="J42" s="120"/>
      <c r="K42" s="120">
        <v>100000</v>
      </c>
      <c r="L42" s="100"/>
      <c r="M42" s="93" t="s">
        <v>747</v>
      </c>
      <c r="N42" s="121"/>
      <c r="O42" s="100"/>
      <c r="P42" s="123"/>
      <c r="Q42" s="101">
        <v>2024</v>
      </c>
      <c r="R42" s="100" t="s">
        <v>86</v>
      </c>
      <c r="S42" s="102" t="s">
        <v>748</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749</v>
      </c>
      <c r="D43" s="93" t="str">
        <f>REPT("   ", B43*2) &amp; C43</f>
        <v xml:space="preserve">            Reactor Transport Casks</v>
      </c>
      <c r="E43" s="93" t="s">
        <v>35</v>
      </c>
      <c r="F43" s="93" t="s">
        <v>606</v>
      </c>
      <c r="G43" s="94">
        <v>1</v>
      </c>
      <c r="H43" s="93"/>
      <c r="I43" s="93"/>
      <c r="J43" s="196">
        <v>10000000</v>
      </c>
      <c r="K43" s="120"/>
      <c r="L43" s="100"/>
      <c r="M43" s="93" t="s">
        <v>750</v>
      </c>
      <c r="N43" s="121"/>
      <c r="O43" s="100"/>
      <c r="P43" s="123"/>
      <c r="Q43" s="101">
        <v>2024</v>
      </c>
      <c r="R43" s="100" t="s">
        <v>86</v>
      </c>
      <c r="S43" s="102" t="s">
        <v>658</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640</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641</v>
      </c>
      <c r="D45" s="151" t="str">
        <f>REPT("   ", B45*2) &amp; C45</f>
        <v xml:space="preserve">            Emergency Power</v>
      </c>
      <c r="E45" s="151" t="s">
        <v>35</v>
      </c>
      <c r="F45" s="151"/>
      <c r="G45" s="153"/>
      <c r="H45" s="151"/>
      <c r="I45" s="151"/>
      <c r="J45" s="120"/>
      <c r="K45" s="154">
        <f>(1450000*5+1500000)/2.5</f>
        <v>3500000</v>
      </c>
      <c r="L45" s="142" t="s">
        <v>50</v>
      </c>
      <c r="M45" s="155" t="s">
        <v>751</v>
      </c>
      <c r="N45" s="142">
        <v>1</v>
      </c>
      <c r="O45" s="142" t="s">
        <v>52</v>
      </c>
      <c r="P45" s="143">
        <v>1</v>
      </c>
      <c r="Q45" s="101">
        <v>2025</v>
      </c>
      <c r="R45" s="121" t="s">
        <v>153</v>
      </c>
      <c r="S45" s="170" t="s">
        <v>643</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752</v>
      </c>
      <c r="D46" s="151" t="str">
        <f>REPT("   ", B46*2) &amp; C46</f>
        <v xml:space="preserve">            Service Air Water Building</v>
      </c>
      <c r="E46" s="151" t="s">
        <v>35</v>
      </c>
      <c r="F46" s="151" t="s">
        <v>753</v>
      </c>
      <c r="G46" s="153">
        <v>1</v>
      </c>
      <c r="H46" s="151"/>
      <c r="I46" s="151"/>
      <c r="J46" s="120">
        <v>15090300</v>
      </c>
      <c r="K46" s="154"/>
      <c r="L46" s="142"/>
      <c r="M46" s="155"/>
      <c r="N46" s="142"/>
      <c r="O46" s="142"/>
      <c r="P46" s="143"/>
      <c r="Q46" s="101">
        <v>2025</v>
      </c>
      <c r="R46" s="121" t="s">
        <v>86</v>
      </c>
      <c r="S46" s="144" t="s">
        <v>712</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644</v>
      </c>
      <c r="D47" s="151" t="str">
        <f t="shared" ref="D47:D48" si="49">REPT("   ", B47*2) &amp; C47</f>
        <v xml:space="preserve">            Fire Station</v>
      </c>
      <c r="E47" s="151" t="s">
        <v>35</v>
      </c>
      <c r="F47" s="151" t="s">
        <v>754</v>
      </c>
      <c r="G47" s="153">
        <v>1</v>
      </c>
      <c r="H47" s="151"/>
      <c r="I47" s="151"/>
      <c r="J47" s="120">
        <f>0.7*20776500</f>
        <v>14543550</v>
      </c>
      <c r="K47" s="154"/>
      <c r="L47" s="142"/>
      <c r="M47" s="155"/>
      <c r="N47" s="142"/>
      <c r="O47" s="142"/>
      <c r="P47" s="143"/>
      <c r="Q47" s="101">
        <v>2025</v>
      </c>
      <c r="R47" s="121" t="s">
        <v>86</v>
      </c>
      <c r="S47" s="144" t="s">
        <v>627</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646</v>
      </c>
      <c r="D48" s="151" t="str">
        <f t="shared" si="49"/>
        <v xml:space="preserve">            Security Building</v>
      </c>
      <c r="E48" s="151" t="s">
        <v>35</v>
      </c>
      <c r="F48" s="151"/>
      <c r="G48" s="153"/>
      <c r="H48" s="151"/>
      <c r="I48" s="151"/>
      <c r="J48" s="120"/>
      <c r="K48" s="154">
        <f>0.7*2548*(3.2808^2)</f>
        <v>19198.043714304</v>
      </c>
      <c r="L48" s="142" t="s">
        <v>92</v>
      </c>
      <c r="M48" s="155" t="s">
        <v>755</v>
      </c>
      <c r="N48" s="142">
        <v>1</v>
      </c>
      <c r="O48" s="142" t="s">
        <v>94</v>
      </c>
      <c r="P48" s="143">
        <v>1</v>
      </c>
      <c r="Q48" s="101">
        <v>2025</v>
      </c>
      <c r="R48" s="121" t="s">
        <v>86</v>
      </c>
      <c r="S48" s="144" t="s">
        <v>627</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648</v>
      </c>
      <c r="D49" s="151" t="str">
        <f>REPT("   ", B49*2) &amp; C49</f>
        <v xml:space="preserve">            Switchyard</v>
      </c>
      <c r="E49" s="151" t="s">
        <v>35</v>
      </c>
      <c r="F49" s="151"/>
      <c r="G49" s="153"/>
      <c r="H49" s="151"/>
      <c r="I49" s="151"/>
      <c r="J49" s="120"/>
      <c r="K49" s="154">
        <f>0.7*221450153/N49</f>
        <v>516717.02366666665</v>
      </c>
      <c r="L49" s="142" t="s">
        <v>50</v>
      </c>
      <c r="M49" s="155" t="s">
        <v>698</v>
      </c>
      <c r="N49" s="142">
        <v>300</v>
      </c>
      <c r="O49" s="142" t="s">
        <v>52</v>
      </c>
      <c r="P49" s="156">
        <v>0.99680000000000002</v>
      </c>
      <c r="Q49" s="101">
        <v>2025</v>
      </c>
      <c r="R49" s="121" t="s">
        <v>86</v>
      </c>
      <c r="S49" s="144" t="s">
        <v>650</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651</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652</v>
      </c>
      <c r="D51" s="93" t="str">
        <f t="shared" si="44"/>
        <v xml:space="preserve">                  Local Reactor Transport Vehicles</v>
      </c>
      <c r="E51" s="93" t="s">
        <v>35</v>
      </c>
      <c r="F51" s="93" t="s">
        <v>756</v>
      </c>
      <c r="G51" s="94">
        <v>1</v>
      </c>
      <c r="H51" s="93"/>
      <c r="I51" s="93"/>
      <c r="J51" s="169">
        <v>938000</v>
      </c>
      <c r="K51" s="99"/>
      <c r="L51" s="103"/>
      <c r="M51" s="100"/>
      <c r="N51" s="103"/>
      <c r="O51" s="103"/>
      <c r="P51" s="101"/>
      <c r="Q51" s="101">
        <v>2023</v>
      </c>
      <c r="R51" s="103" t="s">
        <v>153</v>
      </c>
      <c r="S51" s="110" t="s">
        <v>654</v>
      </c>
      <c r="T51" s="110" t="s">
        <v>655</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656</v>
      </c>
      <c r="D52" s="93" t="str">
        <f t="shared" si="44"/>
        <v xml:space="preserve">                  Utility Vehicles</v>
      </c>
      <c r="E52" s="93" t="s">
        <v>35</v>
      </c>
      <c r="F52" s="93" t="s">
        <v>757</v>
      </c>
      <c r="G52" s="94">
        <v>1</v>
      </c>
      <c r="H52" s="93"/>
      <c r="I52" s="93"/>
      <c r="J52" s="169">
        <v>50000</v>
      </c>
      <c r="K52" s="99"/>
      <c r="L52" s="103"/>
      <c r="M52" s="100"/>
      <c r="N52" s="103"/>
      <c r="O52" s="103"/>
      <c r="P52" s="101"/>
      <c r="Q52" s="101">
        <v>2024</v>
      </c>
      <c r="R52" s="103" t="s">
        <v>153</v>
      </c>
      <c r="S52" s="110" t="s">
        <v>658</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758</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759</v>
      </c>
      <c r="D54" s="93" t="str">
        <f t="shared" si="44"/>
        <v xml:space="preserve">                  Reactor Transport Vehicles</v>
      </c>
      <c r="E54" s="93" t="s">
        <v>35</v>
      </c>
      <c r="F54" s="93" t="s">
        <v>760</v>
      </c>
      <c r="G54" s="94">
        <v>1</v>
      </c>
      <c r="H54" s="93"/>
      <c r="I54" s="93"/>
      <c r="J54" s="169">
        <v>1000000</v>
      </c>
      <c r="K54" s="99"/>
      <c r="L54" s="103"/>
      <c r="M54" s="100"/>
      <c r="N54" s="103"/>
      <c r="O54" s="103"/>
      <c r="P54" s="101"/>
      <c r="Q54" s="101">
        <v>2024</v>
      </c>
      <c r="R54" s="103" t="s">
        <v>153</v>
      </c>
      <c r="S54" s="110" t="s">
        <v>658</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761</v>
      </c>
      <c r="D55" s="93" t="str">
        <f t="shared" si="44"/>
        <v xml:space="preserve">                  Helium Transport Trucks</v>
      </c>
      <c r="E55" s="93" t="s">
        <v>35</v>
      </c>
      <c r="F55" s="93" t="s">
        <v>762</v>
      </c>
      <c r="G55" s="94">
        <v>1</v>
      </c>
      <c r="H55" s="93"/>
      <c r="I55" s="93"/>
      <c r="J55" s="169">
        <v>500000</v>
      </c>
      <c r="K55" s="99"/>
      <c r="L55" s="103"/>
      <c r="M55" s="100"/>
      <c r="N55" s="103"/>
      <c r="O55" s="103"/>
      <c r="P55" s="101"/>
      <c r="Q55" s="101">
        <v>2024</v>
      </c>
      <c r="R55" s="103" t="s">
        <v>153</v>
      </c>
      <c r="S55" s="110" t="s">
        <v>658</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763</v>
      </c>
      <c r="D56" s="93" t="str">
        <f t="shared" si="44"/>
        <v xml:space="preserve">                  Water Tanker Trucks</v>
      </c>
      <c r="E56" s="93" t="s">
        <v>35</v>
      </c>
      <c r="F56" s="93" t="s">
        <v>764</v>
      </c>
      <c r="G56" s="94">
        <v>1</v>
      </c>
      <c r="H56" s="93"/>
      <c r="I56" s="93"/>
      <c r="J56" s="169">
        <v>300000</v>
      </c>
      <c r="K56" s="99"/>
      <c r="L56" s="103"/>
      <c r="M56" s="100"/>
      <c r="N56" s="103"/>
      <c r="O56" s="103"/>
      <c r="P56" s="101"/>
      <c r="Q56" s="101">
        <v>2024</v>
      </c>
      <c r="R56" s="103" t="s">
        <v>153</v>
      </c>
      <c r="S56" s="110" t="s">
        <v>658</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765</v>
      </c>
      <c r="D57" s="93" t="str">
        <f t="shared" si="44"/>
        <v xml:space="preserve">                  Maintenance Trucks</v>
      </c>
      <c r="E57" s="93" t="s">
        <v>35</v>
      </c>
      <c r="F57" s="93" t="s">
        <v>766</v>
      </c>
      <c r="G57" s="94">
        <v>1</v>
      </c>
      <c r="H57" s="93"/>
      <c r="I57" s="93"/>
      <c r="J57" s="169">
        <v>500000</v>
      </c>
      <c r="K57" s="99"/>
      <c r="L57" s="103"/>
      <c r="M57" s="100"/>
      <c r="N57" s="103"/>
      <c r="O57" s="103"/>
      <c r="P57" s="101"/>
      <c r="Q57" s="101">
        <v>2024</v>
      </c>
      <c r="R57" s="103" t="s">
        <v>153</v>
      </c>
      <c r="S57" s="110" t="s">
        <v>658</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767</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768</v>
      </c>
      <c r="D59" s="93" t="str">
        <f t="shared" si="44"/>
        <v xml:space="preserve">                        Heavy Lift Helicopters</v>
      </c>
      <c r="E59" s="93" t="s">
        <v>35</v>
      </c>
      <c r="F59" s="93" t="s">
        <v>769</v>
      </c>
      <c r="G59" s="94">
        <v>1</v>
      </c>
      <c r="H59" s="93"/>
      <c r="I59" s="93"/>
      <c r="J59" s="169">
        <v>50000000</v>
      </c>
      <c r="K59" s="99"/>
      <c r="L59" s="103"/>
      <c r="M59" s="100"/>
      <c r="N59" s="103"/>
      <c r="O59" s="103"/>
      <c r="P59" s="101"/>
      <c r="Q59" s="101">
        <v>2024</v>
      </c>
      <c r="R59" s="103" t="s">
        <v>153</v>
      </c>
      <c r="S59" s="110" t="s">
        <v>727</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770</v>
      </c>
      <c r="D60" s="93" t="str">
        <f t="shared" si="44"/>
        <v xml:space="preserve">                        Aircraft Maintenance Equipment</v>
      </c>
      <c r="E60" s="93" t="s">
        <v>35</v>
      </c>
      <c r="F60" s="93" t="s">
        <v>606</v>
      </c>
      <c r="G60" s="94">
        <v>1</v>
      </c>
      <c r="H60" s="93"/>
      <c r="I60" s="93"/>
      <c r="J60" s="169">
        <v>1000000</v>
      </c>
      <c r="K60" s="99"/>
      <c r="L60" s="103"/>
      <c r="M60" s="100"/>
      <c r="N60" s="103"/>
      <c r="O60" s="103"/>
      <c r="P60" s="101"/>
      <c r="Q60" s="101">
        <v>2024</v>
      </c>
      <c r="R60" s="103" t="s">
        <v>153</v>
      </c>
      <c r="S60" s="110" t="s">
        <v>727</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659</v>
      </c>
      <c r="D61" s="93" t="str">
        <f t="shared" si="44"/>
        <v xml:space="preserve">            Dispered Infrastructure</v>
      </c>
      <c r="E61" s="93"/>
      <c r="F61" s="93"/>
      <c r="G61" s="94"/>
      <c r="H61" s="93"/>
      <c r="I61" s="93"/>
      <c r="J61" s="172"/>
      <c r="K61" s="99"/>
      <c r="L61" s="173"/>
      <c r="M61" s="100"/>
      <c r="N61" s="103"/>
      <c r="O61" s="103"/>
      <c r="P61" s="101"/>
      <c r="Q61" s="101"/>
      <c r="R61" s="103"/>
      <c r="S61" s="174" t="s">
        <v>660</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661</v>
      </c>
      <c r="D62" s="93" t="str">
        <f t="shared" si="44"/>
        <v xml:space="preserve">                  Communication</v>
      </c>
      <c r="E62" s="93" t="s">
        <v>35</v>
      </c>
      <c r="F62" s="93"/>
      <c r="G62" s="94"/>
      <c r="H62" s="93"/>
      <c r="I62" s="93"/>
      <c r="J62" s="169"/>
      <c r="K62" s="177">
        <f>12575250/N62</f>
        <v>11774.578651685393</v>
      </c>
      <c r="L62" s="103" t="s">
        <v>36</v>
      </c>
      <c r="M62" s="178" t="s">
        <v>699</v>
      </c>
      <c r="N62" s="103">
        <v>1068</v>
      </c>
      <c r="O62" s="103" t="s">
        <v>38</v>
      </c>
      <c r="P62" s="101"/>
      <c r="Q62" s="101">
        <v>2025</v>
      </c>
      <c r="R62" s="103" t="s">
        <v>153</v>
      </c>
      <c r="S62" s="130" t="s">
        <v>663</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664</v>
      </c>
      <c r="D63" s="93" t="str">
        <f t="shared" si="44"/>
        <v xml:space="preserve">                  Security Cameras</v>
      </c>
      <c r="E63" s="93" t="s">
        <v>35</v>
      </c>
      <c r="F63" s="93" t="s">
        <v>771</v>
      </c>
      <c r="G63" s="94">
        <v>1</v>
      </c>
      <c r="H63" s="93"/>
      <c r="I63" s="93"/>
      <c r="J63" s="179">
        <v>28431</v>
      </c>
      <c r="K63" s="99"/>
      <c r="L63" s="103"/>
      <c r="M63" s="100"/>
      <c r="N63" s="103"/>
      <c r="O63" s="103"/>
      <c r="P63" s="101"/>
      <c r="Q63" s="101">
        <v>2025</v>
      </c>
      <c r="R63" s="103" t="s">
        <v>153</v>
      </c>
      <c r="S63" s="130" t="s">
        <v>666</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667</v>
      </c>
      <c r="D64" s="93" t="str">
        <f t="shared" si="44"/>
        <v xml:space="preserve">                  Motion Detectors</v>
      </c>
      <c r="E64" s="93" t="s">
        <v>35</v>
      </c>
      <c r="F64" s="93" t="s">
        <v>772</v>
      </c>
      <c r="G64" s="94">
        <v>1</v>
      </c>
      <c r="H64" s="93"/>
      <c r="I64" s="93"/>
      <c r="J64" s="179">
        <v>24057</v>
      </c>
      <c r="K64" s="99"/>
      <c r="L64" s="103"/>
      <c r="M64" s="100"/>
      <c r="N64" s="103"/>
      <c r="O64" s="103"/>
      <c r="P64" s="101"/>
      <c r="Q64" s="101">
        <v>2025</v>
      </c>
      <c r="R64" s="103" t="s">
        <v>153</v>
      </c>
      <c r="S64" s="130" t="s">
        <v>666</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669</v>
      </c>
      <c r="D65" s="93" t="str">
        <f t="shared" si="44"/>
        <v xml:space="preserve">                  Guard Station</v>
      </c>
      <c r="E65" s="93" t="s">
        <v>35</v>
      </c>
      <c r="F65" s="93" t="s">
        <v>773</v>
      </c>
      <c r="G65" s="94">
        <v>1</v>
      </c>
      <c r="H65" s="93"/>
      <c r="I65" s="93"/>
      <c r="J65" s="180">
        <v>6774250</v>
      </c>
      <c r="K65" s="99"/>
      <c r="L65" s="103"/>
      <c r="M65" s="100"/>
      <c r="N65" s="103"/>
      <c r="O65" s="103"/>
      <c r="P65" s="101"/>
      <c r="Q65" s="101">
        <v>2025</v>
      </c>
      <c r="R65" s="103" t="s">
        <v>153</v>
      </c>
      <c r="S65" s="130" t="s">
        <v>666</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774</v>
      </c>
      <c r="D66" s="93" t="str">
        <f>REPT("   ", B66*2) &amp; C66</f>
        <v xml:space="preserve">                  Radiation Monitors</v>
      </c>
      <c r="E66" s="93" t="s">
        <v>35</v>
      </c>
      <c r="F66" s="93" t="s">
        <v>775</v>
      </c>
      <c r="G66" s="94">
        <v>1</v>
      </c>
      <c r="H66" s="93"/>
      <c r="I66" s="93"/>
      <c r="J66" s="169">
        <v>656100</v>
      </c>
      <c r="K66" s="99"/>
      <c r="L66" s="103"/>
      <c r="M66" s="100"/>
      <c r="N66" s="103"/>
      <c r="O66" s="103"/>
      <c r="P66" s="101"/>
      <c r="Q66" s="101">
        <v>2025</v>
      </c>
      <c r="R66" s="103" t="s">
        <v>153</v>
      </c>
      <c r="S66" s="130" t="s">
        <v>666</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370</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377</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378</v>
      </c>
      <c r="D69" s="93" t="str">
        <f t="shared" si="44"/>
        <v xml:space="preserve">      staff recruitment and training</v>
      </c>
      <c r="E69" s="93" t="s">
        <v>35</v>
      </c>
      <c r="F69" s="93" t="s">
        <v>606</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381</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382</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383</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384</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385</v>
      </c>
      <c r="D74" s="93" t="str">
        <f t="shared" si="44"/>
        <v xml:space="preserve">            Operators </v>
      </c>
      <c r="E74" s="93" t="s">
        <v>268</v>
      </c>
      <c r="F74" s="93"/>
      <c r="G74" s="94">
        <v>1</v>
      </c>
      <c r="H74" s="93"/>
      <c r="I74" s="93"/>
      <c r="J74" s="120"/>
      <c r="K74" s="99">
        <v>178500</v>
      </c>
      <c r="L74" s="103" t="s">
        <v>812</v>
      </c>
      <c r="M74" s="110" t="s">
        <v>813</v>
      </c>
      <c r="N74" s="103"/>
      <c r="O74" s="103"/>
      <c r="P74" s="101">
        <v>1</v>
      </c>
      <c r="Q74" s="101">
        <v>2024</v>
      </c>
      <c r="R74" s="103" t="s">
        <v>53</v>
      </c>
      <c r="S74" s="110"/>
      <c r="T74" s="110" t="s">
        <v>388</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389</v>
      </c>
      <c r="D75" s="93" t="str">
        <f t="shared" si="44"/>
        <v xml:space="preserve">            Remote Monitoring Technicians </v>
      </c>
      <c r="E75" s="93" t="s">
        <v>268</v>
      </c>
      <c r="F75" s="93" t="s">
        <v>392</v>
      </c>
      <c r="G75" s="94">
        <v>1</v>
      </c>
      <c r="H75" s="93"/>
      <c r="I75" s="93"/>
      <c r="J75" s="120"/>
      <c r="K75" s="60">
        <v>178500</v>
      </c>
      <c r="L75" s="49" t="s">
        <v>386</v>
      </c>
      <c r="M75" s="93" t="s">
        <v>747</v>
      </c>
      <c r="N75" s="103"/>
      <c r="O75" s="103"/>
      <c r="P75" s="49">
        <v>1</v>
      </c>
      <c r="Q75" s="65">
        <v>2024</v>
      </c>
      <c r="R75" s="49" t="s">
        <v>53</v>
      </c>
      <c r="S75" s="58"/>
      <c r="T75" s="58" t="s">
        <v>388</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393</v>
      </c>
      <c r="D76" s="93" t="str">
        <f t="shared" si="44"/>
        <v xml:space="preserve">            Security Staff </v>
      </c>
      <c r="E76" s="93" t="s">
        <v>268</v>
      </c>
      <c r="F76" s="93" t="s">
        <v>776</v>
      </c>
      <c r="G76" s="94">
        <v>1</v>
      </c>
      <c r="H76" s="93"/>
      <c r="I76" s="93"/>
      <c r="J76" s="120"/>
      <c r="K76" s="60">
        <v>178500</v>
      </c>
      <c r="L76" s="49" t="s">
        <v>386</v>
      </c>
      <c r="M76" s="58" t="s">
        <v>777</v>
      </c>
      <c r="N76" s="103"/>
      <c r="O76" s="103"/>
      <c r="P76" s="49">
        <v>1</v>
      </c>
      <c r="Q76" s="65">
        <v>2024</v>
      </c>
      <c r="R76" s="49" t="s">
        <v>53</v>
      </c>
      <c r="S76" s="58"/>
      <c r="T76" s="58" t="s">
        <v>388</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677</v>
      </c>
      <c r="D77" s="93" t="str">
        <f t="shared" si="44"/>
        <v xml:space="preserve">            Maintenance Staff</v>
      </c>
      <c r="E77" s="93" t="s">
        <v>268</v>
      </c>
      <c r="F77" s="93" t="s">
        <v>776</v>
      </c>
      <c r="G77" s="94">
        <v>1</v>
      </c>
      <c r="H77" s="93"/>
      <c r="I77" s="93"/>
      <c r="J77" s="120"/>
      <c r="K77" s="60">
        <v>178500</v>
      </c>
      <c r="L77" s="49" t="s">
        <v>386</v>
      </c>
      <c r="M77" s="58" t="s">
        <v>778</v>
      </c>
      <c r="N77" s="103"/>
      <c r="O77" s="103"/>
      <c r="P77" s="49">
        <v>1</v>
      </c>
      <c r="Q77" s="65">
        <v>2024</v>
      </c>
      <c r="R77" s="49" t="s">
        <v>53</v>
      </c>
      <c r="S77" s="58"/>
      <c r="T77" s="58" t="s">
        <v>388</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779</v>
      </c>
      <c r="D78" s="93" t="str">
        <f t="shared" si="44"/>
        <v xml:space="preserve">            Engineering Staff</v>
      </c>
      <c r="E78" s="93" t="s">
        <v>268</v>
      </c>
      <c r="F78" s="93"/>
      <c r="G78" s="94"/>
      <c r="H78" s="93"/>
      <c r="I78" s="93"/>
      <c r="J78" s="120"/>
      <c r="K78" s="60">
        <v>200000</v>
      </c>
      <c r="L78" s="49" t="s">
        <v>386</v>
      </c>
      <c r="M78" s="183" t="s">
        <v>780</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681</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682</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685</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781</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782</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688</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689</v>
      </c>
      <c r="D85" s="93" t="str">
        <f t="shared" si="44"/>
        <v xml:space="preserve">            Electricity</v>
      </c>
      <c r="E85" s="93" t="s">
        <v>268</v>
      </c>
      <c r="F85" s="93" t="s">
        <v>606</v>
      </c>
      <c r="G85" s="94">
        <v>1</v>
      </c>
      <c r="H85" s="93"/>
      <c r="I85" s="93"/>
      <c r="J85" s="120"/>
      <c r="K85" s="99">
        <v>90</v>
      </c>
      <c r="L85" s="103" t="s">
        <v>426</v>
      </c>
      <c r="M85" s="93" t="s">
        <v>783</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693</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784</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785</v>
      </c>
      <c r="D88" s="93" t="str">
        <f t="shared" si="44"/>
        <v xml:space="preserve">                        Used Fuel Cask</v>
      </c>
      <c r="E88" s="93" t="s">
        <v>35</v>
      </c>
      <c r="F88" s="93" t="s">
        <v>786</v>
      </c>
      <c r="G88" s="94">
        <v>1</v>
      </c>
      <c r="H88" s="93"/>
      <c r="I88" s="93"/>
      <c r="J88" s="120">
        <v>1159000</v>
      </c>
      <c r="K88" s="99"/>
      <c r="L88" s="103"/>
      <c r="M88" s="110"/>
      <c r="N88" s="103"/>
      <c r="O88" s="103"/>
      <c r="P88" s="101"/>
      <c r="Q88" s="101">
        <v>2023</v>
      </c>
      <c r="R88" s="103" t="s">
        <v>153</v>
      </c>
      <c r="S88" s="110" t="s">
        <v>787</v>
      </c>
      <c r="T88" s="111"/>
      <c r="U88" s="182"/>
      <c r="V88" s="103" t="s">
        <v>788</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789</v>
      </c>
      <c r="D89" s="93" t="str">
        <f t="shared" si="44"/>
        <v xml:space="preserve">                        Reactor Transport Cask</v>
      </c>
      <c r="E89" s="93" t="s">
        <v>35</v>
      </c>
      <c r="F89" s="93" t="s">
        <v>790</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791</v>
      </c>
      <c r="D90" s="93" t="str">
        <f t="shared" si="44"/>
        <v xml:space="preserve">                        Radwaste Storage Cask</v>
      </c>
      <c r="E90" s="93" t="s">
        <v>35</v>
      </c>
      <c r="F90" s="93" t="s">
        <v>792</v>
      </c>
      <c r="G90" s="94">
        <v>1</v>
      </c>
      <c r="H90" s="93"/>
      <c r="I90" s="93"/>
      <c r="J90" s="120">
        <v>1159000</v>
      </c>
      <c r="K90" s="99"/>
      <c r="L90" s="103"/>
      <c r="M90" s="110"/>
      <c r="N90" s="103"/>
      <c r="O90" s="103"/>
      <c r="P90" s="101"/>
      <c r="Q90" s="101">
        <v>2023</v>
      </c>
      <c r="R90" s="103" t="s">
        <v>153</v>
      </c>
      <c r="S90" s="110" t="s">
        <v>787</v>
      </c>
      <c r="T90" s="111"/>
      <c r="U90" s="182"/>
      <c r="V90" s="103" t="s">
        <v>788</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15" x14ac:dyDescent="0.2">
      <c r="A91" s="90">
        <v>747.24</v>
      </c>
      <c r="B91" s="92">
        <f>IF(ISNUMBER(A91),IF(AND(A91=INT(A91),MOD(A91,10)=0),0,IF(AND(A91=INT(A91),LEN(A91)=2),1,IF(AND(A91=INT(A91),LEN(A91)=3),2,LEN(A91)-FIND(".",A91)+2))),"")</f>
        <v>4</v>
      </c>
      <c r="C91" s="109" t="s">
        <v>816</v>
      </c>
      <c r="D91" s="93" t="str">
        <f>REPT("   ",B91*2)&amp;C91</f>
        <v xml:space="preserve">                        Used Fuel Storage Additional Overpacks</v>
      </c>
      <c r="E91" s="93" t="s">
        <v>35</v>
      </c>
      <c r="F91" s="93"/>
      <c r="G91" s="94"/>
      <c r="H91" s="93"/>
      <c r="I91" s="93"/>
      <c r="J91" s="120"/>
      <c r="K91" s="99">
        <v>200000</v>
      </c>
      <c r="L91" s="103" t="s">
        <v>814</v>
      </c>
      <c r="M91" s="110" t="s">
        <v>729</v>
      </c>
      <c r="N91" s="103">
        <v>1</v>
      </c>
      <c r="O91" s="103" t="s">
        <v>815</v>
      </c>
      <c r="P91" s="101">
        <v>1</v>
      </c>
      <c r="Q91" s="101">
        <v>2009</v>
      </c>
      <c r="R91" s="103" t="s">
        <v>153</v>
      </c>
      <c r="S91" s="110"/>
      <c r="T91" s="111"/>
      <c r="U91" s="182"/>
      <c r="V91" s="103"/>
      <c r="W91" s="96" t="s">
        <v>43</v>
      </c>
      <c r="X91" s="104">
        <v>0</v>
      </c>
      <c r="Y91" s="104">
        <v>0</v>
      </c>
      <c r="Z91" s="96" t="s">
        <v>44</v>
      </c>
      <c r="AA91" s="97">
        <f>0.8*K91</f>
        <v>160000</v>
      </c>
      <c r="AB91" s="97">
        <f>2*K91</f>
        <v>400000</v>
      </c>
      <c r="AC91" s="96" t="s">
        <v>44</v>
      </c>
      <c r="AD91" s="97">
        <v>0.1</v>
      </c>
      <c r="AE91" s="97">
        <v>1</v>
      </c>
      <c r="AF91" s="97">
        <v>0</v>
      </c>
      <c r="AG91" s="96" t="s">
        <v>48</v>
      </c>
    </row>
    <row r="92" spans="1:33" ht="57" x14ac:dyDescent="0.2">
      <c r="A92" s="90">
        <v>747.3</v>
      </c>
      <c r="B92" s="92">
        <f t="shared" si="43"/>
        <v>3</v>
      </c>
      <c r="C92" s="109" t="s">
        <v>694</v>
      </c>
      <c r="D92" s="93" t="str">
        <f t="shared" si="44"/>
        <v xml:space="preserve">                  Annualized Helium Replenishment</v>
      </c>
      <c r="E92" s="93" t="s">
        <v>35</v>
      </c>
      <c r="F92" s="189" t="s">
        <v>606</v>
      </c>
      <c r="G92" s="94">
        <v>1</v>
      </c>
      <c r="H92" s="93"/>
      <c r="I92" s="93"/>
      <c r="J92" s="120"/>
      <c r="K92" s="99">
        <v>170</v>
      </c>
      <c r="L92" s="103" t="s">
        <v>186</v>
      </c>
      <c r="M92" s="110" t="s">
        <v>793</v>
      </c>
      <c r="N92" s="103"/>
      <c r="O92" s="103" t="s">
        <v>188</v>
      </c>
      <c r="P92" s="101"/>
      <c r="Q92" s="101">
        <v>2024</v>
      </c>
      <c r="R92" s="103" t="s">
        <v>153</v>
      </c>
      <c r="S92" s="110" t="s">
        <v>305</v>
      </c>
      <c r="T92" s="111" t="s">
        <v>305</v>
      </c>
      <c r="U92" s="182" t="s">
        <v>306</v>
      </c>
      <c r="V92" s="103" t="s">
        <v>307</v>
      </c>
      <c r="W92" s="96" t="s">
        <v>43</v>
      </c>
      <c r="X92" s="104">
        <v>0</v>
      </c>
      <c r="Y92" s="104">
        <v>0</v>
      </c>
      <c r="Z92" s="96" t="s">
        <v>44</v>
      </c>
      <c r="AA92" s="97">
        <f>0.9*K91</f>
        <v>153</v>
      </c>
      <c r="AB92" s="97">
        <f>1.3*K91</f>
        <v>221</v>
      </c>
      <c r="AC92" s="96" t="s">
        <v>44</v>
      </c>
      <c r="AD92" s="97" t="s">
        <v>45</v>
      </c>
      <c r="AE92" s="97" t="s">
        <v>46</v>
      </c>
      <c r="AF92" s="97" t="s">
        <v>47</v>
      </c>
      <c r="AG92" s="96" t="s">
        <v>48</v>
      </c>
    </row>
    <row r="93" spans="1:33" ht="15" x14ac:dyDescent="0.2">
      <c r="A93" s="90">
        <v>747.4</v>
      </c>
      <c r="B93" s="92">
        <f t="shared" si="43"/>
        <v>3</v>
      </c>
      <c r="C93" s="109" t="s">
        <v>696</v>
      </c>
      <c r="D93" s="93" t="str">
        <f t="shared" si="44"/>
        <v xml:space="preserve">                  Annualized Other Supplies and Utilities</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15" x14ac:dyDescent="0.2">
      <c r="A94" s="90">
        <v>747.5</v>
      </c>
      <c r="B94" s="92">
        <f t="shared" si="43"/>
        <v>3</v>
      </c>
      <c r="C94" s="109" t="s">
        <v>794</v>
      </c>
      <c r="D94" s="93" t="str">
        <f t="shared" si="44"/>
        <v xml:space="preserve">                  Servicing Vehicle O&amp;M</v>
      </c>
      <c r="E94" s="93"/>
      <c r="F94" s="93"/>
      <c r="G94" s="94"/>
      <c r="H94" s="93"/>
      <c r="I94" s="93"/>
      <c r="J94" s="181"/>
      <c r="K94" s="99"/>
      <c r="L94" s="103"/>
      <c r="M94" s="110"/>
      <c r="N94" s="103"/>
      <c r="O94" s="103"/>
      <c r="P94" s="101"/>
      <c r="Q94" s="101"/>
      <c r="R94" s="103"/>
      <c r="S94" s="110"/>
      <c r="T94" s="111"/>
      <c r="U94" s="182"/>
      <c r="V94" s="103"/>
      <c r="W94" s="96"/>
      <c r="X94" s="104"/>
      <c r="Y94" s="104"/>
      <c r="Z94" s="96"/>
      <c r="AA94" s="97"/>
      <c r="AB94" s="97"/>
      <c r="AC94" s="96"/>
      <c r="AD94" s="97"/>
      <c r="AE94" s="97"/>
      <c r="AF94" s="97"/>
      <c r="AG94" s="96"/>
    </row>
    <row r="95" spans="1:33" ht="29" x14ac:dyDescent="0.2">
      <c r="A95" s="90">
        <v>747.51</v>
      </c>
      <c r="B95" s="92">
        <f t="shared" si="43"/>
        <v>4</v>
      </c>
      <c r="C95" s="168" t="s">
        <v>795</v>
      </c>
      <c r="D95" s="93" t="str">
        <f t="shared" si="44"/>
        <v xml:space="preserve">                        Reactor Transport Vehicles O&amp;M</v>
      </c>
      <c r="E95" s="93" t="s">
        <v>35</v>
      </c>
      <c r="F95" s="93" t="s">
        <v>760</v>
      </c>
      <c r="G95" s="94">
        <v>1</v>
      </c>
      <c r="H95" s="93"/>
      <c r="I95" s="93"/>
      <c r="J95" s="181">
        <f>36*200000+1000000</f>
        <v>8200000</v>
      </c>
      <c r="K95" s="99"/>
      <c r="L95" s="103"/>
      <c r="M95" s="110"/>
      <c r="N95" s="103"/>
      <c r="O95" s="103"/>
      <c r="P95" s="101"/>
      <c r="Q95" s="101">
        <v>2024</v>
      </c>
      <c r="R95" s="103" t="s">
        <v>73</v>
      </c>
      <c r="S95" s="110"/>
      <c r="T95" s="111"/>
      <c r="U95" s="182"/>
      <c r="V95" s="103"/>
      <c r="W95" s="96" t="s">
        <v>43</v>
      </c>
      <c r="X95" s="104">
        <f t="shared" ref="X95:X98" si="83">0.9*$J94</f>
        <v>7380000</v>
      </c>
      <c r="Y95" s="104">
        <f t="shared" ref="Y95:Y98" si="84">1.5*J94</f>
        <v>12300000</v>
      </c>
      <c r="Z95" s="96" t="s">
        <v>44</v>
      </c>
      <c r="AA95" s="97">
        <f t="shared" ref="AA95:AA98" si="85">0.9*K94</f>
        <v>0</v>
      </c>
      <c r="AB95" s="97">
        <f t="shared" ref="AB95:AB98" si="86">1.3*K94</f>
        <v>0</v>
      </c>
      <c r="AC95" s="96" t="s">
        <v>44</v>
      </c>
      <c r="AD95" s="97" t="s">
        <v>45</v>
      </c>
      <c r="AE95" s="97" t="s">
        <v>46</v>
      </c>
      <c r="AF95" s="97" t="s">
        <v>47</v>
      </c>
      <c r="AG95" s="96" t="s">
        <v>48</v>
      </c>
    </row>
    <row r="96" spans="1:33" ht="29" x14ac:dyDescent="0.2">
      <c r="A96" s="90">
        <v>747.52</v>
      </c>
      <c r="B96" s="92">
        <f t="shared" si="43"/>
        <v>4</v>
      </c>
      <c r="C96" s="168" t="s">
        <v>796</v>
      </c>
      <c r="D96" s="93" t="str">
        <f t="shared" si="44"/>
        <v xml:space="preserve">                        Helium Transport Trucks O&amp;M</v>
      </c>
      <c r="E96" s="93" t="s">
        <v>35</v>
      </c>
      <c r="F96" s="93" t="s">
        <v>762</v>
      </c>
      <c r="G96" s="94">
        <v>1</v>
      </c>
      <c r="H96" s="93"/>
      <c r="I96" s="93"/>
      <c r="J96" s="181">
        <f>4*200000+500000</f>
        <v>1300000</v>
      </c>
      <c r="K96" s="99"/>
      <c r="L96" s="103"/>
      <c r="M96" s="110"/>
      <c r="N96" s="103"/>
      <c r="O96" s="103"/>
      <c r="P96" s="101"/>
      <c r="Q96" s="101">
        <v>2024</v>
      </c>
      <c r="R96" s="103" t="s">
        <v>73</v>
      </c>
      <c r="S96" s="110"/>
      <c r="T96" s="111"/>
      <c r="U96" s="182"/>
      <c r="V96" s="103"/>
      <c r="W96" s="96" t="s">
        <v>43</v>
      </c>
      <c r="X96" s="104">
        <f t="shared" si="83"/>
        <v>1170000</v>
      </c>
      <c r="Y96" s="104">
        <f t="shared" si="84"/>
        <v>1950000</v>
      </c>
      <c r="Z96" s="96" t="s">
        <v>44</v>
      </c>
      <c r="AA96" s="97">
        <f t="shared" si="85"/>
        <v>0</v>
      </c>
      <c r="AB96" s="97">
        <f t="shared" si="86"/>
        <v>0</v>
      </c>
      <c r="AC96" s="96" t="s">
        <v>44</v>
      </c>
      <c r="AD96" s="97" t="s">
        <v>45</v>
      </c>
      <c r="AE96" s="97" t="s">
        <v>46</v>
      </c>
      <c r="AF96" s="97" t="s">
        <v>47</v>
      </c>
      <c r="AG96" s="96" t="s">
        <v>48</v>
      </c>
    </row>
    <row r="97" spans="1:33" ht="29" x14ac:dyDescent="0.2">
      <c r="A97" s="90">
        <v>747.53</v>
      </c>
      <c r="B97" s="92">
        <f t="shared" si="43"/>
        <v>4</v>
      </c>
      <c r="C97" s="168" t="s">
        <v>797</v>
      </c>
      <c r="D97" s="93" t="str">
        <f t="shared" si="44"/>
        <v xml:space="preserve">                        Water Tanker Trucks O&amp;M</v>
      </c>
      <c r="E97" s="93" t="s">
        <v>35</v>
      </c>
      <c r="F97" s="93" t="s">
        <v>764</v>
      </c>
      <c r="G97" s="94">
        <v>1</v>
      </c>
      <c r="H97" s="93"/>
      <c r="I97" s="93"/>
      <c r="J97" s="181">
        <f>4*200000+400000</f>
        <v>1200000</v>
      </c>
      <c r="K97" s="99"/>
      <c r="L97" s="103"/>
      <c r="M97" s="110"/>
      <c r="N97" s="103"/>
      <c r="O97" s="103"/>
      <c r="P97" s="101"/>
      <c r="Q97" s="101">
        <v>2024</v>
      </c>
      <c r="R97" s="103" t="s">
        <v>73</v>
      </c>
      <c r="S97" s="110"/>
      <c r="T97" s="111"/>
      <c r="U97" s="182"/>
      <c r="V97" s="103"/>
      <c r="W97" s="96" t="s">
        <v>43</v>
      </c>
      <c r="X97" s="104">
        <f t="shared" si="83"/>
        <v>1080000</v>
      </c>
      <c r="Y97" s="104">
        <f t="shared" si="84"/>
        <v>1800000</v>
      </c>
      <c r="Z97" s="96" t="s">
        <v>44</v>
      </c>
      <c r="AA97" s="97">
        <f t="shared" si="85"/>
        <v>0</v>
      </c>
      <c r="AB97" s="97">
        <f t="shared" si="86"/>
        <v>0</v>
      </c>
      <c r="AC97" s="96" t="s">
        <v>44</v>
      </c>
      <c r="AD97" s="97" t="s">
        <v>45</v>
      </c>
      <c r="AE97" s="97" t="s">
        <v>46</v>
      </c>
      <c r="AF97" s="97" t="s">
        <v>47</v>
      </c>
      <c r="AG97" s="96" t="s">
        <v>48</v>
      </c>
    </row>
    <row r="98" spans="1:33" ht="29" x14ac:dyDescent="0.2">
      <c r="A98" s="90">
        <v>747.54</v>
      </c>
      <c r="B98" s="92">
        <f t="shared" si="43"/>
        <v>4</v>
      </c>
      <c r="C98" s="168" t="s">
        <v>798</v>
      </c>
      <c r="D98" s="93" t="str">
        <f t="shared" si="44"/>
        <v xml:space="preserve">                        Maintenance Trucks O&amp;M</v>
      </c>
      <c r="E98" s="93" t="s">
        <v>35</v>
      </c>
      <c r="F98" s="93" t="s">
        <v>766</v>
      </c>
      <c r="G98" s="94">
        <v>1</v>
      </c>
      <c r="H98" s="93"/>
      <c r="I98" s="93"/>
      <c r="J98" s="181">
        <f>10*2*200000+1000000</f>
        <v>5000000</v>
      </c>
      <c r="K98" s="99"/>
      <c r="L98" s="103"/>
      <c r="M98" s="110"/>
      <c r="N98" s="103"/>
      <c r="O98" s="103"/>
      <c r="P98" s="101"/>
      <c r="Q98" s="101">
        <v>2024</v>
      </c>
      <c r="R98" s="103" t="s">
        <v>73</v>
      </c>
      <c r="S98" s="110"/>
      <c r="T98" s="111"/>
      <c r="U98" s="182"/>
      <c r="V98" s="103"/>
      <c r="W98" s="96" t="s">
        <v>43</v>
      </c>
      <c r="X98" s="104">
        <f t="shared" si="83"/>
        <v>4500000</v>
      </c>
      <c r="Y98" s="104">
        <f t="shared" si="84"/>
        <v>7500000</v>
      </c>
      <c r="Z98" s="96" t="s">
        <v>44</v>
      </c>
      <c r="AA98" s="97">
        <f t="shared" si="85"/>
        <v>0</v>
      </c>
      <c r="AB98" s="97">
        <f t="shared" si="86"/>
        <v>0</v>
      </c>
      <c r="AC98" s="96" t="s">
        <v>44</v>
      </c>
      <c r="AD98" s="97" t="s">
        <v>45</v>
      </c>
      <c r="AE98" s="97" t="s">
        <v>46</v>
      </c>
      <c r="AF98" s="97" t="s">
        <v>47</v>
      </c>
      <c r="AG98" s="96" t="s">
        <v>48</v>
      </c>
    </row>
    <row r="99" spans="1:33" ht="15" x14ac:dyDescent="0.2">
      <c r="A99" s="90">
        <v>75</v>
      </c>
      <c r="B99" s="92">
        <f t="shared" si="43"/>
        <v>1</v>
      </c>
      <c r="C99" s="109" t="s">
        <v>402</v>
      </c>
      <c r="D99" s="93" t="str">
        <f t="shared" si="44"/>
        <v xml:space="preserve">      Capital Plant Expenditures</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row r="100" spans="1:33" ht="15" x14ac:dyDescent="0.2">
      <c r="A100" s="90">
        <v>78</v>
      </c>
      <c r="B100" s="92">
        <f>#N/A</f>
        <v>1</v>
      </c>
      <c r="C100" s="109" t="s">
        <v>420</v>
      </c>
      <c r="D100" s="93" t="str">
        <f>#N/A</f>
        <v xml:space="preserve">      Annualized Decommissioning Cost</v>
      </c>
      <c r="E100" s="93"/>
      <c r="F100" s="93"/>
      <c r="G100" s="113"/>
      <c r="H100" s="114"/>
      <c r="I100" s="114"/>
      <c r="J100" s="192"/>
      <c r="K100" s="115"/>
      <c r="L100" s="116"/>
      <c r="M100" s="116"/>
      <c r="N100" s="116"/>
      <c r="O100" s="116"/>
      <c r="P100" s="115"/>
      <c r="Q100" s="116"/>
      <c r="R100" s="116"/>
      <c r="S100" s="116"/>
      <c r="T100" s="116"/>
      <c r="U100" s="116"/>
      <c r="V100" s="116"/>
      <c r="W100" s="116"/>
      <c r="X100" s="115"/>
      <c r="Y100" s="115"/>
      <c r="Z100" s="116"/>
      <c r="AA100" s="115"/>
      <c r="AB100" s="115"/>
      <c r="AC100" s="116"/>
      <c r="AD100" s="115"/>
      <c r="AE100" s="115"/>
      <c r="AF100" s="115"/>
      <c r="AG100"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100">
    <cfRule type="expression" dxfId="39" priority="12">
      <formula>$B2=0</formula>
    </cfRule>
  </conditionalFormatting>
  <conditionalFormatting sqref="C94:C98">
    <cfRule type="expression" dxfId="38" priority="7">
      <formula>$B94=0</formula>
    </cfRule>
  </conditionalFormatting>
  <conditionalFormatting sqref="F94:F98">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8">
    <cfRule type="expression" dxfId="3" priority="1">
      <formula>$B94=0</formula>
    </cfRule>
  </conditionalFormatting>
  <conditionalFormatting sqref="X2:Z100">
    <cfRule type="expression" dxfId="2" priority="51">
      <formula>AND(ISBLANK($X2),ISBLANK($Y2),ISBLANK($Z2),NOT(ISBLANK($E2)))</formula>
    </cfRule>
  </conditionalFormatting>
  <conditionalFormatting sqref="AA2:AC100">
    <cfRule type="expression" dxfId="1" priority="50">
      <formula>AND(ISBLANK($AA2),ISBLANK($AB2),ISBLANK($AC2),NOT(ISBLANK($E2)))</formula>
    </cfRule>
  </conditionalFormatting>
  <conditionalFormatting sqref="AD2:AG100">
    <cfRule type="expression" dxfId="0" priority="49">
      <formula>AND(ISBLANK($AD2),ISBLANK($AE2),ISBLANK($AF2),NOT(ISBLANK($E2)))</formula>
    </cfRule>
  </conditionalFormatting>
  <dataValidations count="11">
    <dataValidation type="list" allowBlank="1" showInputMessage="1" showErrorMessage="1" sqref="E2:E100" xr:uid="{00000000-0002-0000-0600-000000000000}">
      <formula1>"standard, nonstandard"</formula1>
    </dataValidation>
    <dataValidation type="list" allowBlank="1" showInputMessage="1" showErrorMessage="1" sqref="O2:O100"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3"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2"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display="https://doi.org/10.3929/ethz-b-000709311"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2026-09-22T03:21:38Z</dcterms:created>
  <dcterms:modified xsi:type="dcterms:W3CDTF">2026-09-22T03:47:58Z</dcterms:modified>
</cp:coreProperties>
</file>