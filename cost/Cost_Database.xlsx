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Database'!$A$1:$AB$192</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<sst xmlns="http://schemas.openxmlformats.org/spreadsheetml/2006/main" count="4625" uniqueCount="726">
  <si>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</si>
  <si>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</si>
  <si>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</si>
  <si>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</si>
  <si>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</si>
  <si>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</si>
  <si>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</si>
  <si>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</si>
  <si>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</si>
  <si>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</si>
  <si>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</si>
  <si>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</si>
  <si>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</si>
  <si>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</si>
  <si>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</si>
  <si>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</si>
  <si>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</si>
  <si>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</si>
  <si>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</si>
  <si>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</si>
  <si>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</si>
  <si>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</si>
  <si>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</si>
  <si>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</si>
  <si>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</si>
  <si>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</si>
  <si>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</si>
  <si>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</si>
  <si>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</si>
  <si>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</si>
  <si>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</si>
  <si>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</si>
  <si>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</si>
  <si>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</si>
  <si>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</si>
  <si>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</si>
  <si>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</si>
  <si>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</si>
  <si>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</si>
  <si>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</si>
  <si>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</si>
  <si>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</si>
  <si>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</si>
  <si>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</si>
  <si>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</si>
  <si>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</si>
  <si>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</si>
  <si>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</si>
  <si>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</si>
  <si>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</si>
  <si>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</si>
  <si>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</si>
  <si>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</si>
  <si>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</si>
  <si>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</si>
  <si>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</si>
  <si>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</si>
  <si>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</si>
  <si>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</si>
  <si>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</si>
  <si>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</si>
  <si>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</si>
  <si>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</si>
  <si>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</si>
  <si>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</si>
  <si>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</si>
  <si>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</si>
  <si>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</si>
  <si>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</si>
  <si>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</si>
  <si>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</si>
  <si>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</si>
  <si>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</si>
  <si>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</si>
  <si>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</si>
  <si>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</si>
  <si>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</si>
  <si>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</si>
  <si>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</si>
  <si>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</si>
  <si>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</si>
  <si>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</si>
  <si>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</si>
  <si>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</si>
  <si>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</si>
  <si>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</si>
  <si>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</si>
  <si>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</si>
  <si>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</si>
  <si>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</si>
  <si>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</si>
  <si>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</si>
  <si>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</si>
  <si>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</si>
  <si>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</si>
  <si>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</si>
  <si>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</si>
  <si>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</si>
  <si>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</si>
  <si>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</si>
  <si>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</si>
  <si>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</si>
  <si>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</si>
  <si>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</si>
  <si>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</si>
  <si>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</si>
  <si>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</si>
  <si>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</si>
  <si>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</si>
  <si>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</si>
  <si>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</si>
  <si>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</si>
  <si>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</si>
  <si>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</si>
  <si>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</si>
  <si>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</si>
  <si>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</si>
  <si>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</si>
  <si>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</si>
  <si>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</si>
  <si>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</si>
  <si>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</si>
  <si>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</si>
  <si>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</si>
  <si>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</si>
  <si>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</si>
  <si>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</si>
  <si>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</si>
  <si>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</si>
  <si>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</si>
  <si>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</si>
  <si>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</si>
  <si>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</si>
  <si>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</si>
  <si>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</si>
  <si>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</si>
  <si>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</si>
  <si>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</si>
  <si>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</si>
  <si>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</si>
  <si>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</si>
  <si>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</si>
  <si>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</si>
  <si>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</si>
  <si>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</si>
  <si>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</si>
  <si>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</si>
  <si>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</si>
  <si>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</si>
  <si>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</si>
  <si>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</si>
  <si>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</si>
  <si>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</si>
  <si>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</si>
  <si>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</si>
  <si>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</si>
  <si>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</si>
  <si>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</si>
  <si>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</si>
  <si>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</si>
  <si>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</si>
  <si>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</si>
  <si>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</si>
  <si>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</si>
  <si>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</si>
  <si>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</si>
  <si>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</si>
  <si>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</si>
  <si>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</si>
  <si>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</si>
  <si>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</si>
  <si>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</si>
  <si>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</si>
  <si>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</si>
  <si>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</si>
  <si>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</si>
  <si>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</si>
  <si>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</si>
  <si>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</si>
  <si>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</si>
  <si>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</si>
  <si>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</si>
  <si>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</si>
  <si>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</si>
  <si>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</si>
  <si>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</si>
  <si>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</si>
  <si>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</si>
  <si>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</si>
  <si>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</si>
  <si>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</si>
  <si>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</si>
  <si>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</si>
  <si>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</si>
  <si>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</si>
  <si>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</si>
  <si>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</si>
  <si>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</si>
  <si>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</si>
  <si>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</si>
  <si>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</si>
  <si>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</si>
  <si>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</si>
  <si>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</si>
  <si>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</si>
  <si>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</si>
  <si>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</si>
  <si>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</si>
  <si>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</si>
  <si>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</si>
  <si>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</si>
  <si>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</si>
  <si>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</si>
  <si>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</si>
  <si>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</si>
  <si>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</si>
  <si>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</si>
  <si>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</si>
  <si>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</si>
  <si>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</si>
  <si>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</si>
  <si>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</si>
  <si>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</si>
  <si>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</si>
  <si>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</si>
  <si>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</si>
  <si>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</si>
  <si>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</si>
  <si>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</si>
  <si>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</si>
  <si>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</si>
  <si>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</si>
  <si>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</si>
  <si>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</si>
  <si>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</si>
  <si>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</si>
  <si>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</si>
  <si>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</si>
  <si>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</si>
  <si>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</si>
  <si>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</si>
  <si>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</si>
  <si>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</si>
  <si>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</si>
  <si>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</si>
  <si>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</si>
  <si>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</si>
  <si>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</si>
  <si>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</si>
  <si>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</si>
  <si>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</si>
  <si>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</si>
  <si>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</si>
  <si>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</si>
  <si>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</si>
  <si>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</si>
  <si>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</si>
  <si>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</si>
  <si>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</si>
  <si>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</si>
  <si>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</si>
  <si>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</si>
  <si>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</si>
  <si>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</si>
  <si>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</si>
  <si>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</si>
  <si>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</si>
  <si>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</si>
  <si>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</si>
  <si>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</si>
  <si>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</si>
  <si>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</si>
  <si>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</si>
  <si>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</si>
  <si>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</si>
  <si>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</si>
  <si>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</si>
  <si>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</si>
  <si>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</si>
  <si>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</si>
  <si>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</si>
  <si>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</si>
  <si>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</si>
  <si>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</si>
  <si>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</si>
  <si>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</si>
  <si>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</si>
  <si>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</si>
  <si>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</si>
  <si>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</si>
  <si>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</si>
  <si>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</si>
  <si>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</si>
  <si>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</si>
  <si>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</si>
  <si>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</si>
  <si>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</si>
  <si>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</si>
  <si>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</si>
  <si>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</si>
  <si>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</si>
  <si>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</si>
  <si>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</si>
  <si>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</si>
  <si>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</si>
  <si>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</si>
  <si>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</si>
  <si>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</si>
  <si>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</si>
  <si>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</si>
  <si>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</si>
  <si>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</si>
  <si>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</si>
  <si>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</si>
  <si>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</si>
  <si>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</si>
  <si>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</si>
  <si>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</si>
  <si>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</si>
  <si>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</si>
  <si>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</si>
  <si>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</si>
  <si>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</si>
  <si>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</si>
  <si>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</si>
  <si>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</si>
  <si>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</si>
  <si>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</si>
  <si>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</si>
  <si>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</si>
  <si>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</si>
  <si>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</si>
  <si>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</si>
  <si>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</si>
  <si>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</si>
  <si>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</si>
  <si>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</si>
  <si>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</si>
  <si>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</si>
  <si>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</si>
  <si>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</si>
  <si>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</si>
  <si>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</si>
  <si>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</si>
  <si>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</si>
  <si>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</si>
  <si>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</si>
  <si>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</si>
  <si>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</si>
  <si>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</si>
  <si>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</si>
  <si>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</si>
  <si>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</si>
  <si>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</si>
  <si>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</si>
  <si>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</si>
  <si>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</si>
  <si>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</si>
  <si>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</si>
  <si>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</si>
  <si>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</si>
  <si>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</si>
  <si>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</si>
  <si>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</si>
  <si>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</si>
  <si>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</si>
  <si>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</si>
  <si>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</si>
  <si>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</si>
  <si>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</si>
  <si>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</si>
  <si>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</si>
  <si>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</si>
  <si>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</si>
  <si>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</si>
  <si>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</si>
  <si>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</si>
  <si>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</si>
  <si>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</si>
  <si>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</si>
  <si>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</si>
  <si>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</si>
  <si>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</si>
  <si>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</si>
  <si>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</si>
  <si>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</si>
  <si>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</si>
  <si>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</si>
  <si>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</si>
  <si>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</si>
  <si>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</si>
  <si>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</si>
  <si>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</si>
  <si>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</si>
  <si>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</si>
  <si>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</si>
  <si>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</si>
  <si>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</si>
  <si>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</si>
  <si>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</si>
  <si>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</si>
  <si>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</si>
  <si>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</si>
  <si>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</si>
  <si>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</si>
  <si>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Main Heat Transport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</si>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</sst>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8" Type="http://schemas.openxmlformats.org/officeDocument/2006/relationships/styles" Target="styles.xml" /><ns0:Relationship Id="rId3" Type="http://schemas.openxmlformats.org/officeDocument/2006/relationships/worksheet" Target="worksheets/sheet3.xml" /><ns0:Relationship Id="rId7"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6" Type="http://schemas.openxmlformats.org/officeDocument/2006/relationships/worksheet" Target="worksheets/sheet6.xml" /><ns0:Relationship Id="rId5" Type="http://schemas.openxmlformats.org/officeDocument/2006/relationships/worksheet" Target="worksheets/sheet5.xml" /><ns0:Relationship Id="rId10" Type="http://schemas.microsoft.com/office/2017/10/relationships/person" Target="persons/person.xml" /><ns0:Relationship Id="rId4" Type="http://schemas.openxmlformats.org/officeDocument/2006/relationships/worksheet" Target="worksheets/sheet4.xml" /><ns0:Relationship Id="rId9" Type="http://schemas.openxmlformats.org/officeDocument/2006/relationships/sharedStrings" Target="sharedStrings.xml" /></ns0: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92"/>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9"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29" customHeight="1" x14ac:dyDescent="0.2">
      <c r="A173" s="37">
        <v>751</v>
      </c>
      <c r="B173" s="38">
        <f t="shared" si="44"/>
        <v>2</v>
      </c>
      <c r="C173" s="56" t="s">
        <v>400</v>
      </c>
      <c r="D173" s="39" t="str">
        <f t="shared" si="43"/>
        <v xml:space="preserve">            Annualized Outer Vessel Structure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29" customHeight="1" x14ac:dyDescent="0.2">
      <c r="A174" s="37">
        <v>752</v>
      </c>
      <c r="B174" s="38">
        <f t="shared" si="44"/>
        <v>2</v>
      </c>
      <c r="C174" s="56" t="s">
        <v>401</v>
      </c>
      <c r="D174" s="39" t="str">
        <f t="shared" si="43"/>
        <v xml:space="preserve">            Annualized Inner Vessel Structure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Reactor Control Devices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9" customHeight="1" x14ac:dyDescent="0.2">
      <c r="A178" s="37">
        <v>757</v>
      </c>
      <c r="B178" s="38">
        <f t="shared" si="44"/>
        <v>2</v>
      </c>
      <c r="C178" s="56" t="s">
        <v>716</v>
      </c>
      <c r="D178" s="39" t="str">
        <f t="shared" si="43"/>
        <v xml:space="preserve">            Annualized Moderator Booster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717</v>
      </c>
      <c r="D179" s="39" t="str">
        <f t="shared" si="43"/>
        <v xml:space="preserve">            Annualized Plant Maintenance (Misc.)</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42" customHeight="1" x14ac:dyDescent="0.2">
      <c r="A180" s="37">
        <v>759.1</v>
      </c>
      <c r="B180" s="38">
        <f>IF(ISNUMBER(A180),IF(AND(A180=INT(A180),MOD(A180,10)=0),0,IF(AND(A180=INT(A180),LEN(A180)=2),1,IF(AND(A180=INT(A180),LEN(A180)=3),2,LEN(A180)-FIND(".",A180)+2))),"")</f>
        <v>3</v>
      </c>
      <c r="C180" s="56" t="s">
        <v>718</v>
      </c>
      <c r="D180" s="39" t="str">
        <f>REPT("   ",B180*2)&amp;C180</f>
        <v>                  Annualized Building and Structural Maintenance (Accounts 212–215)</v>
      </c>
      <c r="E180" s="39"/>
      <c r="F180" s="39"/>
      <c r="G180" s="39"/>
      <c r="H180" s="39"/>
      <c r="I180" s="39"/>
      <c r="J180" s="43"/>
      <c r="K180" s="61"/>
      <c r="L180" s="49"/>
      <c r="M180" s="59"/>
      <c r="N180" s="49"/>
      <c r="O180" s="49"/>
      <c r="P180" s="49"/>
      <c r="Q180" s="66"/>
      <c r="R180" s="49"/>
      <c r="S180" s="143"/>
      <c r="T180" s="143"/>
      <c r="U180" s="49"/>
      <c r="V180" s="143"/>
      <c r="W180" s="77"/>
      <c r="X180" s="80"/>
      <c r="Y180" s="80"/>
      <c r="Z180" s="77"/>
      <c r="AA180" s="79"/>
      <c r="AB180" s="79"/>
      <c r="AC180" s="77"/>
      <c r="AD180" s="79"/>
      <c r="AE180" s="79"/>
      <c r="AF180" s="79"/>
      <c r="AG180" s="77"/>
    </row>
    <row r="181" spans="1:33" ht="42" customHeight="1" x14ac:dyDescent="0.2">
      <c r="A181" s="37">
        <v>759.2</v>
      </c>
      <c r="B181" s="38">
        <f>IF(ISNUMBER(A181),IF(AND(A181=INT(A181),MOD(A181,10)=0),0,IF(AND(A181=INT(A181),LEN(A181)=2),1,IF(AND(A181=INT(A181),LEN(A181)=3),2,LEN(A181)-FIND(".",A181)+2))),"")</f>
        <v>3</v>
      </c>
      <c r="C181" s="56" t="s">
        <v>719</v>
      </c>
      <c r="D181" s="39" t="str">
        <f>REPT("   ",B181*2)&amp;C181</f>
        <v>                  Annualized Main Heat Transport System Maintenance (Accounts 222.1–222.3 and 222.6)</v>
      </c>
      <c r="E181" s="39"/>
      <c r="F181" s="39"/>
      <c r="G181" s="39"/>
      <c r="H181" s="39"/>
      <c r="I181" s="39"/>
      <c r="J181" s="43"/>
      <c r="K181" s="61"/>
      <c r="L181" s="49"/>
      <c r="M181" s="59"/>
      <c r="N181" s="49"/>
      <c r="O181" s="49"/>
      <c r="P181" s="49"/>
      <c r="Q181" s="66"/>
      <c r="R181" s="49"/>
      <c r="S181" s="143"/>
      <c r="T181" s="143"/>
      <c r="U181" s="49"/>
      <c r="V181" s="143"/>
      <c r="W181" s="77"/>
      <c r="X181" s="80"/>
      <c r="Y181" s="80"/>
      <c r="Z181" s="77"/>
      <c r="AA181" s="79"/>
      <c r="AB181" s="79"/>
      <c r="AC181" s="77"/>
      <c r="AD181" s="79"/>
      <c r="AE181" s="79"/>
      <c r="AF181" s="79"/>
      <c r="AG181" s="77"/>
    </row>
    <row r="182" spans="1:33" ht="42" customHeight="1" x14ac:dyDescent="0.2">
      <c r="A182" s="37">
        <v>759.3</v>
      </c>
      <c r="B182" s="38">
        <f>IF(ISNUMBER(A182),IF(AND(A182=INT(A182),MOD(A182,10)=0),0,IF(AND(A182=INT(A182),LEN(A182)=2),1,IF(AND(A182=INT(A182),LEN(A182)=3),2,LEN(A182)-FIND(".",A182)+2))),"")</f>
        <v>3</v>
      </c>
      <c r="C182" s="56" t="s">
        <v>720</v>
      </c>
      <c r="D182" s="39" t="str">
        <f>REPT("   ",B182*2)&amp;C182</f>
        <v>                  Annualized Safety System Maintenance (Account 223)</v>
      </c>
      <c r="E182" s="39"/>
      <c r="F182" s="39"/>
      <c r="G182" s="39"/>
      <c r="H182" s="39"/>
      <c r="I182" s="39"/>
      <c r="J182" s="43"/>
      <c r="K182" s="61"/>
      <c r="L182" s="49"/>
      <c r="M182" s="59"/>
      <c r="N182" s="49"/>
      <c r="O182" s="49"/>
      <c r="P182" s="49"/>
      <c r="Q182" s="66"/>
      <c r="R182" s="49"/>
      <c r="S182" s="143"/>
      <c r="T182" s="143"/>
      <c r="U182" s="49"/>
      <c r="V182" s="143"/>
      <c r="W182" s="77"/>
      <c r="X182" s="80"/>
      <c r="Y182" s="80"/>
      <c r="Z182" s="77"/>
      <c r="AA182" s="79"/>
      <c r="AB182" s="79"/>
      <c r="AC182" s="77"/>
      <c r="AD182" s="79"/>
      <c r="AE182" s="79"/>
      <c r="AF182" s="79"/>
      <c r="AG182" s="77"/>
    </row>
    <row r="183" spans="1:33" ht="42" customHeight="1" x14ac:dyDescent="0.2">
      <c r="A183" s="37">
        <v>759.4</v>
      </c>
      <c r="B183" s="38">
        <f>IF(ISNUMBER(A183),IF(AND(A183=INT(A183),MOD(A183,10)=0),0,IF(AND(A183=INT(A183),LEN(A183)=2),1,IF(AND(A183=INT(A183),LEN(A183)=3),2,LEN(A183)-FIND(".",A183)+2))),"")</f>
        <v>3</v>
      </c>
      <c r="C183" s="56" t="s">
        <v>721</v>
      </c>
      <c r="D183" s="39" t="str">
        <f>REPT("   ",B183*2)&amp;C183</f>
        <v>                  Annualized Reactor Plant Equipment Maintenance (Accounts 221.11, 226, and 228)</v>
      </c>
      <c r="E183" s="39"/>
      <c r="F183" s="39"/>
      <c r="G183" s="39"/>
      <c r="H183" s="39"/>
      <c r="I183" s="39"/>
      <c r="J183" s="43"/>
      <c r="K183" s="61"/>
      <c r="L183" s="49"/>
      <c r="M183" s="59"/>
      <c r="N183" s="49"/>
      <c r="O183" s="49"/>
      <c r="P183" s="49"/>
      <c r="Q183" s="66"/>
      <c r="R183" s="49"/>
      <c r="S183" s="143"/>
      <c r="T183" s="143"/>
      <c r="U183" s="49"/>
      <c r="V183" s="143"/>
      <c r="W183" s="77"/>
      <c r="X183" s="80"/>
      <c r="Y183" s="80"/>
      <c r="Z183" s="77"/>
      <c r="AA183" s="79"/>
      <c r="AB183" s="79"/>
      <c r="AC183" s="77"/>
      <c r="AD183" s="79"/>
      <c r="AE183" s="79"/>
      <c r="AF183" s="79"/>
      <c r="AG183" s="77"/>
    </row>
    <row r="184" spans="1:33" ht="42" customHeight="1" x14ac:dyDescent="0.2">
      <c r="A184" s="37">
        <v>759.5</v>
      </c>
      <c r="B184" s="38">
        <f>IF(ISNUMBER(A184),IF(AND(A184=INT(A184),MOD(A184,10)=0),0,IF(AND(A184=INT(A184),LEN(A184)=2),1,IF(AND(A184=INT(A184),LEN(A184)=3),2,LEN(A184)-FIND(".",A184)+2))),"")</f>
        <v>3</v>
      </c>
      <c r="C184" s="56" t="s">
        <v>722</v>
      </c>
      <c r="D184" s="39" t="str">
        <f>REPT("   ",B184*2)&amp;C184</f>
        <v>                  Annualized Reactor I&amp;C Maintenance (Account 227)</v>
      </c>
      <c r="E184" s="39"/>
      <c r="F184" s="39"/>
      <c r="G184" s="39"/>
      <c r="H184" s="39"/>
      <c r="I184" s="39"/>
      <c r="J184" s="43"/>
      <c r="K184" s="61"/>
      <c r="L184" s="49"/>
      <c r="M184" s="59"/>
      <c r="N184" s="49"/>
      <c r="O184" s="49"/>
      <c r="P184" s="49"/>
      <c r="Q184" s="66"/>
      <c r="R184" s="49"/>
      <c r="S184" s="143"/>
      <c r="T184" s="143"/>
      <c r="U184" s="49"/>
      <c r="V184" s="143"/>
      <c r="W184" s="77"/>
      <c r="X184" s="80"/>
      <c r="Y184" s="80"/>
      <c r="Z184" s="77"/>
      <c r="AA184" s="79"/>
      <c r="AB184" s="79"/>
      <c r="AC184" s="77"/>
      <c r="AD184" s="79"/>
      <c r="AE184" s="79"/>
      <c r="AF184" s="79"/>
      <c r="AG184" s="77"/>
    </row>
    <row r="185" spans="1:33" ht="42" customHeight="1" x14ac:dyDescent="0.2">
      <c r="A185" s="37">
        <v>759.6</v>
      </c>
      <c r="B185" s="38">
        <f>IF(ISNUMBER(A185),IF(AND(A185=INT(A185),MOD(A185,10)=0),0,IF(AND(A185=INT(A185),LEN(A185)=2),1,IF(AND(A185=INT(A185),LEN(A185)=3),2,LEN(A185)-FIND(".",A185)+2))),"")</f>
        <v>3</v>
      </c>
      <c r="C185" s="56" t="s">
        <v>723</v>
      </c>
      <c r="D185" s="39" t="str">
        <f>REPT("   ",B185*2)&amp;C185</f>
        <v>                  Annualized Energy Conversion System Maintenance (Account 23)</v>
      </c>
      <c r="E185" s="39"/>
      <c r="F185" s="39"/>
      <c r="G185" s="39"/>
      <c r="H185" s="39"/>
      <c r="I185" s="39"/>
      <c r="J185" s="43"/>
      <c r="K185" s="61"/>
      <c r="L185" s="49"/>
      <c r="M185" s="59"/>
      <c r="N185" s="49"/>
      <c r="O185" s="49"/>
      <c r="P185" s="49"/>
      <c r="Q185" s="66"/>
      <c r="R185" s="49"/>
      <c r="S185" s="143"/>
      <c r="T185" s="143"/>
      <c r="U185" s="49"/>
      <c r="V185" s="143"/>
      <c r="W185" s="77"/>
      <c r="X185" s="80"/>
      <c r="Y185" s="80"/>
      <c r="Z185" s="77"/>
      <c r="AA185" s="79"/>
      <c r="AB185" s="79"/>
      <c r="AC185" s="77"/>
      <c r="AD185" s="79"/>
      <c r="AE185" s="79"/>
      <c r="AF185" s="79"/>
      <c r="AG185" s="77"/>
    </row>
    <row r="186" spans="1:33" ht="42" customHeight="1" x14ac:dyDescent="0.2">
      <c r="A186" s="37">
        <v>759.7</v>
      </c>
      <c r="B186" s="38">
        <f>IF(ISNUMBER(A186),IF(AND(A186=INT(A186),MOD(A186,10)=0),0,IF(AND(A186=INT(A186),LEN(A186)=2),1,IF(AND(A186=INT(A186),LEN(A186)=3),2,LEN(A186)-FIND(".",A186)+2))),"")</f>
        <v>3</v>
      </c>
      <c r="C186" s="56" t="s">
        <v>724</v>
      </c>
      <c r="D186" s="39" t="str">
        <f>REPT("   ",B186*2)&amp;C186</f>
        <v>                  Annualized Electrical Equipment Maintenance (Account 24)</v>
      </c>
      <c r="E186" s="39"/>
      <c r="F186" s="39"/>
      <c r="G186" s="39"/>
      <c r="H186" s="39"/>
      <c r="I186" s="39"/>
      <c r="J186" s="43"/>
      <c r="K186" s="61"/>
      <c r="L186" s="49"/>
      <c r="M186" s="59"/>
      <c r="N186" s="49"/>
      <c r="O186" s="49"/>
      <c r="P186" s="49"/>
      <c r="Q186" s="66"/>
      <c r="R186" s="49"/>
      <c r="S186" s="143"/>
      <c r="T186" s="143"/>
      <c r="U186" s="49"/>
      <c r="V186" s="143"/>
      <c r="W186" s="77"/>
      <c r="X186" s="80"/>
      <c r="Y186" s="80"/>
      <c r="Z186" s="77"/>
      <c r="AA186" s="79"/>
      <c r="AB186" s="79"/>
      <c r="AC186" s="77"/>
      <c r="AD186" s="79"/>
      <c r="AE186" s="79"/>
      <c r="AF186" s="79"/>
      <c r="AG186" s="77"/>
    </row>
    <row r="187" spans="1:33" ht="42" customHeight="1" x14ac:dyDescent="0.2">
      <c r="A187" s="37">
        <v>759.8</v>
      </c>
      <c r="B187" s="38">
        <f>IF(ISNUMBER(A187),IF(AND(A187=INT(A187),MOD(A187,10)=0),0,IF(AND(A187=INT(A187),LEN(A187)=2),1,IF(AND(A187=INT(A187),LEN(A187)=3),2,LEN(A187)-FIND(".",A187)+2))),"")</f>
        <v>3</v>
      </c>
      <c r="C187" s="56" t="s">
        <v>725</v>
      </c>
      <c r="D187" s="39" t="str">
        <f>REPT("   ",B187*2)&amp;C187</f>
        <v>                  Annualized Miscellaneous Equipment Maintenance (Account 26)</v>
      </c>
      <c r="E187" s="39"/>
      <c r="F187" s="39"/>
      <c r="G187" s="39"/>
      <c r="H187" s="39"/>
      <c r="I187" s="39"/>
      <c r="J187" s="43"/>
      <c r="K187" s="61"/>
      <c r="L187" s="49"/>
      <c r="M187" s="59"/>
      <c r="N187" s="49"/>
      <c r="O187" s="49"/>
      <c r="P187" s="49"/>
      <c r="Q187" s="66"/>
      <c r="R187" s="49"/>
      <c r="S187" s="143"/>
      <c r="T187" s="143"/>
      <c r="U187" s="49"/>
      <c r="V187" s="143"/>
      <c r="W187" s="77"/>
      <c r="X187" s="80"/>
      <c r="Y187" s="80"/>
      <c r="Z187" s="77"/>
      <c r="AA187" s="79"/>
      <c r="AB187" s="79"/>
      <c r="AC187" s="77"/>
      <c r="AD187" s="79"/>
      <c r="AE187" s="79"/>
      <c r="AF187" s="79"/>
      <c r="AG187" s="77"/>
    </row>
    <row r="188" spans="1:33" ht="30" customHeight="1" x14ac:dyDescent="0.2">
      <c r="A188" s="37">
        <v>78</v>
      </c>
      <c r="B188" s="38">
        <f>IF(ISNUMBER(A188),
    IF(AND(A188=INT(A188), MOD(A188, 10) = 0), 0,
        IF(AND(A188=INT(A188), LEN(A188)=2), 1,
            IF(AND(A188=INT(A188), LEN(A188)=3), 2,
                LEN(A188) - FIND(".", A188) + 2)
        )
    ),
"")</f>
        <v>1</v>
      </c>
      <c r="C188" s="56" t="s">
        <v>407</v>
      </c>
      <c r="D188" s="39" t="str">
        <f t="shared" si="43"/>
        <v xml:space="preserve">      Annualized Decommissioning Cost</v>
      </c>
      <c r="E188" s="39"/>
      <c r="F188" s="39"/>
      <c r="G188" s="39"/>
      <c r="H188" s="39"/>
      <c r="I188" s="39"/>
      <c r="J188" s="43"/>
      <c r="K188" s="72"/>
      <c r="L188" s="49"/>
      <c r="M188" s="45"/>
      <c r="N188" s="49"/>
      <c r="O188" s="49"/>
      <c r="P188" s="49"/>
      <c r="Q188" s="66"/>
      <c r="R188" s="73"/>
      <c r="S188" s="59"/>
      <c r="T188" s="59"/>
      <c r="U188" s="49"/>
      <c r="V188" s="59" t="s">
        <v>408</v>
      </c>
      <c r="W188" s="77"/>
      <c r="X188" s="80"/>
      <c r="Y188" s="80"/>
      <c r="Z188" s="77"/>
      <c r="AA188" s="79"/>
      <c r="AB188" s="79"/>
      <c r="AC188" s="77"/>
      <c r="AD188" s="79"/>
      <c r="AE188" s="79"/>
      <c r="AF188" s="79"/>
      <c r="AG188" s="77"/>
    </row>
    <row r="189" spans="1:33" ht="15" customHeight="1" x14ac:dyDescent="0.2">
      <c r="A189" s="37">
        <v>80</v>
      </c>
      <c r="B189" s="38">
        <f>IF(ISNUMBER(A189),
IF(AND(A189=INT(A189), MOD(A189, 10) = 0), 0,
IF(AND(A189=INT(A189), LEN(A189)=2), 1,
IF(AND(A189=INT(A189), LEN(A189)=3), 2,
LEN(A189) - FIND(".", A189) + 2)
)
),
"")</f>
        <v>0</v>
      </c>
      <c r="C189" s="71" t="s">
        <v>409</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7"/>
      <c r="X189" s="80"/>
      <c r="Y189" s="80"/>
      <c r="Z189" s="77"/>
      <c r="AA189" s="79"/>
      <c r="AB189" s="79"/>
      <c r="AC189" s="77"/>
      <c r="AD189" s="79"/>
      <c r="AE189" s="79"/>
      <c r="AF189" s="79"/>
      <c r="AG189" s="77"/>
    </row>
    <row r="190" spans="1:33" ht="85" customHeight="1" x14ac:dyDescent="0.2">
      <c r="A190" s="37">
        <v>81</v>
      </c>
      <c r="B190" s="38">
        <f>IF(ISNUMBER(A190),
IF(AND(A190=INT(A190), MOD(A190, 10) = 0), 0,
IF(AND(A190=INT(A190), LEN(A190)=2), 1,
IF(AND(A190=INT(A190), LEN(A190)=3), 2,
LEN(A190) - FIND(".", A190) + 2)
)
),
"")</f>
        <v>1</v>
      </c>
      <c r="C190" s="56" t="s">
        <v>410</v>
      </c>
      <c r="D190" s="39" t="str">
        <f t="shared" si="43"/>
        <v xml:space="preserve">      Refueling Operations</v>
      </c>
      <c r="E190" s="39" t="s">
        <v>264</v>
      </c>
      <c r="F190" s="39"/>
      <c r="G190" s="39"/>
      <c r="H190" s="39"/>
      <c r="I190" s="39"/>
      <c r="J190" s="43"/>
      <c r="K190" s="61">
        <v>178500</v>
      </c>
      <c r="L190" s="49" t="s">
        <v>382</v>
      </c>
      <c r="M190" s="59" t="s">
        <v>383</v>
      </c>
      <c r="N190" s="49"/>
      <c r="O190" s="49"/>
      <c r="P190" s="49">
        <v>1</v>
      </c>
      <c r="Q190" s="66">
        <v>2024</v>
      </c>
      <c r="R190" s="73" t="s">
        <v>53</v>
      </c>
      <c r="S190" s="59"/>
      <c r="T190" s="59" t="s">
        <v>384</v>
      </c>
      <c r="U190" s="49"/>
      <c r="V190" s="49"/>
      <c r="W190" s="77" t="s">
        <v>43</v>
      </c>
      <c r="X190" s="80">
        <f>0.9*$J190</f>
        <v>0</v>
      </c>
      <c r="Y190" s="80">
        <f>1.5*J190</f>
        <v>0</v>
      </c>
      <c r="Z190" s="77" t="s">
        <v>44</v>
      </c>
      <c r="AA190" s="79">
        <f>0.9*K190</f>
        <v>160650</v>
      </c>
      <c r="AB190" s="79">
        <f>1.3*K190</f>
        <v>232050</v>
      </c>
      <c r="AC190" s="77" t="s">
        <v>44</v>
      </c>
      <c r="AD190" s="79" t="s">
        <v>45</v>
      </c>
      <c r="AE190" s="79" t="s">
        <v>46</v>
      </c>
      <c r="AF190" s="79" t="s">
        <v>47</v>
      </c>
      <c r="AG190" s="77" t="s">
        <v>48</v>
      </c>
    </row>
    <row r="191" spans="1:33" ht="15" customHeight="1" x14ac:dyDescent="0.2">
      <c r="A191" s="37">
        <v>82</v>
      </c>
      <c r="B191" s="38">
        <f>IF(ISNUMBER(A191),
IF(AND(A191=INT(A191), MOD(A191, 10) = 0), 0,
IF(AND(A191=INT(A191), LEN(A191)=2), 1,
IF(AND(A191=INT(A191), LEN(A191)=3), 2,
LEN(A191) - FIND(".", A191) + 2)
)
),
"")</f>
        <v>1</v>
      </c>
      <c r="C191" s="56" t="s">
        <v>411</v>
      </c>
      <c r="D191" s="39" t="str">
        <f t="shared" si="43"/>
        <v xml:space="preserve">      Additional Nuclear Fuel</v>
      </c>
      <c r="E191" s="39"/>
      <c r="F191" s="39"/>
      <c r="G191" s="39"/>
      <c r="H191" s="39"/>
      <c r="I191" s="39"/>
      <c r="J191" s="43"/>
      <c r="K191" s="61"/>
      <c r="L191" s="49"/>
      <c r="M191" s="59"/>
      <c r="N191" s="49"/>
      <c r="O191" s="49"/>
      <c r="P191" s="49"/>
      <c r="Q191" s="66"/>
      <c r="R191" s="49"/>
      <c r="S191" s="59"/>
      <c r="T191" s="49"/>
      <c r="U191" s="49"/>
      <c r="V191" s="49"/>
      <c r="W191" s="77"/>
      <c r="X191" s="80"/>
      <c r="Y191" s="80"/>
      <c r="Z191" s="77"/>
      <c r="AA191" s="79"/>
      <c r="AB191" s="79"/>
      <c r="AC191" s="77"/>
      <c r="AD191" s="79"/>
      <c r="AE191" s="79"/>
      <c r="AF191" s="79"/>
      <c r="AG191" s="77"/>
    </row>
    <row r="192" spans="1:33" ht="29" customHeight="1" x14ac:dyDescent="0.2">
      <c r="A192" s="37">
        <v>83</v>
      </c>
      <c r="B192" s="38">
        <f>IF(ISNUMBER(A192),
IF(AND(A192=INT(A192), MOD(A192, 10) = 0), 0,
IF(AND(A192=INT(A192), LEN(A192)=2), 1,
IF(AND(A192=INT(A192), LEN(A192)=3), 2,
LEN(A192) - FIND(".", A192) + 2)
)
),
"")</f>
        <v>1</v>
      </c>
      <c r="C192" s="56" t="s">
        <v>412</v>
      </c>
      <c r="D192" s="39" t="str">
        <f t="shared" si="43"/>
        <v xml:space="preserve">      Spent Fuel Management</v>
      </c>
      <c r="E192" s="39" t="s">
        <v>35</v>
      </c>
      <c r="F192" s="39"/>
      <c r="G192" s="39"/>
      <c r="H192" s="39"/>
      <c r="I192" s="39"/>
      <c r="J192" s="43"/>
      <c r="K192" s="61">
        <v>1</v>
      </c>
      <c r="L192" s="49" t="s">
        <v>413</v>
      </c>
      <c r="M192" s="59" t="s">
        <v>414</v>
      </c>
      <c r="N192" s="49"/>
      <c r="O192" s="49"/>
      <c r="P192" s="49">
        <v>1</v>
      </c>
      <c r="Q192" s="66">
        <v>2024</v>
      </c>
      <c r="R192" s="49" t="s">
        <v>86</v>
      </c>
      <c r="S192" s="59"/>
      <c r="T192" s="49"/>
      <c r="U192" s="49"/>
      <c r="V192" s="49"/>
      <c r="W192" s="77" t="s">
        <v>43</v>
      </c>
      <c r="X192" s="80">
        <f>0.9*$J192</f>
        <v>0</v>
      </c>
      <c r="Y192" s="80">
        <f>1.5*J192</f>
        <v>0</v>
      </c>
      <c r="Z192" s="77" t="s">
        <v>44</v>
      </c>
      <c r="AA192" s="79">
        <f>0.9*K192</f>
        <v>0.9</v>
      </c>
      <c r="AB192" s="79">
        <f>1.3*K192</f>
        <v>1.3</v>
      </c>
      <c r="AC192" s="77" t="s">
        <v>44</v>
      </c>
      <c r="AD192" s="79" t="s">
        <v>45</v>
      </c>
      <c r="AE192" s="79" t="s">
        <v>46</v>
      </c>
      <c r="AF192" s="79" t="s">
        <v>47</v>
      </c>
      <c r="AG192" s="77" t="s">
        <v>48</v>
      </c>
    </row>
  </sheetData>
  <autoFilter ref="A1:AB192" xr:uid="{00000000-0009-0000-0000-000000000000}"/>
  <mergeCells count="53">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87">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9:V192">
    <cfRule type="expression" dxfId="273" priority="649">
      <formula>$B189=3</formula>
    </cfRule>
    <cfRule type="expression" dxfId="272" priority="650">
      <formula>$B189=2</formula>
    </cfRule>
    <cfRule type="expression" dxfId="271" priority="651">
      <formula>$B189&lt;2</formula>
    </cfRule>
    <cfRule type="expression" dxfId="270" priority="652">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87">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87 W174:AG187 A188:AG192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87 W174:AG187 A188:AG192">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8:AG192 A55:AG75 A83:AG87 A125:AG134 A135:V135 A136:Y136 A137:AG137 A112:AG123 A76:V82 A100:B106 A49:AG51 F52:AG52 F53:U54 A52:E54 W53:AG54 A124:U124 W124:AG124 S173:AG173 U174:U187 W174:AG187">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92">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87 W174:AG187 A188:AG192">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92 Q185:R192" xr: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92" xr:uid="{00000000-0002-0000-0000-000005000000}">
      <formula1>0</formula1>
      <formula2>2</formula2>
    </dataValidation>
    <dataValidation type="list" allowBlank="1" showInputMessage="1" showErrorMessage="1" sqref="O2:O80 O82:O134 O137 O144:O192" xr:uid="{00000000-0002-0000-0000-000006000000}">
      <formula1>"acres, MWe, m^3, MWt, Kg, Drums, kW, $, m^2, kg/s"</formula1>
    </dataValidation>
    <dataValidation type="list" allowBlank="1" showInputMessage="1" showErrorMessage="1" sqref="L2:L80 L82:L113 L115:L137 L144:L192"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2" xr:uid="{00000000-0002-0000-0000-00000C000000}">
      <formula1>"standard, nonstandard"</formula1>
    </dataValidation>
    <dataValidation type="list" allowBlank="1" showInputMessage="1" showErrorMessage="1" sqref="R2:R192"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