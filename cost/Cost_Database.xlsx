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20001_{DAE04248-28D5-0F47-87CC-35FD908D32B1}" xr6:coauthVersionLast="47" xr6:coauthVersionMax="47" xr10:uidLastSave="{00000000-0000-0000-0000-000000000000}"/>
  <bookViews>
    <workbookView xWindow="0" yWindow="660" windowWidth="30240" windowHeight="17180" activeTab="6"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 i="8" l="1"/>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C55" i="2"/>
  <c r="AB39" i="8"/>
  <c r="AA39" i="8"/>
  <c r="AA21" i="7"/>
  <c r="AA20" i="8"/>
  <c r="X97" i="8"/>
  <c r="AA49" i="8"/>
  <c r="AA13" i="7"/>
  <c r="AA25" i="7"/>
  <c r="AA13" i="8"/>
  <c r="AA29" i="8"/>
  <c r="AA45" i="8"/>
  <c r="AA48" i="8"/>
  <c r="AA2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<sst xmlns="http://schemas.openxmlformats.org/spreadsheetml/2006/main" count="1790" uniqueCount="512">
  <si>
    <t>Account</t>
  </si>
  <si>
    <t>Level</t>
  </si>
  <si>
    <t>Account Name</t>
  </si>
  <si>
    <t>Account Title</t>
  </si>
  <si>
    <t>Standard Cost Equation?</t>
  </si>
  <si>
    <t>Optional Variable</t>
  </si>
  <si>
    <t>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</si>
  <si>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</si>
  <si>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</si>
  <si>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</si>
  <si>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</si>
  <si>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</si>
  <si>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</si>
  <si>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</si>
  <si>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</si>
  <si>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</si>
  <si>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</si>
  <si>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</si>
  <si>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</si>
  <si>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</si>
  <si>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</si>
  <si>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</si>
  <si>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</si>
  <si>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</si>
  <si>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</si>
  <si>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</si>
  <si>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</si>
  <si>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</si>
  <si>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</si>
  <si>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</si>
  <si>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</si>
  <si>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</si>
  <si>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</si>
  <si>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</si>
  <si>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</si>
  <si>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acres</t>
  </si>
  <si>
    <t>General</t>
  </si>
  <si>
    <t>The average cost per acre for rural land in 2022 from the US Department of Agriculture</t>
  </si>
  <si>
    <t>https://inldigitallibrary.inl.gov/sites/sti/sti/Sort_107010.pdf</t>
  </si>
  <si>
    <t>No Learning</t>
  </si>
  <si>
    <t>Lognormal</t>
  </si>
  <si>
    <t>0.1</t>
  </si>
  <si>
    <t>1</t>
  </si>
  <si>
    <t>0</t>
  </si>
  <si>
    <t>Truncated Normal</t>
  </si>
  <si>
    <t>Site Permits</t>
  </si>
  <si>
    <t>$/MWe</t>
  </si>
  <si>
    <t>MWe</t>
  </si>
  <si>
    <t>Labor</t>
  </si>
  <si>
    <t>Data from SMR MHTGRs</t>
  </si>
  <si>
    <t>Plant Licensing</t>
  </si>
  <si>
    <t>https://art.inl.gov/NGNP/INL%20Documents/Year%202012/Assessment%20of%20High%20Temperature%20Gas-Cooled%20Reactor%20-%20HTGR%20-%20Capital%20and%20Operating%20Costs.pdf</t>
  </si>
  <si>
    <t>Licensing Learning</t>
  </si>
  <si>
    <t>Uniform</t>
  </si>
  <si>
    <t>Plant Permits</t>
  </si>
  <si>
    <t>NGNP project</t>
  </si>
  <si>
    <t>Plant Studies</t>
  </si>
  <si>
    <t>MARVEL Project (Labor-adjusted Cost)</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</si>
  <si>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</si>
  <si>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</si>
  <si>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</si>
  <si>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</si>
  <si>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</si>
  <si>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</si>
  <si>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</si>
  <si>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</si>
  <si>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</si>
  <si>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</si>
  <si>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</si>
  <si>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</si>
  <si>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Reactor Island Civil Structures</t>
  </si>
  <si>
    <t>Lab and Mat and Equip</t>
  </si>
  <si>
    <t>$/m^2</t>
  </si>
  <si>
    <t>m^2</t>
  </si>
  <si>
    <t>Main Function Buildings</t>
  </si>
  <si>
    <t xml:space="preserve">Buildings to Support Main Function </t>
  </si>
  <si>
    <t>Equipment</t>
  </si>
  <si>
    <t>Factory Other</t>
  </si>
  <si>
    <t>Reactor System</t>
  </si>
  <si>
    <t>Reactor Components</t>
  </si>
  <si>
    <t>$/Kg</t>
  </si>
  <si>
    <t>Kg</t>
  </si>
  <si>
    <t>Factory Primary Structure</t>
  </si>
  <si>
    <t>Reactivity Control System Fabrication</t>
  </si>
  <si>
    <t>Factory Drums</t>
  </si>
  <si>
    <t>Installation</t>
  </si>
  <si>
    <t>Control Drums Materials (Absorber)</t>
  </si>
  <si>
    <t>Material</t>
  </si>
  <si>
    <t>Control Drums Materials (Reflector)</t>
  </si>
  <si>
    <t>BeO</t>
  </si>
  <si>
    <t>Factory BeO</t>
  </si>
  <si>
    <t>Factory Be</t>
  </si>
  <si>
    <t>Reflector</t>
  </si>
  <si>
    <t>Shield</t>
  </si>
  <si>
    <t>Moderator</t>
  </si>
  <si>
    <t>Main Heat Transport System</t>
  </si>
  <si>
    <t>nonstandard</t>
  </si>
  <si>
    <t>unitless</t>
  </si>
  <si>
    <t>Heat Exchangers</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</si>
  <si>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</si>
  <si>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</si>
  <si>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</si>
  <si>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Other Reactor Plant Equipment</t>
  </si>
  <si>
    <t>kg/s</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</si>
  <si>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</si>
  <si>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</si>
  <si>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</si>
  <si>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</si>
  <si>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</si>
  <si>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</si>
  <si>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Applications</t>
  </si>
  <si>
    <t>Electricity Generation Systems</t>
  </si>
  <si>
    <t>Non-nuclear off-the-shelf</t>
  </si>
  <si>
    <t>Electrical Equipment</t>
  </si>
  <si>
    <t>Initial Fuel Inventory</t>
  </si>
  <si>
    <t>First Core Fuel Assembly Fabrication </t>
  </si>
  <si>
    <t>Fuel</t>
  </si>
  <si>
    <t>Capitalized Indirect Services Cost</t>
  </si>
  <si>
    <t>Startup Costs</t>
  </si>
  <si>
    <t>Shipping and Transportation Costs</t>
  </si>
  <si>
    <t>Engineering Services</t>
  </si>
  <si>
    <t>PM/CM Services</t>
  </si>
  <si>
    <t>Capitalized training costs</t>
  </si>
  <si>
    <t>staff recruitment and training</t>
  </si>
  <si>
    <t xml:space="preserve">Capitalized Financial Costs </t>
  </si>
  <si>
    <t>Interest</t>
  </si>
  <si>
    <t xml:space="preserve">Annualized O&amp;M Cost </t>
  </si>
  <si>
    <t>O&amp;M Staff</t>
  </si>
  <si>
    <t>Operators </t>
  </si>
  <si>
    <t>$/FTE</t>
  </si>
  <si>
    <t>de Candido, I., A. Al Rashdan, A. Abou-Jaoude, and J. Buongiorno. 2024. “Assessment of Technoeconomic Opportunities in Automation for Nuclear Microreactors.” Nuclear Science and Engineering, 1–20. https://doi.org/10.1080/00295639.2024.2372511.</t>
  </si>
  <si>
    <t>Remote Monitoring Technicians </t>
  </si>
  <si>
    <t>Reactors Monitored Per Operator</t>
  </si>
  <si>
    <t>Security Staff </t>
  </si>
  <si>
    <t>Capital Plant Expenditures</t>
  </si>
  <si>
    <t>Annualized Decommissioning Cost</t>
  </si>
  <si>
    <t>$/MWeHour</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</si>
  <si>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</si>
  <si>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</si>
  <si>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</si>
  <si>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</si>
  <si>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</si>
  <si>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</si>
  <si>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</si>
  <si>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</si>
  <si>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</si>
  <si>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</si>
  <si>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</si>
  <si>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</si>
  <si>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</si>
  <si>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</si>
  <si>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</si>
  <si>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</si>
  <si>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</si>
  <si>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</si>
  <si>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</si>
  <si>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</si>
  <si>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</si>
  <si>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</si>
  <si>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</si>
  <si>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</si>
  <si>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</si>
  <si>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</si>
  <si>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</si>
  <si>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</si>
  <si>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</si>
  <si>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</si>
  <si>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</si>
  <si>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</si>
  <si>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</si>
  <si>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</si>
  <si>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</si>
  <si>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</si>
  <si>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</si>
  <si>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</si>
  <si>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</si>
  <si>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</si>
  <si>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</si>
  <si>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</si>
  <si>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</si>
  <si>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</si>
  <si>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</si>
  <si>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</si>
  <si>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</si>
  <si>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</si>
  <si>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</si>
  <si>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</si>
  <si>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</si>
  <si>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</si>
  <si>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</si>
  <si>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</si>
  <si>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</si>
  <si>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</si>
  <si>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</si>
  <si>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</si>
  <si>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</si>
  <si>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</si>
  <si>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</si>
  <si>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</si>
  <si>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</si>
  <si>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</si>
  <si>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</si>
  <si>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</si>
  <si>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</si>
  <si>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</si>
  <si>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</si>
  <si>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</si>
  <si>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</si>
  <si>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</si>
  <si>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</si>
  <si>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</si>
  <si>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</si>
  <si>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</si>
  <si>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</si>
  <si>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</si>
  <si>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</si>
  <si>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</si>
  <si>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</si>
  <si>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</si>
  <si>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</si>
  <si>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</si>
  <si>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</si>
  <si>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</si>
  <si>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</si>
  <si>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</si>
  <si>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</si>
  <si>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</si>
  <si>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</si>
  <si>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</si>
  <si>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</si>
  <si>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</si>
  <si>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</si>
  <si>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</si>
  <si>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</si>
  <si>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</si>
  <si>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</si>
  <si>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</si>
  <si>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</si>
  <si>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</si>
  <si>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</si>
  <si>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</si>
  <si>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</si>
  <si>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</si>
  <si>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</si>
  <si>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</si>
  <si>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</si>
  <si>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</si>
  <si>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</si>
  <si>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</si>
  <si>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</si>
  <si>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</si>
  <si>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</si>
  <si>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</si>
  <si>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</si>
  <si>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</si>
  <si>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</si>
  <si>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</si>
  <si>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</si>
  <si>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</si>
  <si>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</si>
  <si>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</si>
  <si>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</si>
  <si>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</si>
  <si>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</si>
  <si>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</si>
  <si>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</si>
  <si>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</si>
  <si>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</si>
  <si>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</si>
  <si>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</si>
  <si>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</si>
  <si>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</si>
  <si>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</si>
  <si>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</si>
  <si>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</si>
  <si>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</si>
  <si>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</si>
  <si>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</si>
  <si>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</si>
  <si>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</si>
  <si>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</si>
  <si>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</si>
  <si>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</si>
  <si>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</si>
  <si>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</si>
  <si>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</si>
  <si>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</si>
  <si>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</si>
  <si>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</si>
  <si>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</si>
  <si>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</si>
  <si>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</si>
  <si>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</si>
  <si>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</si>
  <si>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</si>
  <si>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</si>
  <si>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</si>
  <si>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</si>
  <si>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</si>
  <si>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</si>
  <si>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</si>
  <si>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</si>
  <si>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</si>
  <si>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</si>
  <si>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</si>
  <si>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</si>
  <si>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</si>
  <si>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</si>
  <si>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</si>
  <si>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</si>
  <si>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</si>
  <si>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</si>
  <si>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</si>
  <si>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</si>
  <si>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</si>
  <si>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</si>
  <si>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</si>
  <si>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</si>
  <si>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</si>
  <si>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</si>
  <si>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</si>
  <si>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</si>
  <si>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</si>
  <si>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</si>
  <si>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</si>
  <si>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</si>
  <si>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</si>
  <si>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</si>
  <si>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</si>
  <si>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</si>
  <si>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</si>
  <si>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</si>
  <si>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</si>
  <si>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</si>
  <si>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</si>
  <si>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</si>
  <si>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</si>
  <si>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</si>
  <si>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</si>
  <si>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</si>
  <si>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</si>
  <si>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</si>
  <si>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</si>
  <si>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</si>
  <si>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</si>
  <si>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</si>
  <si>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</si>
  <si>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</si>
  <si>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</si>
  <si>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</si>
  <si>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</si>
  <si>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</si>
  <si>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</si>
  <si>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On-Site Operators per Shift</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</si>
  <si>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</si>
  <si>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</si>
  <si>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</si>
  <si>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</si>
  <si>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</si>
  <si>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</si>
  <si>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</si>
  <si>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</si>
  <si>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</si>
  <si>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</si>
  <si>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</si>
  <si>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</si>
  <si>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</si>
  <si>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</si>
  <si>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</si>
  <si>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</si>
  <si>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</si>
  <si>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</si>
  <si>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</si>
  <si>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</si>
  <si>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</si>
  <si>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</si>
  <si>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</si>
  <si>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</si>
  <si>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</si>
  <si>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</si>
  <si>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</si>
  <si>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</si>
  <si>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</si>
  <si>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</si>
  <si>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</si>
  <si>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</si>
  <si>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</si>
  <si>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</si>
  <si>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</si>
  <si>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</si>
  <si>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</si>
  <si>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</si>
  <si>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</si>
  <si>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</si>
  <si>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</si>
  <si>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</si>
  <si>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</si>
  <si>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</si>
  <si>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</si>
  <si>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</si>
  <si>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</si>
  <si>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</si>
  <si>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</si>
  <si>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</si>
  <si>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</si>
  <si>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</si>
  <si>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</si>
  <si>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</si>
  <si>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</si>
  <si>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</si>
  <si>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</si>
  <si>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</si>
  <si>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</si>
  <si>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</si>
  <si>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</si>
  <si>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</si>
  <si>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</si>
  <si>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</si>
  <si>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</si>
  <si>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</si>
  <si>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</si>
  <si>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</si>
  <si>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</si>
  <si>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</si>
  <si>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</si>
  <si>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</si>
  <si>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</si>
  <si>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</si>
  <si>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</si>
  <si>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</si>
  <si>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</si>
  <si>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</si>
  <si>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</si>
  <si>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</si>
  <si>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</si>
  <si>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</si>
  <si>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</si>
  <si>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</si>
  <si>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</si>
  <si>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</si>
  <si>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</si>
  <si>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</si>
  <si>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</si>
  <si>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</si>
  <si>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</si>
  <si>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</si>
  <si>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</si>
  <si>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</si>
  <si>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</si>
  <si>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</si>
  <si>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</si>
  <si>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</si>
  <si>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</si>
  <si>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</si>
  <si>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</si>
  <si>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</si>
  <si>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</si>
  <si>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</si>
  <si>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</si>
  <si>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</si>
  <si>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</si>
  <si>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</si>
  <si>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</si>
  <si>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</si>
  <si>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</si>
  <si>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</si>
  <si>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</si>
  <si>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</si>
  <si>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</si>
  <si>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</si>
  <si>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</si>
  <si>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</si>
  <si>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</si>
  <si>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</si>
  <si>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</si>
  <si>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</si>
  <si>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</si>
  <si>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</si>
  <si>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</si>
  <si>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</si>
  <si>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</si>
  <si>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</si>
  <si>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</si>
  <si>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</si>
  <si>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</si>
  <si>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</si>
  <si>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</si>
  <si>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</si>
  <si>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</si>
  <si>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</si>
  <si>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</si>
  <si>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</si>
  <si>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</si>
  <si>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</si>
  <si>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</si>
  <si>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</si>
  <si>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</si>
  <si>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</si>
  <si>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</si>
  <si>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</si>
  <si>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</si>
  <si>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</si>
  <si>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</si>
  <si>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</si>
  <si>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</si>
  <si>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</si>
  <si>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</si>
  <si>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</si>
  <si>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</si>
  <si>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</si>
  <si>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SER Operator FTEs Per Facility</t>
  </si>
  <si>
    <t>$/FTE-year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</si>
</sst>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43" formatCode="_(* #,##0.00_);_(* \(#,##0.00\);_(* &quot;-&quot;??_);_(@_)"/>
    <numFmt numFmtId="164" formatCode="#,##0.000"/>
    <numFmt numFmtId="165" formatCode="0.000"/>
    <numFmt numFmtId="166" formatCode="_(* #,##0_);_(* \(#,##0\);_(* &quot;-&quot;??_);_(@_)"/>
    <numFmt numFmtId="167" formatCode="0.0"/>
    <numFmt numFmtId="169" formatCode="_(* #,##0.0_);_(* \(#,##0.0\);_(* &quot;-&quot;?_);_(@_)"/>
    <numFmt numFmtId="170" formatCode="#,##0.000_);\(#,##0.000\)"/>
    <numFmt numFmtId="171" formatCode="#,##0.0000_);\(#,##0.0000\)"/>
  </numFmts>
  <fonts count="30"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10"/>
      <color theme="10"/>
      <name val="Times New Roman"/>
      <family val="1"/>
    </font>
    <font>
      <b/>
      <sz val="10"/>
      <color theme="1"/>
      <name val="Times New Roman"/>
      <family val="1"/>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17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4" fillId="0" borderId="0" xfId="0" applyFont="1"/>
    <xf numFmtId="0" fontId="7" fillId="0" borderId="0" xfId="0" applyFont="1" applyAlignment="1">
      <alignment horizontal="right"/>
    </xf>
    <xf numFmtId="0" fontId="8" fillId="0" borderId="10" xfId="0" applyFont="1" applyBorder="1"/>
    <xf numFmtId="0" fontId="8" fillId="0" borderId="10" xfId="0" applyFont="1" applyBorder="1" applyAlignment="1">
      <alignment wrapText="1"/>
    </xf>
    <xf numFmtId="3" fontId="8" fillId="0" borderId="10" xfId="0" applyNumberFormat="1" applyFont="1" applyBorder="1" applyAlignment="1">
      <alignment horizontal="right"/>
    </xf>
    <xf numFmtId="0" fontId="8" fillId="0" borderId="10" xfId="0" applyFont="1" applyBorder="1" applyAlignment="1">
      <alignment horizontal="right"/>
    </xf>
    <xf numFmtId="0" fontId="14" fillId="0" borderId="10" xfId="0" applyFont="1" applyBorder="1"/>
    <xf numFmtId="0" fontId="14" fillId="0" borderId="10" xfId="0" applyFont="1" applyBorder="1" applyAlignment="1">
      <alignment horizontal="right"/>
    </xf>
    <xf numFmtId="169" fontId="14" fillId="0" borderId="10" xfId="0" applyNumberFormat="1" applyFont="1" applyBorder="1" applyAlignment="1">
      <alignment horizontal="right"/>
    </xf>
    <xf numFmtId="0" fontId="10" fillId="0" borderId="0" xfId="0" applyFont="1" applyAlignment="1">
      <alignment horizontal="left" wrapText="1"/>
    </xf>
    <xf numFmtId="165" fontId="0" fillId="0" borderId="0" xfId="0" applyNumberFormat="1"/>
    <xf numFmtId="0" fontId="0" fillId="0" borderId="0" xfId="0" applyAlignment="1">
      <alignment wrapText="1"/>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4"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4" fillId="0" borderId="3" xfId="0" applyFont="1" applyBorder="1"/>
    <xf numFmtId="0" fontId="14"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4"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4"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3"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17" fillId="5" borderId="3" xfId="0" applyFont="1" applyFill="1" applyBorder="1" applyAlignment="1">
      <alignment horizontal="left"/>
    </xf>
    <xf numFmtId="166" fontId="17" fillId="0" borderId="3" xfId="5" applyNumberFormat="1" applyFont="1" applyFill="1" applyBorder="1" applyAlignment="1"/>
    <xf numFmtId="0" fontId="17" fillId="0" borderId="3" xfId="0" applyFont="1" applyBorder="1" applyAlignment="1">
      <alignment horizontal="left"/>
    </xf>
    <xf numFmtId="166" fontId="17" fillId="0" borderId="3" xfId="5" applyNumberFormat="1" applyFont="1" applyFill="1" applyBorder="1" applyAlignment="1">
      <alignment horizontal="right"/>
    </xf>
    <xf numFmtId="0" fontId="17" fillId="0" borderId="3" xfId="0" applyFont="1" applyBorder="1" applyAlignment="1">
      <alignment horizontal="right"/>
    </xf>
    <xf numFmtId="0" fontId="17" fillId="0" borderId="3" xfId="0" applyFont="1" applyBorder="1" applyAlignment="1">
      <alignment wrapText="1"/>
    </xf>
    <xf numFmtId="0" fontId="17" fillId="0" borderId="3" xfId="0" applyFont="1" applyBorder="1" applyAlignment="1">
      <alignment horizontal="left" wrapText="1"/>
    </xf>
    <xf numFmtId="3" fontId="18" fillId="0" borderId="3" xfId="5" applyNumberFormat="1" applyFont="1" applyFill="1" applyBorder="1" applyAlignment="1">
      <alignment horizontal="right"/>
    </xf>
    <xf numFmtId="0" fontId="18" fillId="0" borderId="3" xfId="0" applyFont="1" applyBorder="1" applyAlignment="1">
      <alignment horizontal="left"/>
    </xf>
    <xf numFmtId="0" fontId="19" fillId="5" borderId="3" xfId="0" applyFont="1" applyFill="1" applyBorder="1" applyAlignment="1">
      <alignment horizontal="left"/>
    </xf>
    <xf numFmtId="166" fontId="19" fillId="0" borderId="3" xfId="5" applyNumberFormat="1" applyFont="1" applyFill="1" applyBorder="1" applyAlignment="1"/>
    <xf numFmtId="166" fontId="18" fillId="0" borderId="3" xfId="5" applyNumberFormat="1" applyFont="1" applyFill="1" applyBorder="1" applyAlignment="1">
      <alignment horizontal="right"/>
    </xf>
    <xf numFmtId="0" fontId="19" fillId="0" borderId="3" xfId="0" applyFont="1" applyBorder="1" applyAlignment="1">
      <alignment horizontal="right"/>
    </xf>
    <xf numFmtId="0" fontId="19" fillId="0" borderId="3" xfId="0" applyFont="1" applyBorder="1" applyAlignment="1">
      <alignment horizontal="left"/>
    </xf>
    <xf numFmtId="0" fontId="19" fillId="0" borderId="3" xfId="0" applyFont="1" applyBorder="1" applyAlignment="1">
      <alignment horizontal="left" wrapText="1"/>
    </xf>
    <xf numFmtId="0" fontId="3" fillId="0" borderId="3" xfId="6" applyFill="1" applyBorder="1" applyAlignment="1">
      <alignment horizontal="left"/>
    </xf>
    <xf numFmtId="3" fontId="20"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1"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0"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2" fillId="6" borderId="3" xfId="0" applyFont="1" applyFill="1" applyBorder="1" applyAlignment="1">
      <alignment horizontal="left"/>
    </xf>
    <xf numFmtId="3" fontId="22" fillId="6" borderId="3" xfId="0" applyNumberFormat="1" applyFont="1" applyFill="1" applyBorder="1" applyAlignment="1">
      <alignment horizontal="left"/>
    </xf>
    <xf numFmtId="0" fontId="22" fillId="6" borderId="3" xfId="0" applyFont="1" applyFill="1" applyBorder="1" applyAlignment="1">
      <alignment horizontal="left" wrapText="1"/>
    </xf>
    <xf numFmtId="3" fontId="22" fillId="6" borderId="3" xfId="0" applyNumberFormat="1" applyFont="1" applyFill="1" applyBorder="1" applyAlignment="1">
      <alignment horizontal="left" wrapText="1"/>
    </xf>
    <xf numFmtId="166" fontId="23" fillId="6" borderId="3" xfId="5" applyNumberFormat="1" applyFont="1" applyFill="1" applyBorder="1" applyAlignment="1">
      <alignment wrapText="1"/>
    </xf>
    <xf numFmtId="3" fontId="22"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3"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4" fillId="0" borderId="3" xfId="5" applyNumberFormat="1" applyFont="1" applyBorder="1" applyAlignment="1">
      <alignment horizontal="right" wrapText="1"/>
    </xf>
    <xf numFmtId="0" fontId="8" fillId="7" borderId="3" xfId="0" applyFont="1" applyFill="1" applyBorder="1"/>
    <xf numFmtId="0" fontId="19" fillId="0" borderId="3" xfId="0" applyFont="1" applyBorder="1" applyAlignment="1">
      <alignment wrapText="1"/>
    </xf>
    <xf numFmtId="0" fontId="19" fillId="0" borderId="0" xfId="0" applyFont="1"/>
    <xf numFmtId="0" fontId="19" fillId="0" borderId="3" xfId="0" applyFont="1" applyBorder="1"/>
    <xf numFmtId="3" fontId="25" fillId="0" borderId="3" xfId="0" applyNumberFormat="1" applyFont="1" applyBorder="1" applyAlignment="1">
      <alignment horizontal="right"/>
    </xf>
    <xf numFmtId="3" fontId="8" fillId="0" borderId="3" xfId="0" applyNumberFormat="1" applyFont="1" applyBorder="1" applyAlignment="1">
      <alignment horizontal="left"/>
    </xf>
    <xf numFmtId="3" fontId="17" fillId="0" borderId="3" xfId="5" applyNumberFormat="1" applyFont="1" applyBorder="1" applyAlignment="1">
      <alignment horizontal="right" wrapText="1"/>
    </xf>
    <xf numFmtId="6" fontId="17" fillId="0" borderId="3" xfId="5" applyNumberFormat="1" applyFont="1" applyBorder="1" applyAlignment="1">
      <alignment horizontal="right" wrapText="1"/>
    </xf>
    <xf numFmtId="3" fontId="26" fillId="0" borderId="3" xfId="5" applyNumberFormat="1" applyFont="1" applyFill="1" applyBorder="1" applyAlignment="1">
      <alignment horizontal="right"/>
    </xf>
    <xf numFmtId="0" fontId="3" fillId="0" borderId="3" xfId="6" applyBorder="1"/>
    <xf numFmtId="0" fontId="26" fillId="0" borderId="10" xfId="0" applyFont="1" applyBorder="1" applyAlignment="1">
      <alignment wrapText="1"/>
    </xf>
    <xf numFmtId="3" fontId="8" fillId="0" borderId="11" xfId="0" applyNumberFormat="1" applyFont="1" applyBorder="1" applyAlignment="1">
      <alignment horizontal="right"/>
    </xf>
    <xf numFmtId="0" fontId="8" fillId="0" borderId="11" xfId="0" applyFont="1" applyBorder="1"/>
    <xf numFmtId="0" fontId="8" fillId="0" borderId="11" xfId="0" applyFont="1" applyBorder="1" applyAlignment="1">
      <alignment wrapText="1"/>
    </xf>
    <xf numFmtId="0" fontId="8" fillId="0" borderId="11" xfId="0" applyFont="1" applyBorder="1" applyAlignment="1">
      <alignment horizontal="right"/>
    </xf>
    <xf numFmtId="0" fontId="26" fillId="0" borderId="12" xfId="0" applyFont="1" applyBorder="1" applyAlignment="1">
      <alignment wrapText="1"/>
    </xf>
    <xf numFmtId="0" fontId="26" fillId="0" borderId="3" xfId="0" applyFont="1" applyBorder="1" applyAlignment="1">
      <alignment wrapText="1"/>
    </xf>
    <xf numFmtId="0" fontId="27" fillId="0" borderId="3" xfId="0" applyFont="1" applyBorder="1" applyAlignment="1">
      <alignment wrapText="1"/>
    </xf>
    <xf numFmtId="0" fontId="27"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3"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17"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29"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3" fillId="0" borderId="3" xfId="6" applyFont="1" applyFill="1" applyBorder="1" applyAlignment="1">
      <alignment horizontal="left"/>
    </xf>
    <xf numFmtId="0" fontId="13"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111">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3EF9ADAA-6566-34CE-D5DD-63374222456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3" name="AutoShape 26">
          <a:extLst>
            <a:ext uri="{FF2B5EF4-FFF2-40B4-BE49-F238E27FC236}">
              <a16:creationId xmlns:a16="http://schemas.microsoft.com/office/drawing/2014/main" id="{73FFE43B-5827-8B41-3E83-98F8A0365DA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F68A8398-991D-24AC-D3B8-57A78578994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baseColWidth="10" defaultRowHeight="16"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68" t="s">
        <v>137</v>
      </c>
      <c r="B1" s="167" t="s">
        <v>3</v>
      </c>
      <c r="C1" s="165" t="s">
        <v>138</v>
      </c>
    </row>
    <row r="2" spans="1:5" x14ac:dyDescent="0.2">
      <c r="A2" s="166"/>
      <c r="B2" s="166"/>
      <c r="C2" s="166"/>
    </row>
    <row r="3" spans="1:5" ht="21.25" customHeight="1" x14ac:dyDescent="0.2">
      <c r="A3" s="28">
        <v>10</v>
      </c>
      <c r="B3" s="12" t="s">
        <v>31</v>
      </c>
      <c r="C3" s="13">
        <f>C4</f>
        <v>5210451</v>
      </c>
    </row>
    <row r="4" spans="1:5" ht="21.25" customHeight="1" x14ac:dyDescent="0.2">
      <c r="A4" s="29">
        <v>15</v>
      </c>
      <c r="B4" s="10" t="s">
        <v>56</v>
      </c>
      <c r="C4" s="11">
        <v>5210451</v>
      </c>
      <c r="E4" s="11"/>
    </row>
    <row r="5" spans="1:5" ht="21.25" customHeight="1" x14ac:dyDescent="0.2">
      <c r="A5" s="28">
        <v>20</v>
      </c>
      <c r="B5" s="12" t="s">
        <v>60</v>
      </c>
      <c r="C5" s="13">
        <f>C6+C13+C45+C48+C52+C54</f>
        <v>30295715.421999998</v>
      </c>
    </row>
    <row r="6" spans="1:5" ht="21.25" customHeight="1" x14ac:dyDescent="0.2">
      <c r="A6" s="29">
        <v>21</v>
      </c>
      <c r="B6" s="10" t="s">
        <v>61</v>
      </c>
      <c r="C6" s="11">
        <f>C7+C8+C9+C10</f>
        <v>2799006.731999998</v>
      </c>
    </row>
    <row r="7" spans="1:5" ht="21.25" customHeight="1" x14ac:dyDescent="0.2">
      <c r="A7" s="29">
        <v>211</v>
      </c>
      <c r="B7" s="10" t="s">
        <v>139</v>
      </c>
      <c r="C7" s="11"/>
    </row>
    <row r="8" spans="1:5" ht="21.25" customHeight="1" x14ac:dyDescent="0.2">
      <c r="A8" s="29">
        <v>212</v>
      </c>
      <c r="B8" s="10" t="s">
        <v>70</v>
      </c>
      <c r="C8" s="11">
        <v>2573469.8719999981</v>
      </c>
    </row>
    <row r="9" spans="1:5" ht="21.25" customHeight="1" x14ac:dyDescent="0.2">
      <c r="A9" s="29">
        <v>213</v>
      </c>
      <c r="B9" s="10" t="s">
        <v>74</v>
      </c>
      <c r="C9" s="11"/>
    </row>
    <row r="10" spans="1:5" ht="21.25" customHeight="1" x14ac:dyDescent="0.2">
      <c r="A10" s="29">
        <v>214</v>
      </c>
      <c r="B10" s="10" t="s">
        <v>75</v>
      </c>
      <c r="C10" s="11">
        <f>SUM(C11:C11)</f>
        <v>225536.86</v>
      </c>
    </row>
    <row r="11" spans="1:5" ht="21.25" customHeight="1" x14ac:dyDescent="0.2">
      <c r="A11" s="29">
        <v>214.7</v>
      </c>
      <c r="B11" s="10" t="s">
        <v>140</v>
      </c>
      <c r="C11" s="11">
        <v>225536.86</v>
      </c>
      <c r="E11" s="32"/>
    </row>
    <row r="12" spans="1:5" ht="21.25" customHeight="1" x14ac:dyDescent="0.2">
      <c r="A12" s="29">
        <v>217</v>
      </c>
      <c r="B12" s="10" t="s">
        <v>141</v>
      </c>
      <c r="C12" s="11"/>
    </row>
    <row r="13" spans="1:5" ht="21.25" customHeight="1" x14ac:dyDescent="0.2">
      <c r="A13" s="29">
        <v>22</v>
      </c>
      <c r="B13" s="10" t="s">
        <v>78</v>
      </c>
      <c r="C13" s="11">
        <f>C14+C32+C41+C42+C43+C44</f>
        <v>17586712.57</v>
      </c>
    </row>
    <row r="14" spans="1:5" ht="21.25" customHeight="1" x14ac:dyDescent="0.2">
      <c r="A14" s="29">
        <v>221</v>
      </c>
      <c r="B14" s="10" t="s">
        <v>79</v>
      </c>
      <c r="C14" s="11">
        <f>C15+C19+C25</f>
        <v>8937296.5999999996</v>
      </c>
    </row>
    <row r="15" spans="1:5" ht="21.25" customHeight="1" x14ac:dyDescent="0.2">
      <c r="A15" s="29">
        <v>221.1</v>
      </c>
      <c r="B15" s="10" t="s">
        <v>142</v>
      </c>
      <c r="C15" s="11">
        <f>C16+C17+C18</f>
        <v>2004852</v>
      </c>
    </row>
    <row r="16" spans="1:5" ht="21.25" customHeight="1" x14ac:dyDescent="0.2">
      <c r="A16" s="29">
        <v>221.11</v>
      </c>
      <c r="B16" s="10" t="s">
        <v>143</v>
      </c>
      <c r="C16" s="11">
        <v>762382.4</v>
      </c>
    </row>
    <row r="17" spans="1:4" ht="21.25" customHeight="1" x14ac:dyDescent="0.2">
      <c r="A17" s="29">
        <v>221.12</v>
      </c>
      <c r="B17" s="14" t="s">
        <v>144</v>
      </c>
      <c r="C17" s="11">
        <v>1201688.6000000001</v>
      </c>
    </row>
    <row r="18" spans="1:4" ht="21.25" customHeight="1" x14ac:dyDescent="0.2">
      <c r="A18" s="29">
        <v>221.13</v>
      </c>
      <c r="B18" s="14" t="s">
        <v>145</v>
      </c>
      <c r="C18" s="11">
        <v>40781</v>
      </c>
    </row>
    <row r="19" spans="1:4" ht="21.25" customHeight="1" x14ac:dyDescent="0.2">
      <c r="A19" s="29">
        <v>221.2</v>
      </c>
      <c r="B19" s="14" t="s">
        <v>146</v>
      </c>
      <c r="C19" s="11">
        <f>C20</f>
        <v>2114223</v>
      </c>
    </row>
    <row r="20" spans="1:4" ht="22.75" customHeight="1" x14ac:dyDescent="0.2">
      <c r="A20" s="29">
        <v>221.21</v>
      </c>
      <c r="B20" s="14" t="s">
        <v>147</v>
      </c>
      <c r="C20" s="11">
        <f>SUM(C21:C23)</f>
        <v>2114223</v>
      </c>
    </row>
    <row r="21" spans="1:4" ht="21.25" customHeight="1" x14ac:dyDescent="0.2">
      <c r="A21" s="8">
        <v>221.21100000000001</v>
      </c>
      <c r="B21" s="9" t="s">
        <v>83</v>
      </c>
      <c r="C21" s="11">
        <v>1391560</v>
      </c>
      <c r="D21" s="6"/>
    </row>
    <row r="22" spans="1:4" ht="21.25" customHeight="1" x14ac:dyDescent="0.2">
      <c r="A22" s="8">
        <v>221.21199999999999</v>
      </c>
      <c r="B22" s="9" t="s">
        <v>85</v>
      </c>
      <c r="C22" s="11">
        <v>322663</v>
      </c>
    </row>
    <row r="23" spans="1:4" ht="21.25" customHeight="1" x14ac:dyDescent="0.2">
      <c r="A23" s="8">
        <v>221.21299999999999</v>
      </c>
      <c r="B23" s="9" t="s">
        <v>86</v>
      </c>
      <c r="C23" s="11">
        <v>400000</v>
      </c>
    </row>
    <row r="24" spans="1:4" ht="21.25" customHeight="1" x14ac:dyDescent="0.2">
      <c r="A24" s="8">
        <v>221.214</v>
      </c>
      <c r="B24" s="9" t="s">
        <v>88</v>
      </c>
    </row>
    <row r="25" spans="1:4" ht="21.25" customHeight="1" x14ac:dyDescent="0.2">
      <c r="A25" s="29">
        <v>221.3</v>
      </c>
      <c r="B25" s="14" t="s">
        <v>148</v>
      </c>
      <c r="C25" s="11">
        <f>C26+C30+C31</f>
        <v>4818221.5999999996</v>
      </c>
    </row>
    <row r="26" spans="1:4" ht="21.25" customHeight="1" x14ac:dyDescent="0.2">
      <c r="A26" s="29">
        <v>221.31</v>
      </c>
      <c r="B26" s="14" t="s">
        <v>92</v>
      </c>
      <c r="C26" s="11">
        <v>4170231</v>
      </c>
    </row>
    <row r="27" spans="1:4" ht="21.25" customHeight="1" x14ac:dyDescent="0.2">
      <c r="A27" s="31">
        <v>221.31100000000001</v>
      </c>
      <c r="B27" s="14" t="s">
        <v>149</v>
      </c>
      <c r="C27" s="11">
        <v>3200000</v>
      </c>
    </row>
    <row r="28" spans="1:4" ht="21.25" customHeight="1" x14ac:dyDescent="0.2">
      <c r="A28" s="31">
        <v>221.31200000000001</v>
      </c>
      <c r="B28" s="14" t="s">
        <v>150</v>
      </c>
      <c r="C28" s="11">
        <v>850000</v>
      </c>
    </row>
    <row r="29" spans="1:4" ht="21.25" customHeight="1" x14ac:dyDescent="0.2">
      <c r="A29" s="31">
        <v>221.31299999999999</v>
      </c>
      <c r="B29" s="14" t="s">
        <v>151</v>
      </c>
      <c r="C29" s="11">
        <v>120231</v>
      </c>
    </row>
    <row r="30" spans="1:4" ht="21.25" customHeight="1" x14ac:dyDescent="0.2">
      <c r="A30" s="29">
        <v>221.32</v>
      </c>
      <c r="B30" s="14" t="s">
        <v>93</v>
      </c>
      <c r="C30" s="11">
        <v>647990.6</v>
      </c>
    </row>
    <row r="31" spans="1:4" ht="21.25" customHeight="1" x14ac:dyDescent="0.2">
      <c r="A31" s="29">
        <v>221.33</v>
      </c>
      <c r="B31" s="14" t="s">
        <v>94</v>
      </c>
      <c r="C31" s="11">
        <v>0</v>
      </c>
    </row>
    <row r="32" spans="1:4" ht="21.25" customHeight="1" x14ac:dyDescent="0.2">
      <c r="A32" s="29" t="s">
        <v>152</v>
      </c>
      <c r="B32" s="10" t="s">
        <v>95</v>
      </c>
      <c r="C32" s="11">
        <f>C33+C34+C38+C39+C40</f>
        <v>5908950.5999999996</v>
      </c>
    </row>
    <row r="33" spans="1:3" ht="21.25" customHeight="1" x14ac:dyDescent="0.2">
      <c r="A33" s="29">
        <v>222.1</v>
      </c>
      <c r="B33" s="10" t="s">
        <v>153</v>
      </c>
      <c r="C33" s="11">
        <v>0</v>
      </c>
    </row>
    <row r="34" spans="1:3" ht="21.25" customHeight="1" x14ac:dyDescent="0.2">
      <c r="A34" s="29">
        <v>222.2</v>
      </c>
      <c r="B34" s="10" t="s">
        <v>154</v>
      </c>
      <c r="C34" s="11">
        <v>4890230.5999999996</v>
      </c>
    </row>
    <row r="35" spans="1:3" ht="21.25" customHeight="1" x14ac:dyDescent="0.2">
      <c r="A35" s="29">
        <v>222.21</v>
      </c>
      <c r="B35" s="10" t="s">
        <v>155</v>
      </c>
      <c r="C35" s="11">
        <v>1520786</v>
      </c>
    </row>
    <row r="36" spans="1:3" ht="42.75" customHeight="1" x14ac:dyDescent="0.2">
      <c r="A36" s="29">
        <v>222.22</v>
      </c>
      <c r="B36" s="10" t="s">
        <v>156</v>
      </c>
      <c r="C36" s="11">
        <v>3341486</v>
      </c>
    </row>
    <row r="37" spans="1:3" ht="42.75" customHeight="1" x14ac:dyDescent="0.2">
      <c r="A37" s="29">
        <v>222.23</v>
      </c>
      <c r="B37" s="10" t="s">
        <v>157</v>
      </c>
      <c r="C37" s="11">
        <v>27958.6</v>
      </c>
    </row>
    <row r="38" spans="1:3" ht="21.25" customHeight="1" x14ac:dyDescent="0.2">
      <c r="A38" s="29">
        <v>222.3</v>
      </c>
      <c r="B38" s="10" t="s">
        <v>98</v>
      </c>
      <c r="C38" s="11">
        <v>0</v>
      </c>
    </row>
    <row r="39" spans="1:3" ht="21.25" customHeight="1" x14ac:dyDescent="0.2">
      <c r="A39" s="29">
        <v>222.4</v>
      </c>
      <c r="B39" s="10" t="s">
        <v>158</v>
      </c>
      <c r="C39" s="11">
        <v>0</v>
      </c>
    </row>
    <row r="40" spans="1:3" ht="21.25" customHeight="1" x14ac:dyDescent="0.2">
      <c r="A40" s="29">
        <v>222.5</v>
      </c>
      <c r="B40" s="10" t="s">
        <v>159</v>
      </c>
      <c r="C40" s="11">
        <v>1018720</v>
      </c>
    </row>
    <row r="41" spans="1:3" ht="21.25" customHeight="1" x14ac:dyDescent="0.2">
      <c r="A41" s="29" t="s">
        <v>160</v>
      </c>
      <c r="B41" s="10" t="s">
        <v>161</v>
      </c>
      <c r="C41" s="11"/>
    </row>
    <row r="42" spans="1:3" ht="21.25" customHeight="1" x14ac:dyDescent="0.2">
      <c r="A42" s="29" t="s">
        <v>162</v>
      </c>
      <c r="B42" s="10" t="s">
        <v>102</v>
      </c>
      <c r="C42" s="11">
        <v>456297</v>
      </c>
    </row>
    <row r="43" spans="1:3" ht="21.25" customHeight="1" x14ac:dyDescent="0.2">
      <c r="A43" s="29" t="s">
        <v>163</v>
      </c>
      <c r="B43" s="10" t="s">
        <v>104</v>
      </c>
      <c r="C43" s="11">
        <v>2253208.37</v>
      </c>
    </row>
    <row r="44" spans="1:3" ht="21.25" customHeight="1" x14ac:dyDescent="0.2">
      <c r="A44" s="29" t="s">
        <v>164</v>
      </c>
      <c r="B44" s="10" t="s">
        <v>109</v>
      </c>
      <c r="C44" s="11">
        <v>30960</v>
      </c>
    </row>
    <row r="45" spans="1:3" ht="21.25" customHeight="1" x14ac:dyDescent="0.2">
      <c r="A45" s="29">
        <v>23</v>
      </c>
      <c r="B45" s="10" t="s">
        <v>165</v>
      </c>
      <c r="C45" s="11">
        <f>C46</f>
        <v>0</v>
      </c>
    </row>
    <row r="46" spans="1:3" ht="21.25" customHeight="1" x14ac:dyDescent="0.2">
      <c r="A46" s="29">
        <v>232</v>
      </c>
      <c r="B46" s="10" t="s">
        <v>110</v>
      </c>
      <c r="C46" s="11">
        <f>C47</f>
        <v>0</v>
      </c>
    </row>
    <row r="47" spans="1:3" ht="21.25" customHeight="1" x14ac:dyDescent="0.2">
      <c r="A47" s="29">
        <v>232.1</v>
      </c>
      <c r="B47" s="10" t="s">
        <v>111</v>
      </c>
      <c r="C47" s="11">
        <v>0</v>
      </c>
    </row>
    <row r="48" spans="1:3" ht="21.25" customHeight="1" x14ac:dyDescent="0.2">
      <c r="A48" s="29">
        <v>24</v>
      </c>
      <c r="B48" s="10" t="s">
        <v>113</v>
      </c>
      <c r="C48" s="11">
        <f>C49+C50+C51</f>
        <v>73415.62000000001</v>
      </c>
    </row>
    <row r="49" spans="1:3" ht="21.25" customHeight="1" x14ac:dyDescent="0.2">
      <c r="A49" s="29" t="s">
        <v>166</v>
      </c>
      <c r="B49" s="10" t="s">
        <v>167</v>
      </c>
      <c r="C49" s="11">
        <v>1627.02</v>
      </c>
    </row>
    <row r="50" spans="1:3" ht="21.25" customHeight="1" x14ac:dyDescent="0.2">
      <c r="A50" s="29" t="s">
        <v>168</v>
      </c>
      <c r="B50" s="10" t="s">
        <v>169</v>
      </c>
      <c r="C50" s="11">
        <v>0</v>
      </c>
    </row>
    <row r="51" spans="1:3" ht="21.25" customHeight="1" x14ac:dyDescent="0.2">
      <c r="A51" s="29" t="s">
        <v>170</v>
      </c>
      <c r="B51" s="10" t="s">
        <v>171</v>
      </c>
      <c r="C51" s="11">
        <v>71788.600000000006</v>
      </c>
    </row>
    <row r="52" spans="1:3" ht="21.25" customHeight="1" x14ac:dyDescent="0.2">
      <c r="A52" s="29">
        <v>25</v>
      </c>
      <c r="B52" s="10" t="s">
        <v>114</v>
      </c>
      <c r="C52" s="11">
        <f>C53</f>
        <v>9836580.5</v>
      </c>
    </row>
    <row r="53" spans="1:3" ht="21.25" customHeight="1" x14ac:dyDescent="0.2">
      <c r="A53" s="29" t="s">
        <v>172</v>
      </c>
      <c r="B53" s="10" t="s">
        <v>115</v>
      </c>
      <c r="C53" s="11">
        <v>9836580.5</v>
      </c>
    </row>
    <row r="54" spans="1:3" ht="21.25" customHeight="1" x14ac:dyDescent="0.2">
      <c r="A54" s="29">
        <v>26</v>
      </c>
      <c r="B54" s="10" t="s">
        <v>173</v>
      </c>
      <c r="C54" s="11"/>
    </row>
    <row r="55" spans="1:3" ht="21.25" customHeight="1" x14ac:dyDescent="0.2">
      <c r="A55" s="28">
        <v>30</v>
      </c>
      <c r="B55" s="12" t="s">
        <v>117</v>
      </c>
      <c r="C55" s="13">
        <f>C56+C58+C62+C65+C68</f>
        <v>6442742.523737831</v>
      </c>
    </row>
    <row r="56" spans="1:3" ht="21.25" customHeight="1" x14ac:dyDescent="0.2">
      <c r="A56" s="29">
        <v>31</v>
      </c>
      <c r="B56" s="10" t="s">
        <v>174</v>
      </c>
      <c r="C56" s="11">
        <f>C57</f>
        <v>1333020.8</v>
      </c>
    </row>
    <row r="57" spans="1:3" ht="21.25" customHeight="1" x14ac:dyDescent="0.2">
      <c r="A57" s="29">
        <v>317</v>
      </c>
      <c r="B57" s="10" t="s">
        <v>175</v>
      </c>
      <c r="C57" s="11">
        <v>1333020.8</v>
      </c>
    </row>
    <row r="58" spans="1:3" ht="21.25" customHeight="1" x14ac:dyDescent="0.2">
      <c r="A58" s="29">
        <v>33</v>
      </c>
      <c r="B58" s="10" t="s">
        <v>118</v>
      </c>
      <c r="C58" s="11">
        <f>C59</f>
        <v>2407166.4</v>
      </c>
    </row>
    <row r="59" spans="1:3" ht="21.25" customHeight="1" x14ac:dyDescent="0.2">
      <c r="A59" s="29">
        <v>331</v>
      </c>
      <c r="B59" s="10" t="s">
        <v>176</v>
      </c>
      <c r="C59" s="11">
        <f>C60+C61</f>
        <v>2407166.4</v>
      </c>
    </row>
    <row r="60" spans="1:3" ht="21.25" customHeight="1" x14ac:dyDescent="0.2">
      <c r="A60" s="29">
        <v>331.3</v>
      </c>
      <c r="B60" s="10" t="s">
        <v>177</v>
      </c>
      <c r="C60" s="11">
        <v>215000</v>
      </c>
    </row>
    <row r="61" spans="1:3" ht="21.25" customHeight="1" x14ac:dyDescent="0.2">
      <c r="A61" s="29">
        <v>331.5</v>
      </c>
      <c r="B61" s="10" t="s">
        <v>178</v>
      </c>
      <c r="C61" s="11">
        <v>2192166.4</v>
      </c>
    </row>
    <row r="62" spans="1:3" ht="21.25" customHeight="1" x14ac:dyDescent="0.2">
      <c r="A62" s="29">
        <v>34</v>
      </c>
      <c r="B62" s="10" t="s">
        <v>119</v>
      </c>
      <c r="C62" s="11">
        <f>C63+C64</f>
        <v>1665282.8</v>
      </c>
    </row>
    <row r="63" spans="1:3" ht="21.25" customHeight="1" x14ac:dyDescent="0.2">
      <c r="A63" s="29">
        <v>341</v>
      </c>
      <c r="B63" s="10" t="s">
        <v>179</v>
      </c>
      <c r="C63" s="11">
        <v>1635355.8</v>
      </c>
    </row>
    <row r="64" spans="1:3" ht="21.25" customHeight="1" x14ac:dyDescent="0.2">
      <c r="A64" s="29">
        <v>345</v>
      </c>
      <c r="B64" s="10" t="s">
        <v>180</v>
      </c>
      <c r="C64" s="11">
        <v>29927</v>
      </c>
    </row>
    <row r="65" spans="1:3" ht="21.25" customHeight="1" x14ac:dyDescent="0.2">
      <c r="A65" s="29">
        <v>35</v>
      </c>
      <c r="B65" s="10" t="s">
        <v>120</v>
      </c>
      <c r="C65" s="11">
        <f>C66+C67</f>
        <v>620313.58773783164</v>
      </c>
    </row>
    <row r="66" spans="1:3" ht="21.25" customHeight="1" x14ac:dyDescent="0.2">
      <c r="A66" s="29">
        <v>351</v>
      </c>
      <c r="B66" s="10" t="s">
        <v>181</v>
      </c>
      <c r="C66" s="11">
        <v>257261.4</v>
      </c>
    </row>
    <row r="67" spans="1:3" ht="21.25" customHeight="1" x14ac:dyDescent="0.2">
      <c r="A67" s="29">
        <v>352</v>
      </c>
      <c r="B67" s="10" t="s">
        <v>182</v>
      </c>
      <c r="C67" s="11">
        <v>363052.18773783161</v>
      </c>
    </row>
    <row r="68" spans="1:3" ht="21.25" customHeight="1" x14ac:dyDescent="0.2">
      <c r="A68" s="29">
        <v>36</v>
      </c>
      <c r="B68" s="10" t="s">
        <v>121</v>
      </c>
      <c r="C68" s="11">
        <f>C69+C70</f>
        <v>416958.9359999997</v>
      </c>
    </row>
    <row r="69" spans="1:3" ht="21.25" customHeight="1" x14ac:dyDescent="0.2">
      <c r="A69" s="29">
        <v>361</v>
      </c>
      <c r="B69" s="10" t="s">
        <v>181</v>
      </c>
      <c r="C69" s="11"/>
    </row>
    <row r="70" spans="1:3" ht="21.25" customHeight="1" x14ac:dyDescent="0.2">
      <c r="A70" s="29">
        <v>362</v>
      </c>
      <c r="B70" s="10" t="s">
        <v>182</v>
      </c>
      <c r="C70" s="11">
        <v>416958.9359999997</v>
      </c>
    </row>
    <row r="71" spans="1:3" ht="21.25" customHeight="1" x14ac:dyDescent="0.2">
      <c r="A71" s="28">
        <v>40</v>
      </c>
      <c r="B71" s="12" t="s">
        <v>183</v>
      </c>
      <c r="C71" s="13">
        <f>C72</f>
        <v>4169765</v>
      </c>
    </row>
    <row r="72" spans="1:3" ht="21.25" customHeight="1" x14ac:dyDescent="0.2">
      <c r="A72" s="29">
        <v>41</v>
      </c>
      <c r="B72" s="10" t="s">
        <v>184</v>
      </c>
      <c r="C72" s="11">
        <v>4169765</v>
      </c>
    </row>
    <row r="73" spans="1:3" ht="21.25" customHeight="1" x14ac:dyDescent="0.2">
      <c r="A73" s="28">
        <v>50</v>
      </c>
      <c r="B73" s="12" t="s">
        <v>185</v>
      </c>
      <c r="C73" s="13">
        <f>C74</f>
        <v>16408781.6</v>
      </c>
    </row>
    <row r="74" spans="1:3" ht="21.25" customHeight="1" x14ac:dyDescent="0.2">
      <c r="A74" s="29">
        <v>54</v>
      </c>
      <c r="B74" s="10" t="s">
        <v>186</v>
      </c>
      <c r="C74" s="11">
        <v>16408781.6</v>
      </c>
    </row>
    <row r="75" spans="1:3" ht="21.25" customHeight="1" x14ac:dyDescent="0.2">
      <c r="A75" s="28">
        <v>60</v>
      </c>
      <c r="B75" s="12" t="s">
        <v>124</v>
      </c>
      <c r="C75" s="13">
        <f>C76</f>
        <v>6160606</v>
      </c>
    </row>
    <row r="76" spans="1:3" ht="21.25" customHeight="1" x14ac:dyDescent="0.2">
      <c r="A76" s="29">
        <v>61</v>
      </c>
      <c r="B76" s="10" t="s">
        <v>187</v>
      </c>
      <c r="C76" s="11">
        <v>6160606</v>
      </c>
    </row>
    <row r="77" spans="1:3" ht="21.25" customHeight="1" x14ac:dyDescent="0.2">
      <c r="A77" s="29">
        <v>70</v>
      </c>
      <c r="B77" s="10" t="s">
        <v>126</v>
      </c>
      <c r="C77" s="11">
        <f>C78</f>
        <v>2456659.2000000002</v>
      </c>
    </row>
    <row r="78" spans="1:3" ht="21.25" customHeight="1" x14ac:dyDescent="0.2">
      <c r="A78" s="29">
        <v>71</v>
      </c>
      <c r="B78" s="10" t="s">
        <v>127</v>
      </c>
      <c r="C78" s="11">
        <v>2456659.2000000002</v>
      </c>
    </row>
    <row r="79" spans="1:3" ht="64" customHeight="1" x14ac:dyDescent="0.2">
      <c r="A79" s="14" t="s">
        <v>188</v>
      </c>
      <c r="B79" s="10" t="s">
        <v>188</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189</v>
      </c>
      <c r="B1" s="18" t="s">
        <v>190</v>
      </c>
      <c r="C1" s="18" t="s">
        <v>12</v>
      </c>
      <c r="D1" s="18" t="s">
        <v>191</v>
      </c>
    </row>
    <row r="2" spans="1:4" ht="18.75" customHeight="1" x14ac:dyDescent="0.2">
      <c r="A2" s="169" t="s">
        <v>192</v>
      </c>
      <c r="B2" s="170"/>
      <c r="C2" s="170"/>
      <c r="D2" s="171"/>
    </row>
    <row r="3" spans="1:4" ht="18.75" customHeight="1" x14ac:dyDescent="0.2">
      <c r="A3" s="20" t="s">
        <v>193</v>
      </c>
      <c r="B3" s="5">
        <v>83</v>
      </c>
      <c r="C3" s="21" t="s">
        <v>194</v>
      </c>
      <c r="D3" s="21" t="s">
        <v>195</v>
      </c>
    </row>
    <row r="4" spans="1:4" ht="18.75" customHeight="1" x14ac:dyDescent="0.2">
      <c r="A4" s="20" t="s">
        <v>196</v>
      </c>
      <c r="B4" s="5">
        <v>20</v>
      </c>
      <c r="C4" s="21" t="s">
        <v>197</v>
      </c>
      <c r="D4" s="21"/>
    </row>
    <row r="5" spans="1:4" ht="18.75" customHeight="1" x14ac:dyDescent="0.2">
      <c r="A5" s="20" t="s">
        <v>198</v>
      </c>
      <c r="B5" s="5">
        <v>5.5</v>
      </c>
      <c r="C5" s="21" t="s">
        <v>199</v>
      </c>
      <c r="D5" s="21" t="s">
        <v>195</v>
      </c>
    </row>
    <row r="6" spans="1:4" ht="18.75" customHeight="1" x14ac:dyDescent="0.2">
      <c r="A6" s="20" t="s">
        <v>200</v>
      </c>
      <c r="B6" s="5">
        <v>16.5</v>
      </c>
      <c r="C6" s="21" t="s">
        <v>199</v>
      </c>
      <c r="D6" s="21" t="s">
        <v>195</v>
      </c>
    </row>
    <row r="7" spans="1:4" ht="18.75" customHeight="1" x14ac:dyDescent="0.2">
      <c r="A7" s="169" t="s">
        <v>116</v>
      </c>
      <c r="B7" s="170"/>
      <c r="C7" s="170"/>
      <c r="D7" s="171"/>
    </row>
    <row r="8" spans="1:4" ht="18.75" customHeight="1" x14ac:dyDescent="0.2">
      <c r="A8" s="20" t="s">
        <v>201</v>
      </c>
      <c r="B8" s="5">
        <v>145.30000000000001</v>
      </c>
      <c r="C8" s="21" t="s">
        <v>202</v>
      </c>
      <c r="D8" s="21" t="s">
        <v>203</v>
      </c>
    </row>
    <row r="9" spans="1:4" ht="18.75" customHeight="1" x14ac:dyDescent="0.2">
      <c r="A9" s="20" t="s">
        <v>204</v>
      </c>
      <c r="B9" s="5">
        <v>30</v>
      </c>
      <c r="C9" s="21" t="s">
        <v>205</v>
      </c>
      <c r="D9" s="21" t="s">
        <v>206</v>
      </c>
    </row>
    <row r="10" spans="1:4" ht="18.75" customHeight="1" x14ac:dyDescent="0.2">
      <c r="A10" s="20" t="s">
        <v>207</v>
      </c>
      <c r="B10" s="5">
        <v>19.75</v>
      </c>
      <c r="C10" s="21" t="s">
        <v>205</v>
      </c>
      <c r="D10" s="21" t="s">
        <v>208</v>
      </c>
    </row>
    <row r="11" spans="1:4" ht="18.75" customHeight="1" x14ac:dyDescent="0.2">
      <c r="A11" s="20" t="s">
        <v>209</v>
      </c>
      <c r="B11" s="5">
        <v>36</v>
      </c>
      <c r="C11" s="21" t="s">
        <v>210</v>
      </c>
      <c r="D11" s="21" t="s">
        <v>195</v>
      </c>
    </row>
    <row r="12" spans="1:4" ht="18.75" customHeight="1" x14ac:dyDescent="0.2">
      <c r="A12" s="169" t="s">
        <v>92</v>
      </c>
      <c r="B12" s="170"/>
      <c r="C12" s="170"/>
      <c r="D12" s="171"/>
    </row>
    <row r="13" spans="1:4" ht="18.75" customHeight="1" x14ac:dyDescent="0.2">
      <c r="A13" s="20" t="s">
        <v>211</v>
      </c>
      <c r="B13" s="5" t="s">
        <v>89</v>
      </c>
      <c r="C13" s="21" t="s">
        <v>195</v>
      </c>
      <c r="D13" s="21" t="s">
        <v>212</v>
      </c>
    </row>
    <row r="14" spans="1:4" ht="18.75" customHeight="1" x14ac:dyDescent="0.2">
      <c r="A14" s="20" t="s">
        <v>213</v>
      </c>
      <c r="B14" s="5">
        <v>124</v>
      </c>
      <c r="C14" s="21" t="s">
        <v>210</v>
      </c>
      <c r="D14" s="21" t="s">
        <v>214</v>
      </c>
    </row>
    <row r="15" spans="1:4" ht="18.75" customHeight="1" x14ac:dyDescent="0.2">
      <c r="A15" s="20" t="s">
        <v>215</v>
      </c>
      <c r="B15" s="5">
        <v>1</v>
      </c>
      <c r="C15" s="21" t="s">
        <v>199</v>
      </c>
      <c r="D15" s="21" t="s">
        <v>195</v>
      </c>
    </row>
    <row r="16" spans="1:4" ht="21.25" customHeight="1" x14ac:dyDescent="0.2">
      <c r="A16" s="20" t="s">
        <v>216</v>
      </c>
      <c r="B16" s="5">
        <v>818.4</v>
      </c>
      <c r="C16" s="21" t="s">
        <v>217</v>
      </c>
      <c r="D16" s="21" t="s">
        <v>195</v>
      </c>
    </row>
    <row r="17" spans="1:4" ht="18.75" customHeight="1" x14ac:dyDescent="0.2">
      <c r="A17" s="20" t="s">
        <v>218</v>
      </c>
      <c r="B17" s="5">
        <v>318</v>
      </c>
      <c r="C17" s="21" t="s">
        <v>81</v>
      </c>
      <c r="D17" s="21"/>
    </row>
    <row r="18" spans="1:4" ht="21.25" customHeight="1" x14ac:dyDescent="0.2">
      <c r="A18" s="20" t="s">
        <v>219</v>
      </c>
      <c r="B18" s="5">
        <v>570</v>
      </c>
      <c r="C18" s="21" t="s">
        <v>217</v>
      </c>
      <c r="D18" s="21" t="s">
        <v>195</v>
      </c>
    </row>
    <row r="19" spans="1:4" ht="18.75" customHeight="1" x14ac:dyDescent="0.2">
      <c r="A19" s="20" t="s">
        <v>220</v>
      </c>
      <c r="B19" s="5">
        <v>1.9E-2</v>
      </c>
      <c r="C19" s="21" t="s">
        <v>221</v>
      </c>
      <c r="D19" s="21" t="s">
        <v>195</v>
      </c>
    </row>
    <row r="20" spans="1:4" ht="18.75" customHeight="1" x14ac:dyDescent="0.2">
      <c r="A20" s="169" t="s">
        <v>222</v>
      </c>
      <c r="B20" s="170"/>
      <c r="C20" s="170"/>
      <c r="D20" s="171"/>
    </row>
    <row r="21" spans="1:4" ht="18.75" customHeight="1" x14ac:dyDescent="0.2">
      <c r="A21" s="20" t="s">
        <v>223</v>
      </c>
      <c r="B21" s="5">
        <v>4</v>
      </c>
      <c r="C21" s="21" t="s">
        <v>210</v>
      </c>
      <c r="D21" s="21" t="s">
        <v>195</v>
      </c>
    </row>
    <row r="22" spans="1:4" ht="18.75" customHeight="1" x14ac:dyDescent="0.2">
      <c r="A22" s="20" t="s">
        <v>224</v>
      </c>
      <c r="B22" s="5">
        <v>1</v>
      </c>
      <c r="C22" s="21" t="s">
        <v>210</v>
      </c>
      <c r="D22" s="21" t="s">
        <v>195</v>
      </c>
    </row>
    <row r="23" spans="1:4" ht="18.75" customHeight="1" x14ac:dyDescent="0.2">
      <c r="A23" s="20" t="s">
        <v>225</v>
      </c>
      <c r="B23" s="5">
        <v>124</v>
      </c>
      <c r="C23" s="21" t="s">
        <v>210</v>
      </c>
      <c r="D23" s="21" t="s">
        <v>226</v>
      </c>
    </row>
    <row r="24" spans="1:4" ht="18.75" customHeight="1" x14ac:dyDescent="0.2">
      <c r="A24" s="20" t="s">
        <v>227</v>
      </c>
      <c r="B24" s="5">
        <v>1</v>
      </c>
      <c r="C24" s="21" t="s">
        <v>199</v>
      </c>
      <c r="D24" s="21" t="s">
        <v>195</v>
      </c>
    </row>
    <row r="25" spans="1:4" ht="21.25" customHeight="1" x14ac:dyDescent="0.2">
      <c r="A25" s="20" t="s">
        <v>228</v>
      </c>
      <c r="B25" s="5">
        <v>880.8</v>
      </c>
      <c r="C25" s="21" t="s">
        <v>217</v>
      </c>
      <c r="D25" s="21" t="s">
        <v>229</v>
      </c>
    </row>
    <row r="26" spans="1:4" ht="18.75" customHeight="1" x14ac:dyDescent="0.2">
      <c r="A26" s="20" t="s">
        <v>230</v>
      </c>
      <c r="B26" s="5">
        <v>309</v>
      </c>
      <c r="C26" s="21" t="s">
        <v>81</v>
      </c>
      <c r="D26" s="21" t="s">
        <v>195</v>
      </c>
    </row>
    <row r="27" spans="1:4" ht="24" customHeight="1" x14ac:dyDescent="0.2">
      <c r="A27" s="20" t="s">
        <v>231</v>
      </c>
      <c r="B27" s="5">
        <v>49.2</v>
      </c>
      <c r="C27" s="21" t="s">
        <v>217</v>
      </c>
      <c r="D27" s="21" t="s">
        <v>232</v>
      </c>
    </row>
    <row r="28" spans="1:4" ht="18.75" customHeight="1" x14ac:dyDescent="0.2">
      <c r="A28" s="20" t="s">
        <v>233</v>
      </c>
      <c r="B28" s="5">
        <v>14</v>
      </c>
      <c r="C28" s="21" t="s">
        <v>81</v>
      </c>
      <c r="D28" s="21" t="s">
        <v>195</v>
      </c>
    </row>
    <row r="29" spans="1:4" ht="24" customHeight="1" x14ac:dyDescent="0.2">
      <c r="A29" s="20" t="s">
        <v>234</v>
      </c>
      <c r="B29" s="5">
        <v>14</v>
      </c>
      <c r="C29" s="21" t="s">
        <v>81</v>
      </c>
      <c r="D29" s="21" t="s">
        <v>232</v>
      </c>
    </row>
    <row r="30" spans="1:4" ht="18.75" customHeight="1" x14ac:dyDescent="0.2">
      <c r="A30" s="169" t="s">
        <v>235</v>
      </c>
      <c r="B30" s="170"/>
      <c r="C30" s="170"/>
      <c r="D30" s="171"/>
    </row>
    <row r="31" spans="1:4" ht="18.75" customHeight="1" x14ac:dyDescent="0.15">
      <c r="A31" s="20" t="s">
        <v>236</v>
      </c>
      <c r="B31" s="5">
        <v>5</v>
      </c>
      <c r="C31" s="22"/>
      <c r="D31" s="21" t="s">
        <v>195</v>
      </c>
    </row>
    <row r="32" spans="1:4" ht="18.75" customHeight="1" x14ac:dyDescent="0.15">
      <c r="A32" s="20" t="s">
        <v>237</v>
      </c>
      <c r="B32" s="5">
        <v>2</v>
      </c>
      <c r="C32" s="22"/>
      <c r="D32" s="21" t="s">
        <v>195</v>
      </c>
    </row>
    <row r="33" spans="1:4" ht="18.75" customHeight="1" x14ac:dyDescent="0.15">
      <c r="A33" s="20" t="s">
        <v>238</v>
      </c>
      <c r="B33" s="5">
        <v>9</v>
      </c>
      <c r="C33" s="22"/>
      <c r="D33" s="21" t="s">
        <v>195</v>
      </c>
    </row>
    <row r="34" spans="1:4" ht="18.75" customHeight="1" x14ac:dyDescent="0.15">
      <c r="A34" s="20" t="s">
        <v>239</v>
      </c>
      <c r="B34" s="5">
        <v>213</v>
      </c>
      <c r="C34" s="22"/>
      <c r="D34" s="21" t="s">
        <v>195</v>
      </c>
    </row>
    <row r="35" spans="1:4" s="27" customFormat="1" ht="38.75" customHeight="1" x14ac:dyDescent="0.2">
      <c r="A35" s="23" t="s">
        <v>240</v>
      </c>
      <c r="B35" s="24">
        <v>48</v>
      </c>
      <c r="C35" s="25" t="s">
        <v>195</v>
      </c>
      <c r="D35" s="26" t="s">
        <v>241</v>
      </c>
    </row>
    <row r="36" spans="1:4" s="27" customFormat="1" ht="18.75" customHeight="1" x14ac:dyDescent="0.2">
      <c r="A36" s="23" t="s">
        <v>242</v>
      </c>
      <c r="B36" s="24">
        <v>277</v>
      </c>
      <c r="C36" s="25"/>
      <c r="D36" s="26"/>
    </row>
    <row r="37" spans="1:4" ht="18.75" customHeight="1" x14ac:dyDescent="0.2">
      <c r="A37" s="169" t="s">
        <v>243</v>
      </c>
      <c r="B37" s="170"/>
      <c r="C37" s="170"/>
      <c r="D37" s="171"/>
    </row>
    <row r="38" spans="1:4" ht="18.75" customHeight="1" x14ac:dyDescent="0.2">
      <c r="A38" s="20" t="s">
        <v>244</v>
      </c>
      <c r="B38" s="5">
        <v>54.2</v>
      </c>
      <c r="C38" s="21" t="s">
        <v>81</v>
      </c>
      <c r="D38" s="21" t="s">
        <v>245</v>
      </c>
    </row>
    <row r="39" spans="1:4" ht="18.75" customHeight="1" x14ac:dyDescent="0.2">
      <c r="A39" s="20" t="s">
        <v>246</v>
      </c>
      <c r="B39" s="5">
        <v>56.3</v>
      </c>
      <c r="C39" s="21" t="s">
        <v>81</v>
      </c>
      <c r="D39" s="21" t="s">
        <v>247</v>
      </c>
    </row>
    <row r="40" spans="1:4" ht="18.75" customHeight="1" x14ac:dyDescent="0.2">
      <c r="A40" s="20" t="s">
        <v>248</v>
      </c>
      <c r="B40" s="5">
        <v>39.700000000000003</v>
      </c>
      <c r="C40" s="21" t="s">
        <v>81</v>
      </c>
      <c r="D40" s="21" t="s">
        <v>249</v>
      </c>
    </row>
    <row r="41" spans="1:4" ht="18.75" customHeight="1" x14ac:dyDescent="0.2">
      <c r="A41" s="20" t="s">
        <v>250</v>
      </c>
      <c r="B41" s="5">
        <v>95.3</v>
      </c>
      <c r="C41" s="21" t="s">
        <v>81</v>
      </c>
      <c r="D41" s="21" t="s">
        <v>251</v>
      </c>
    </row>
    <row r="42" spans="1:4" ht="18.75" customHeight="1" x14ac:dyDescent="0.2">
      <c r="A42" s="20" t="s">
        <v>252</v>
      </c>
      <c r="B42" s="5">
        <v>2571.9</v>
      </c>
      <c r="C42" s="21" t="s">
        <v>81</v>
      </c>
      <c r="D42" s="21" t="s">
        <v>253</v>
      </c>
    </row>
    <row r="43" spans="1:4" ht="18.75" customHeight="1" x14ac:dyDescent="0.2">
      <c r="A43" s="20" t="s">
        <v>254</v>
      </c>
      <c r="B43" s="5">
        <v>925.3</v>
      </c>
      <c r="C43" s="21" t="s">
        <v>81</v>
      </c>
      <c r="D43" s="21" t="s">
        <v>255</v>
      </c>
    </row>
    <row r="44" spans="1:4" ht="18.75" customHeight="1" x14ac:dyDescent="0.2">
      <c r="A44" s="169" t="s">
        <v>256</v>
      </c>
      <c r="B44" s="170"/>
      <c r="C44" s="170"/>
      <c r="D44" s="171"/>
    </row>
    <row r="45" spans="1:4" ht="18.75" customHeight="1" x14ac:dyDescent="0.2">
      <c r="A45" s="20" t="s">
        <v>257</v>
      </c>
      <c r="B45" s="5">
        <v>8.3000000000000007</v>
      </c>
      <c r="C45" s="21" t="s">
        <v>221</v>
      </c>
      <c r="D45" s="21" t="s">
        <v>258</v>
      </c>
    </row>
    <row r="46" spans="1:4" ht="18.75" customHeight="1" x14ac:dyDescent="0.2">
      <c r="A46" s="169" t="s">
        <v>259</v>
      </c>
      <c r="B46" s="170"/>
      <c r="C46" s="170"/>
      <c r="D46" s="171"/>
    </row>
    <row r="47" spans="1:4" ht="18.75" customHeight="1" x14ac:dyDescent="0.2">
      <c r="A47" s="20" t="s">
        <v>260</v>
      </c>
      <c r="B47" s="5">
        <v>156</v>
      </c>
      <c r="C47" s="21" t="s">
        <v>81</v>
      </c>
      <c r="D47" s="21" t="s">
        <v>261</v>
      </c>
    </row>
    <row r="48" spans="1:4" ht="18.75" customHeight="1" x14ac:dyDescent="0.2">
      <c r="A48" s="20" t="s">
        <v>262</v>
      </c>
      <c r="B48" s="5">
        <v>4</v>
      </c>
      <c r="C48" s="21" t="s">
        <v>210</v>
      </c>
      <c r="D48" s="21" t="s">
        <v>263</v>
      </c>
    </row>
    <row r="49" spans="1:4" ht="18.75" customHeight="1" x14ac:dyDescent="0.2">
      <c r="A49" s="20" t="s">
        <v>264</v>
      </c>
      <c r="B49" s="5">
        <v>0.86</v>
      </c>
      <c r="C49" s="21" t="s">
        <v>221</v>
      </c>
      <c r="D49" s="21" t="s">
        <v>265</v>
      </c>
    </row>
    <row r="50" spans="1:4" ht="18.75" customHeight="1" x14ac:dyDescent="0.2">
      <c r="A50" s="169" t="s">
        <v>266</v>
      </c>
      <c r="B50" s="170"/>
      <c r="C50" s="170"/>
      <c r="D50" s="171"/>
    </row>
    <row r="51" spans="1:4" ht="18.75" customHeight="1" x14ac:dyDescent="0.2">
      <c r="A51" s="20" t="s">
        <v>267</v>
      </c>
      <c r="B51" s="5">
        <v>1.1100000000000001</v>
      </c>
      <c r="C51" s="21" t="s">
        <v>221</v>
      </c>
      <c r="D51" s="21" t="s">
        <v>261</v>
      </c>
    </row>
    <row r="52" spans="1:4" ht="18.75" customHeight="1" x14ac:dyDescent="0.2">
      <c r="A52" s="20" t="s">
        <v>268</v>
      </c>
      <c r="B52" s="5">
        <v>1.587</v>
      </c>
      <c r="C52" s="21" t="s">
        <v>221</v>
      </c>
      <c r="D52" s="21" t="s">
        <v>261</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269</v>
      </c>
      <c r="B1" s="1" t="s">
        <v>36</v>
      </c>
      <c r="C1" s="1" t="s">
        <v>48</v>
      </c>
      <c r="D1" s="1" t="s">
        <v>87</v>
      </c>
      <c r="E1" s="1" t="s">
        <v>76</v>
      </c>
      <c r="F1" s="1" t="s">
        <v>71</v>
      </c>
      <c r="G1" s="1" t="s">
        <v>64</v>
      </c>
    </row>
    <row r="2" spans="1:13" x14ac:dyDescent="0.2">
      <c r="A2">
        <v>1978</v>
      </c>
      <c r="B2" s="43">
        <v>3.1208999999999998</v>
      </c>
      <c r="C2" s="43">
        <v>4.2535999999999996</v>
      </c>
      <c r="D2" s="43">
        <v>3.8110000000000004</v>
      </c>
      <c r="E2" s="43">
        <v>5.3954000000000004</v>
      </c>
      <c r="F2" s="2">
        <f>(C2+D2+E2)/3</f>
        <v>4.4866666666666672</v>
      </c>
      <c r="G2" s="2">
        <f t="shared" ref="G2:G43" si="0">AVERAGE(C2,E2)</f>
        <v>4.8245000000000005</v>
      </c>
      <c r="J2" s="43"/>
      <c r="K2" s="43"/>
      <c r="L2" s="43"/>
      <c r="M2" s="43"/>
    </row>
    <row r="3" spans="1:13" x14ac:dyDescent="0.2">
      <c r="A3">
        <v>1985</v>
      </c>
      <c r="B3" s="43">
        <v>2.5380099859802741</v>
      </c>
      <c r="C3" s="43">
        <v>3.3122862823061627</v>
      </c>
      <c r="D3" s="43">
        <v>3.1461261021151308</v>
      </c>
      <c r="E3" s="43">
        <v>4.0603968543567213</v>
      </c>
      <c r="F3" s="2">
        <f>(C3+D3+E3)/3</f>
        <v>3.5062697462593384</v>
      </c>
      <c r="G3" s="2">
        <f t="shared" si="0"/>
        <v>3.686341568331442</v>
      </c>
      <c r="J3" s="43"/>
      <c r="K3" s="43"/>
      <c r="L3" s="43"/>
      <c r="M3" s="43"/>
    </row>
    <row r="4" spans="1:13" x14ac:dyDescent="0.2">
      <c r="A4">
        <v>1986</v>
      </c>
      <c r="B4" s="43">
        <v>2.4877975582000915</v>
      </c>
      <c r="C4" s="43">
        <v>3.20862782859894</v>
      </c>
      <c r="D4" s="43">
        <v>3.1524764847449731</v>
      </c>
      <c r="E4" s="43">
        <v>3.957082035561005</v>
      </c>
      <c r="F4" s="2">
        <f t="shared" ref="F4:F43" si="1">(C4+D4+E4)/3</f>
        <v>3.4393954496349726</v>
      </c>
      <c r="G4" s="2">
        <f t="shared" si="0"/>
        <v>3.5828549320799725</v>
      </c>
      <c r="J4" s="43"/>
      <c r="K4" s="43"/>
      <c r="L4" s="43"/>
      <c r="M4" s="43"/>
    </row>
    <row r="5" spans="1:13" x14ac:dyDescent="0.2">
      <c r="A5">
        <v>1987</v>
      </c>
      <c r="B5" s="43">
        <v>2.4278242538033323</v>
      </c>
      <c r="C5" s="43">
        <v>3.111260504201681</v>
      </c>
      <c r="D5" s="43">
        <v>3.0891631494864971</v>
      </c>
      <c r="E5" s="43">
        <v>3.9210211421628185</v>
      </c>
      <c r="F5" s="2">
        <f t="shared" si="1"/>
        <v>3.3738149319503319</v>
      </c>
      <c r="G5" s="2">
        <f t="shared" si="0"/>
        <v>3.5161408231822495</v>
      </c>
      <c r="J5" s="43"/>
      <c r="K5" s="43"/>
      <c r="L5" s="43"/>
      <c r="M5" s="43"/>
    </row>
    <row r="6" spans="1:13" x14ac:dyDescent="0.2">
      <c r="A6">
        <v>1988</v>
      </c>
      <c r="B6" s="43">
        <v>2.3451469298145935</v>
      </c>
      <c r="C6" s="43">
        <v>2.9898250336473748</v>
      </c>
      <c r="D6" s="43">
        <v>2.9257907342027525</v>
      </c>
      <c r="E6" s="43">
        <v>3.7360351953690305</v>
      </c>
      <c r="F6" s="2">
        <f t="shared" si="1"/>
        <v>3.2172169877397194</v>
      </c>
      <c r="G6" s="2">
        <f t="shared" si="0"/>
        <v>3.3629301145082025</v>
      </c>
      <c r="J6" s="43"/>
      <c r="K6" s="43"/>
      <c r="L6" s="43"/>
      <c r="M6" s="43"/>
    </row>
    <row r="7" spans="1:13" x14ac:dyDescent="0.2">
      <c r="A7">
        <v>1989</v>
      </c>
      <c r="B7" s="43">
        <v>2.256518255453893</v>
      </c>
      <c r="C7" s="43">
        <v>2.8925000000000001</v>
      </c>
      <c r="D7" s="43">
        <v>2.8323254237288134</v>
      </c>
      <c r="E7" s="43">
        <v>3.5114258977149078</v>
      </c>
      <c r="F7" s="2">
        <f t="shared" si="1"/>
        <v>3.0787504404812402</v>
      </c>
      <c r="G7" s="2">
        <f t="shared" si="0"/>
        <v>3.2019629488574539</v>
      </c>
      <c r="J7" s="43"/>
      <c r="K7" s="43"/>
      <c r="L7" s="43"/>
      <c r="M7" s="43"/>
    </row>
    <row r="8" spans="1:13" x14ac:dyDescent="0.2">
      <c r="A8">
        <v>1990</v>
      </c>
      <c r="B8" s="43">
        <v>2.1749312244700096</v>
      </c>
      <c r="C8" s="43">
        <v>2.7652780082987554</v>
      </c>
      <c r="D8" s="43">
        <v>2.8289709906646228</v>
      </c>
      <c r="E8" s="43">
        <v>3.4175275615567915</v>
      </c>
      <c r="F8" s="2">
        <f t="shared" si="1"/>
        <v>3.0039255201733899</v>
      </c>
      <c r="G8" s="2">
        <f t="shared" si="0"/>
        <v>3.0914027849277734</v>
      </c>
      <c r="J8" s="43"/>
      <c r="K8" s="43"/>
      <c r="L8" s="43"/>
      <c r="M8" s="43"/>
    </row>
    <row r="9" spans="1:13" x14ac:dyDescent="0.2">
      <c r="A9">
        <v>1991</v>
      </c>
      <c r="B9" s="43">
        <v>2.1039170078457592</v>
      </c>
      <c r="C9" s="43">
        <v>2.6561658031088089</v>
      </c>
      <c r="D9" s="43">
        <v>2.8109545618164198</v>
      </c>
      <c r="E9" s="43">
        <v>3.3052945650086425</v>
      </c>
      <c r="F9" s="2">
        <f t="shared" si="1"/>
        <v>2.9241383099779572</v>
      </c>
      <c r="G9" s="2">
        <f t="shared" si="0"/>
        <v>2.9807301840587259</v>
      </c>
      <c r="J9" s="43"/>
      <c r="K9" s="43"/>
      <c r="L9" s="43"/>
      <c r="M9" s="43"/>
    </row>
    <row r="10" spans="1:13" x14ac:dyDescent="0.2">
      <c r="A10">
        <v>1992</v>
      </c>
      <c r="B10" s="43">
        <v>2.0570924604282124</v>
      </c>
      <c r="C10" s="43">
        <v>2.5740903823870216</v>
      </c>
      <c r="D10" s="43">
        <v>2.7621964220121074</v>
      </c>
      <c r="E10" s="43">
        <v>3.169357706709226</v>
      </c>
      <c r="F10" s="2">
        <f t="shared" si="1"/>
        <v>2.8352148370361179</v>
      </c>
      <c r="G10" s="2">
        <f t="shared" si="0"/>
        <v>2.8717240445481238</v>
      </c>
      <c r="J10" s="43"/>
      <c r="K10" s="43"/>
      <c r="L10" s="43"/>
      <c r="M10" s="43"/>
    </row>
    <row r="11" spans="1:13" x14ac:dyDescent="0.2">
      <c r="A11">
        <v>1993</v>
      </c>
      <c r="B11" s="43">
        <v>2.0094226515033498</v>
      </c>
      <c r="C11" s="43">
        <v>2.4922662677636498</v>
      </c>
      <c r="D11" s="43">
        <v>2.63135365474339</v>
      </c>
      <c r="E11" s="43">
        <v>2.9935068645640079</v>
      </c>
      <c r="F11" s="2">
        <f t="shared" si="1"/>
        <v>2.7057089290236824</v>
      </c>
      <c r="G11" s="2">
        <f t="shared" si="0"/>
        <v>2.7428865661638291</v>
      </c>
      <c r="J11" s="43"/>
      <c r="K11" s="43"/>
      <c r="L11" s="43"/>
      <c r="M11" s="43"/>
    </row>
    <row r="12" spans="1:13" x14ac:dyDescent="0.2">
      <c r="A12">
        <v>1994</v>
      </c>
      <c r="B12" s="43">
        <v>1.9674319707138495</v>
      </c>
      <c r="C12" s="43">
        <v>2.4032888568337532</v>
      </c>
      <c r="D12" s="43">
        <v>2.5281440418378782</v>
      </c>
      <c r="E12" s="43">
        <v>2.9062257345491385</v>
      </c>
      <c r="F12" s="2">
        <f t="shared" si="1"/>
        <v>2.6125528777402565</v>
      </c>
      <c r="G12" s="2">
        <f t="shared" si="0"/>
        <v>2.6547572956914456</v>
      </c>
      <c r="J12" s="43"/>
      <c r="K12" s="43"/>
      <c r="L12" s="43"/>
      <c r="M12" s="43"/>
    </row>
    <row r="13" spans="1:13" x14ac:dyDescent="0.2">
      <c r="A13">
        <v>1995</v>
      </c>
      <c r="B13" s="43">
        <v>1.9269731760698572</v>
      </c>
      <c r="C13" s="43">
        <v>2.3615591778880223</v>
      </c>
      <c r="D13" s="43">
        <v>2.4372516415581296</v>
      </c>
      <c r="E13" s="43">
        <v>2.8565425394190873</v>
      </c>
      <c r="F13" s="2">
        <f t="shared" si="1"/>
        <v>2.5517844529550797</v>
      </c>
      <c r="G13" s="2">
        <f t="shared" si="0"/>
        <v>2.6090508586535548</v>
      </c>
      <c r="J13" s="43"/>
      <c r="K13" s="43"/>
      <c r="L13" s="43"/>
      <c r="M13" s="43"/>
    </row>
    <row r="14" spans="1:13" x14ac:dyDescent="0.2">
      <c r="A14">
        <v>1996</v>
      </c>
      <c r="B14" s="43">
        <v>1.8923762750283335</v>
      </c>
      <c r="C14" s="43">
        <v>2.3036017974421017</v>
      </c>
      <c r="D14" s="43">
        <v>2.4234333731200772</v>
      </c>
      <c r="E14" s="43">
        <v>2.7957551656920079</v>
      </c>
      <c r="F14" s="2">
        <f t="shared" si="1"/>
        <v>2.5075967787513953</v>
      </c>
      <c r="G14" s="2">
        <f t="shared" si="0"/>
        <v>2.5496784815670548</v>
      </c>
      <c r="J14" s="43"/>
      <c r="K14" s="43"/>
      <c r="L14" s="43"/>
      <c r="M14" s="43"/>
    </row>
    <row r="15" spans="1:13" x14ac:dyDescent="0.2">
      <c r="A15">
        <v>1997</v>
      </c>
      <c r="B15" s="43">
        <v>1.8602733048250197</v>
      </c>
      <c r="C15" s="43">
        <v>2.2446345570899293</v>
      </c>
      <c r="D15" s="43">
        <v>2.3817848319549539</v>
      </c>
      <c r="E15" s="43">
        <v>2.7305519276534986</v>
      </c>
      <c r="F15" s="2">
        <f t="shared" si="1"/>
        <v>2.4523237722327944</v>
      </c>
      <c r="G15" s="2">
        <f t="shared" si="0"/>
        <v>2.4875932423717142</v>
      </c>
      <c r="J15" s="43"/>
      <c r="K15" s="43"/>
      <c r="L15" s="43"/>
      <c r="M15" s="43"/>
    </row>
    <row r="16" spans="1:13" x14ac:dyDescent="0.2">
      <c r="A16">
        <v>1998</v>
      </c>
      <c r="B16" s="43">
        <v>1.8396117820303</v>
      </c>
      <c r="C16" s="43">
        <v>2.177170859196341</v>
      </c>
      <c r="D16" s="43">
        <v>2.39343685017093</v>
      </c>
      <c r="E16" s="43">
        <v>2.6719109087145525</v>
      </c>
      <c r="F16" s="2">
        <f t="shared" si="1"/>
        <v>2.4141728726939413</v>
      </c>
      <c r="G16" s="2">
        <f t="shared" si="0"/>
        <v>2.424540883955447</v>
      </c>
      <c r="J16" s="43"/>
      <c r="K16" s="43"/>
      <c r="L16" s="43"/>
      <c r="M16" s="43"/>
    </row>
    <row r="17" spans="1:13" x14ac:dyDescent="0.2">
      <c r="A17">
        <v>1999</v>
      </c>
      <c r="B17" s="43">
        <v>1.8139669369185658</v>
      </c>
      <c r="C17" s="43">
        <v>2.1049652558433358</v>
      </c>
      <c r="D17" s="43">
        <v>2.3703840756523262</v>
      </c>
      <c r="E17" s="43">
        <v>2.6550113847894279</v>
      </c>
      <c r="F17" s="2">
        <f t="shared" si="1"/>
        <v>2.3767869054283635</v>
      </c>
      <c r="G17" s="2">
        <f t="shared" si="0"/>
        <v>2.3799883203163819</v>
      </c>
      <c r="J17" s="43"/>
      <c r="K17" s="43"/>
      <c r="L17" s="43"/>
      <c r="M17" s="43"/>
    </row>
    <row r="18" spans="1:13" x14ac:dyDescent="0.2">
      <c r="A18">
        <v>2000</v>
      </c>
      <c r="B18" s="43">
        <v>1.7737677053824359</v>
      </c>
      <c r="C18" s="43">
        <v>2.0073253012048196</v>
      </c>
      <c r="D18" s="43">
        <v>2.3476354049835226</v>
      </c>
      <c r="E18" s="43">
        <v>2.626914596794709</v>
      </c>
      <c r="F18" s="2">
        <f t="shared" si="1"/>
        <v>2.3272917676610168</v>
      </c>
      <c r="G18" s="2">
        <f t="shared" si="0"/>
        <v>2.317119948999764</v>
      </c>
      <c r="J18" s="43"/>
      <c r="K18" s="43"/>
      <c r="L18" s="43"/>
      <c r="M18" s="43"/>
    </row>
    <row r="19" spans="1:13" x14ac:dyDescent="0.2">
      <c r="A19">
        <v>2001</v>
      </c>
      <c r="B19" s="43">
        <v>1.7346114484363127</v>
      </c>
      <c r="C19" s="43">
        <v>1.917238204833142</v>
      </c>
      <c r="D19" s="43">
        <v>2.3696924369747889</v>
      </c>
      <c r="E19" s="43">
        <v>2.5433233042707251</v>
      </c>
      <c r="F19" s="2">
        <f t="shared" si="1"/>
        <v>2.2767513153595522</v>
      </c>
      <c r="G19" s="2">
        <f t="shared" si="0"/>
        <v>2.2302807545519334</v>
      </c>
      <c r="J19" s="43"/>
      <c r="K19" s="43"/>
      <c r="L19" s="43"/>
      <c r="M19" s="43"/>
    </row>
    <row r="20" spans="1:13" x14ac:dyDescent="0.2">
      <c r="A20">
        <v>2002</v>
      </c>
      <c r="B20" s="43">
        <v>1.7080973994802269</v>
      </c>
      <c r="C20" s="43">
        <v>1.8542904841402346</v>
      </c>
      <c r="D20" s="43">
        <v>2.3498090156819624</v>
      </c>
      <c r="E20" s="43">
        <v>2.5197406861548979</v>
      </c>
      <c r="F20" s="2">
        <f t="shared" si="1"/>
        <v>2.2412800619923652</v>
      </c>
      <c r="G20" s="2">
        <f t="shared" si="0"/>
        <v>2.1870155851475661</v>
      </c>
      <c r="J20" s="43"/>
      <c r="K20" s="43"/>
      <c r="L20" s="43"/>
      <c r="M20" s="43"/>
    </row>
    <row r="21" spans="1:13" x14ac:dyDescent="0.2">
      <c r="A21">
        <v>2003</v>
      </c>
      <c r="B21" s="43">
        <v>1.6751332309520488</v>
      </c>
      <c r="C21" s="43">
        <v>1.79052122514777</v>
      </c>
      <c r="D21" s="43">
        <v>2.3002917124568065</v>
      </c>
      <c r="E21" s="43">
        <v>2.4774246149417012</v>
      </c>
      <c r="F21" s="2">
        <f t="shared" si="1"/>
        <v>2.189412517515426</v>
      </c>
      <c r="G21" s="2">
        <f t="shared" si="0"/>
        <v>2.1339729200447355</v>
      </c>
      <c r="J21" s="43"/>
      <c r="K21" s="43"/>
      <c r="L21" s="43"/>
      <c r="M21" s="43"/>
    </row>
    <row r="22" spans="1:13" x14ac:dyDescent="0.2">
      <c r="A22">
        <v>2004</v>
      </c>
      <c r="B22" s="43">
        <v>1.6312740609586438</v>
      </c>
      <c r="C22" s="43">
        <v>1.7391231732776615</v>
      </c>
      <c r="D22" s="43">
        <v>2.095631398049234</v>
      </c>
      <c r="E22" s="43">
        <v>2.3858419851208348</v>
      </c>
      <c r="F22" s="2">
        <f t="shared" si="1"/>
        <v>2.0735321854825766</v>
      </c>
      <c r="G22" s="2">
        <f t="shared" si="0"/>
        <v>2.0624825791992483</v>
      </c>
      <c r="J22" s="43"/>
      <c r="K22" s="43"/>
      <c r="L22" s="43"/>
      <c r="M22" s="43"/>
    </row>
    <row r="23" spans="1:13" x14ac:dyDescent="0.2">
      <c r="A23">
        <v>2005</v>
      </c>
      <c r="B23" s="43">
        <v>1.5816414831164449</v>
      </c>
      <c r="C23" s="43">
        <v>1.6833341752967916</v>
      </c>
      <c r="D23" s="43">
        <v>1.9957266230893989</v>
      </c>
      <c r="E23" s="43">
        <v>2.2928196811581327</v>
      </c>
      <c r="F23" s="2">
        <f t="shared" si="1"/>
        <v>1.9906268265147744</v>
      </c>
      <c r="G23" s="2">
        <f t="shared" si="0"/>
        <v>1.9880769282274622</v>
      </c>
      <c r="J23" s="43"/>
      <c r="K23" s="43"/>
      <c r="L23" s="43"/>
      <c r="M23" s="43"/>
    </row>
    <row r="24" spans="1:13" x14ac:dyDescent="0.2">
      <c r="A24">
        <v>2006</v>
      </c>
      <c r="B24" s="43">
        <v>1.5342735134234977</v>
      </c>
      <c r="C24" s="43">
        <v>1.6286217008797654</v>
      </c>
      <c r="D24" s="43">
        <v>1.8774353691802672</v>
      </c>
      <c r="E24" s="43">
        <v>2.1163260400868955</v>
      </c>
      <c r="F24" s="2">
        <f t="shared" si="1"/>
        <v>1.8741277033823094</v>
      </c>
      <c r="G24" s="2">
        <f t="shared" si="0"/>
        <v>1.8724738704833306</v>
      </c>
      <c r="J24" s="43"/>
      <c r="K24" s="43"/>
      <c r="L24" s="43"/>
      <c r="M24" s="43"/>
    </row>
    <row r="25" spans="1:13" x14ac:dyDescent="0.2">
      <c r="A25">
        <v>2007</v>
      </c>
      <c r="B25" s="43">
        <v>1.4938223763832508</v>
      </c>
      <c r="C25" s="43">
        <v>1.5673377234242709</v>
      </c>
      <c r="D25" s="43">
        <v>1.8473704381056368</v>
      </c>
      <c r="E25" s="43">
        <v>1.9426595831138538</v>
      </c>
      <c r="F25" s="2">
        <f t="shared" si="1"/>
        <v>1.7857892482145872</v>
      </c>
      <c r="G25" s="2">
        <f t="shared" si="0"/>
        <v>1.7549986532690625</v>
      </c>
      <c r="J25" s="43"/>
      <c r="K25" s="43"/>
      <c r="L25" s="43"/>
      <c r="M25" s="43"/>
    </row>
    <row r="26" spans="1:13" x14ac:dyDescent="0.2">
      <c r="A26">
        <v>2008</v>
      </c>
      <c r="B26" s="43">
        <v>1.4654662065243631</v>
      </c>
      <c r="C26" s="43">
        <v>1.5132425068119892</v>
      </c>
      <c r="D26" s="43">
        <v>1.7226084757985836</v>
      </c>
      <c r="E26" s="43">
        <v>1.8946134742404235</v>
      </c>
      <c r="F26" s="2">
        <f t="shared" si="1"/>
        <v>1.7101548189503319</v>
      </c>
      <c r="G26" s="2">
        <f t="shared" si="0"/>
        <v>1.7039279905262064</v>
      </c>
      <c r="J26" s="43"/>
      <c r="K26" s="43"/>
      <c r="L26" s="43"/>
      <c r="M26" s="43"/>
    </row>
    <row r="27" spans="1:13" x14ac:dyDescent="0.2">
      <c r="A27">
        <v>2009</v>
      </c>
      <c r="B27" s="43">
        <v>1.4565465062771543</v>
      </c>
      <c r="C27" s="43">
        <v>1.4969272237196765</v>
      </c>
      <c r="D27" s="43">
        <v>1.7887780097793047</v>
      </c>
      <c r="E27" s="43">
        <v>1.8701827875977977</v>
      </c>
      <c r="F27" s="2">
        <f t="shared" si="1"/>
        <v>1.7186293403655928</v>
      </c>
      <c r="G27" s="2">
        <f t="shared" si="0"/>
        <v>1.6835550056587372</v>
      </c>
      <c r="J27" s="43"/>
      <c r="K27" s="43"/>
      <c r="L27" s="43"/>
      <c r="M27" s="43"/>
    </row>
    <row r="28" spans="1:13" x14ac:dyDescent="0.2">
      <c r="A28">
        <v>2010</v>
      </c>
      <c r="B28" s="43">
        <v>1.4391051953340734</v>
      </c>
      <c r="C28" s="43">
        <v>1.4809600000000001</v>
      </c>
      <c r="D28" s="43">
        <v>1.7398050385604107</v>
      </c>
      <c r="E28" s="43">
        <v>1.8817700415482179</v>
      </c>
      <c r="F28" s="2">
        <f t="shared" si="1"/>
        <v>1.7008450267028763</v>
      </c>
      <c r="G28" s="2">
        <f t="shared" si="0"/>
        <v>1.6813650207741091</v>
      </c>
      <c r="J28" s="43"/>
      <c r="K28" s="43"/>
      <c r="L28" s="43"/>
      <c r="M28" s="43"/>
    </row>
    <row r="29" spans="1:13" x14ac:dyDescent="0.2">
      <c r="A29">
        <v>2011</v>
      </c>
      <c r="B29" s="43">
        <v>1.410005547766819</v>
      </c>
      <c r="C29" s="43">
        <v>1.46532981530343</v>
      </c>
      <c r="D29" s="43">
        <v>1.682496357986327</v>
      </c>
      <c r="E29" s="43">
        <v>1.804179411559159</v>
      </c>
      <c r="F29" s="2">
        <f t="shared" si="1"/>
        <v>1.6506685282829718</v>
      </c>
      <c r="G29" s="2">
        <f t="shared" si="0"/>
        <v>1.6347546134312945</v>
      </c>
      <c r="J29" s="43"/>
      <c r="K29" s="43"/>
      <c r="L29" s="43"/>
      <c r="M29" s="43"/>
    </row>
    <row r="30" spans="1:13" x14ac:dyDescent="0.2">
      <c r="A30">
        <v>2012</v>
      </c>
      <c r="B30" s="43">
        <v>1.3842025680512111</v>
      </c>
      <c r="C30" s="43">
        <v>1.4424935064935065</v>
      </c>
      <c r="D30" s="43">
        <v>1.6440766670715414</v>
      </c>
      <c r="E30" s="43">
        <v>1.6867141354415081</v>
      </c>
      <c r="F30" s="2">
        <f t="shared" si="1"/>
        <v>1.591094769668852</v>
      </c>
      <c r="G30" s="2">
        <f t="shared" si="0"/>
        <v>1.5646038209675073</v>
      </c>
      <c r="J30" s="43"/>
      <c r="K30" s="43"/>
      <c r="L30" s="43"/>
      <c r="M30" s="43"/>
    </row>
    <row r="31" spans="1:13" x14ac:dyDescent="0.2">
      <c r="A31">
        <v>2013</v>
      </c>
      <c r="B31" s="43">
        <v>1.3610697788529236</v>
      </c>
      <c r="C31" s="43">
        <v>1.413129770992366</v>
      </c>
      <c r="D31" s="43">
        <v>1.6169732648429098</v>
      </c>
      <c r="E31" s="43">
        <v>1.6270248440158814</v>
      </c>
      <c r="F31" s="2">
        <f t="shared" si="1"/>
        <v>1.5523759599503857</v>
      </c>
      <c r="G31" s="2">
        <f t="shared" si="0"/>
        <v>1.5200773075041236</v>
      </c>
      <c r="J31" s="43"/>
      <c r="K31" s="43"/>
      <c r="L31" s="43"/>
      <c r="M31" s="43"/>
    </row>
    <row r="32" spans="1:13" x14ac:dyDescent="0.2">
      <c r="A32">
        <v>2014</v>
      </c>
      <c r="B32" s="43">
        <v>1.3377880342057635</v>
      </c>
      <c r="C32" s="43">
        <v>1.3930434782608698</v>
      </c>
      <c r="D32" s="43">
        <v>1.5779532758218697</v>
      </c>
      <c r="E32" s="43">
        <v>1.5664099993932403</v>
      </c>
      <c r="F32" s="2">
        <f t="shared" si="1"/>
        <v>1.5124689178253268</v>
      </c>
      <c r="G32" s="2">
        <f t="shared" si="0"/>
        <v>1.479726738827055</v>
      </c>
      <c r="J32" s="43"/>
      <c r="K32" s="43"/>
      <c r="L32" s="43"/>
      <c r="M32" s="43"/>
    </row>
    <row r="33" spans="1:13" x14ac:dyDescent="0.2">
      <c r="A33">
        <v>2015</v>
      </c>
      <c r="B33" s="43">
        <v>1.3254431765050427</v>
      </c>
      <c r="C33" s="43">
        <v>1.3645208845208845</v>
      </c>
      <c r="D33" s="43">
        <v>1.5846653502439025</v>
      </c>
      <c r="E33" s="43">
        <v>1.5228434272231235</v>
      </c>
      <c r="F33" s="2">
        <f t="shared" si="1"/>
        <v>1.4906765539959703</v>
      </c>
      <c r="G33" s="2">
        <f t="shared" si="0"/>
        <v>1.4436821558720041</v>
      </c>
      <c r="J33" s="43"/>
      <c r="K33" s="43"/>
      <c r="L33" s="43"/>
      <c r="M33" s="43"/>
    </row>
    <row r="34" spans="1:13" x14ac:dyDescent="0.2">
      <c r="A34">
        <v>2016</v>
      </c>
      <c r="B34" s="43">
        <v>1.3129865046787002</v>
      </c>
      <c r="C34" s="43">
        <v>1.3360705693664796</v>
      </c>
      <c r="D34" s="43">
        <v>1.5820722951649981</v>
      </c>
      <c r="E34" s="43">
        <v>1.5002326359832638</v>
      </c>
      <c r="F34" s="2">
        <f t="shared" si="1"/>
        <v>1.4727918335049139</v>
      </c>
      <c r="G34" s="2">
        <f t="shared" si="0"/>
        <v>1.4181516026748717</v>
      </c>
      <c r="J34" s="43"/>
      <c r="K34" s="43"/>
      <c r="L34" s="43"/>
      <c r="M34" s="43"/>
    </row>
    <row r="35" spans="1:13" x14ac:dyDescent="0.2">
      <c r="A35">
        <v>2017</v>
      </c>
      <c r="B35" s="43">
        <v>1.2899128956447818</v>
      </c>
      <c r="C35" s="43">
        <v>1.3036619718309856</v>
      </c>
      <c r="D35" s="43">
        <v>1.5267530022182951</v>
      </c>
      <c r="E35" s="43">
        <v>1.4653613282247768</v>
      </c>
      <c r="F35" s="2">
        <f t="shared" si="1"/>
        <v>1.4319254340913525</v>
      </c>
      <c r="G35" s="2">
        <f t="shared" si="0"/>
        <v>1.3845116500278811</v>
      </c>
      <c r="J35" s="43"/>
      <c r="K35" s="43"/>
      <c r="L35" s="43"/>
      <c r="M35" s="43"/>
    </row>
    <row r="36" spans="1:13" x14ac:dyDescent="0.2">
      <c r="A36">
        <v>2018</v>
      </c>
      <c r="B36" s="43">
        <v>1.2609998753516423</v>
      </c>
      <c r="C36" s="43">
        <v>1.2689108910891089</v>
      </c>
      <c r="D36" s="43">
        <v>1.4353852810180274</v>
      </c>
      <c r="E36" s="43">
        <v>1.4135685922356678</v>
      </c>
      <c r="F36" s="2">
        <f t="shared" si="1"/>
        <v>1.372621588114268</v>
      </c>
      <c r="G36" s="2">
        <f t="shared" si="0"/>
        <v>1.3412397416623882</v>
      </c>
      <c r="J36" s="43"/>
      <c r="K36" s="43"/>
      <c r="L36" s="43"/>
      <c r="M36" s="43"/>
    </row>
    <row r="37" spans="1:13" x14ac:dyDescent="0.2">
      <c r="A37">
        <v>2019</v>
      </c>
      <c r="B37" s="43">
        <v>1.2401941276155908</v>
      </c>
      <c r="C37" s="43">
        <v>1.2304874446085676</v>
      </c>
      <c r="D37" s="43">
        <v>1.4355375119312761</v>
      </c>
      <c r="E37" s="43">
        <v>1.3779926445861912</v>
      </c>
      <c r="F37" s="2">
        <f t="shared" si="1"/>
        <v>1.3480058670420119</v>
      </c>
      <c r="G37" s="2">
        <f t="shared" si="0"/>
        <v>1.3042400445973794</v>
      </c>
      <c r="J37" s="43"/>
      <c r="K37" s="43"/>
      <c r="L37" s="43"/>
      <c r="M37" s="43"/>
    </row>
    <row r="38" spans="1:13" x14ac:dyDescent="0.2">
      <c r="A38">
        <v>2020</v>
      </c>
      <c r="B38" s="43">
        <v>1.224159975703738</v>
      </c>
      <c r="C38" s="43">
        <v>1.1968965517241377</v>
      </c>
      <c r="D38" s="43">
        <v>1.4147811859800681</v>
      </c>
      <c r="E38" s="43">
        <v>1.3590946670176363</v>
      </c>
      <c r="F38" s="2">
        <f t="shared" si="1"/>
        <v>1.3235908015739473</v>
      </c>
      <c r="G38" s="2">
        <f t="shared" si="0"/>
        <v>1.2779956093708869</v>
      </c>
      <c r="J38" s="43"/>
      <c r="K38" s="43"/>
      <c r="L38" s="43"/>
      <c r="M38" s="43"/>
    </row>
    <row r="39" spans="1:13" x14ac:dyDescent="0.2">
      <c r="A39">
        <v>2021</v>
      </c>
      <c r="B39" s="43">
        <v>1.1706180273675468</v>
      </c>
      <c r="C39" s="43">
        <v>1.1618410041841003</v>
      </c>
      <c r="D39" s="43">
        <v>1.1152862890567385</v>
      </c>
      <c r="E39" s="43">
        <v>1.2994960627780956</v>
      </c>
      <c r="F39" s="2">
        <f t="shared" si="1"/>
        <v>1.1922077853396449</v>
      </c>
      <c r="G39" s="2">
        <f t="shared" si="0"/>
        <v>1.2306685334810981</v>
      </c>
      <c r="J39" s="43"/>
      <c r="K39" s="43"/>
      <c r="L39" s="43"/>
      <c r="M39" s="43"/>
    </row>
    <row r="40" spans="1:13" x14ac:dyDescent="0.2">
      <c r="A40">
        <v>2022</v>
      </c>
      <c r="B40" s="43">
        <v>1.0934138655239569</v>
      </c>
      <c r="C40" s="43">
        <v>1.1166756032171583</v>
      </c>
      <c r="D40" s="43">
        <v>0.99080274028956195</v>
      </c>
      <c r="E40" s="43">
        <v>1.1498296122510112</v>
      </c>
      <c r="F40" s="2">
        <f t="shared" si="1"/>
        <v>1.0857693185859105</v>
      </c>
      <c r="G40" s="2">
        <f t="shared" si="0"/>
        <v>1.1332526077340848</v>
      </c>
      <c r="J40" s="43"/>
      <c r="K40" s="43"/>
      <c r="L40" s="43"/>
      <c r="M40" s="43"/>
    </row>
    <row r="41" spans="1:13" x14ac:dyDescent="0.2">
      <c r="A41">
        <v>2023</v>
      </c>
      <c r="B41" s="43">
        <v>1.0549612726454833</v>
      </c>
      <c r="C41" s="43">
        <v>1.0707455012853477</v>
      </c>
      <c r="D41" s="43">
        <v>1.0199168133484435</v>
      </c>
      <c r="E41" s="43">
        <v>1.0652117467060798</v>
      </c>
      <c r="F41" s="2">
        <f t="shared" si="1"/>
        <v>1.0519580204466237</v>
      </c>
      <c r="G41" s="2">
        <f t="shared" si="0"/>
        <v>1.0679786239957139</v>
      </c>
      <c r="J41" s="43"/>
      <c r="K41" s="43"/>
      <c r="L41" s="43"/>
      <c r="M41" s="43"/>
    </row>
    <row r="42" spans="1:13" x14ac:dyDescent="0.2">
      <c r="A42">
        <v>2024</v>
      </c>
      <c r="B42" s="43">
        <v>1.03</v>
      </c>
      <c r="C42" s="43">
        <v>1.04</v>
      </c>
      <c r="D42" s="43">
        <v>1.03</v>
      </c>
      <c r="E42" s="43">
        <v>1.06</v>
      </c>
      <c r="F42" s="2">
        <f t="shared" si="1"/>
        <v>1.0433333333333334</v>
      </c>
      <c r="G42" s="2">
        <f t="shared" si="0"/>
        <v>1.05</v>
      </c>
      <c r="J42" s="43"/>
      <c r="K42" s="43"/>
      <c r="L42" s="43"/>
      <c r="M42" s="43"/>
    </row>
    <row r="43" spans="1:13" x14ac:dyDescent="0.2">
      <c r="A43">
        <v>2025</v>
      </c>
      <c r="B43" s="43">
        <v>1</v>
      </c>
      <c r="C43" s="43">
        <v>1</v>
      </c>
      <c r="D43" s="43">
        <v>1</v>
      </c>
      <c r="E43" s="43">
        <v>1</v>
      </c>
      <c r="F43" s="2">
        <f t="shared" si="1"/>
        <v>1</v>
      </c>
      <c r="G43" s="2">
        <f t="shared" si="0"/>
        <v>1</v>
      </c>
      <c r="J43" s="43"/>
      <c r="K43" s="43"/>
      <c r="L43" s="43"/>
      <c r="M43" s="43"/>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3" customFormat="1" x14ac:dyDescent="0.2">
      <c r="A1" s="33" t="s">
        <v>270</v>
      </c>
      <c r="B1" s="33" t="s">
        <v>190</v>
      </c>
      <c r="C1" s="33" t="s">
        <v>271</v>
      </c>
      <c r="D1" s="33" t="s">
        <v>272</v>
      </c>
      <c r="E1" s="33" t="s">
        <v>19</v>
      </c>
    </row>
    <row r="2" spans="1:5" x14ac:dyDescent="0.2">
      <c r="A2" t="s">
        <v>273</v>
      </c>
      <c r="B2" s="2">
        <v>6.5389932052543287E-2</v>
      </c>
    </row>
    <row r="3" spans="1:5" x14ac:dyDescent="0.2">
      <c r="A3" t="s">
        <v>274</v>
      </c>
      <c r="B3">
        <v>5</v>
      </c>
    </row>
    <row r="4" spans="1:5" x14ac:dyDescent="0.2">
      <c r="A4" t="s">
        <v>275</v>
      </c>
      <c r="B4">
        <v>5</v>
      </c>
    </row>
    <row r="5" spans="1:5" x14ac:dyDescent="0.2">
      <c r="A5" t="s">
        <v>276</v>
      </c>
      <c r="B5">
        <v>5</v>
      </c>
    </row>
    <row r="6" spans="1:5" x14ac:dyDescent="0.2">
      <c r="A6" t="s">
        <v>277</v>
      </c>
      <c r="B6">
        <v>1800</v>
      </c>
    </row>
    <row r="7" spans="1:5" x14ac:dyDescent="0.2">
      <c r="A7" t="s">
        <v>278</v>
      </c>
      <c r="B7">
        <v>10</v>
      </c>
    </row>
    <row r="8" spans="1:5" x14ac:dyDescent="0.2">
      <c r="A8" t="s">
        <v>279</v>
      </c>
      <c r="B8">
        <v>0.03</v>
      </c>
    </row>
    <row r="9" spans="1:5" ht="15" customHeight="1" x14ac:dyDescent="0.2">
      <c r="A9" t="s">
        <v>68</v>
      </c>
      <c r="B9">
        <v>0.08</v>
      </c>
      <c r="C9" s="160" t="s">
        <v>280</v>
      </c>
      <c r="D9" s="164" t="s">
        <v>281</v>
      </c>
      <c r="E9" s="162" t="s">
        <v>282</v>
      </c>
    </row>
    <row r="10" spans="1:5" ht="20" customHeight="1" x14ac:dyDescent="0.2">
      <c r="A10" s="3" t="s">
        <v>39</v>
      </c>
      <c r="B10">
        <v>0</v>
      </c>
      <c r="D10" s="163"/>
      <c r="E10" s="163"/>
    </row>
    <row r="11" spans="1:5" ht="128" x14ac:dyDescent="0.2">
      <c r="A11" s="3" t="s">
        <v>52</v>
      </c>
      <c r="B11">
        <v>0.2</v>
      </c>
      <c r="C11" s="159" t="s">
        <v>509</v>
      </c>
      <c r="D11" s="163"/>
      <c r="E11" s="163"/>
    </row>
    <row r="12" spans="1:5" ht="16" x14ac:dyDescent="0.2">
      <c r="A12" s="3" t="s">
        <v>82</v>
      </c>
      <c r="B12">
        <v>0.18443169820109739</v>
      </c>
      <c r="C12" s="75" t="s">
        <v>280</v>
      </c>
      <c r="D12" s="163"/>
      <c r="E12" s="163"/>
    </row>
    <row r="13" spans="1:5" ht="16" x14ac:dyDescent="0.2">
      <c r="A13" s="3" t="s">
        <v>84</v>
      </c>
      <c r="B13">
        <v>0.24138000000000001</v>
      </c>
      <c r="C13" s="75" t="s">
        <v>280</v>
      </c>
      <c r="D13" s="163"/>
      <c r="E13" s="163"/>
    </row>
    <row r="14" spans="1:5" ht="16" x14ac:dyDescent="0.2">
      <c r="A14" s="3" t="s">
        <v>77</v>
      </c>
      <c r="B14" s="43">
        <v>0.22962848022115531</v>
      </c>
      <c r="C14" s="75" t="s">
        <v>280</v>
      </c>
      <c r="D14" s="163"/>
      <c r="E14" s="163"/>
    </row>
    <row r="15" spans="1:5" ht="16" x14ac:dyDescent="0.2">
      <c r="A15" s="3" t="s">
        <v>91</v>
      </c>
      <c r="B15">
        <v>0.41505377678599259</v>
      </c>
      <c r="C15" s="161" t="s">
        <v>280</v>
      </c>
      <c r="D15" s="163"/>
      <c r="E15" s="163"/>
    </row>
    <row r="16" spans="1:5" ht="16" x14ac:dyDescent="0.2">
      <c r="A16" s="3" t="s">
        <v>90</v>
      </c>
      <c r="B16">
        <v>0.39914905811401719</v>
      </c>
      <c r="C16" s="161" t="s">
        <v>280</v>
      </c>
      <c r="D16" s="163"/>
      <c r="E16" s="163"/>
    </row>
    <row r="17" spans="1:5" x14ac:dyDescent="0.2">
      <c r="A17" s="3" t="s">
        <v>112</v>
      </c>
      <c r="B17">
        <v>0.05</v>
      </c>
      <c r="D17" t="s">
        <v>283</v>
      </c>
      <c r="E17" t="s">
        <v>284</v>
      </c>
    </row>
    <row r="18" spans="1:5" ht="20" customHeight="1" x14ac:dyDescent="0.2">
      <c r="A18" t="s">
        <v>481</v>
      </c>
      <c r="B18" s="43">
        <v>0.5</v>
      </c>
      <c r="C18" s="44"/>
      <c r="D18" s="44"/>
      <c r="E18" s="44" t="s">
        <v>482</v>
      </c>
    </row>
    <row r="19" spans="1:5" ht="20" customHeight="1" x14ac:dyDescent="0.2">
      <c r="A19" t="s">
        <v>483</v>
      </c>
      <c r="B19" s="43">
        <v>0.02</v>
      </c>
      <c r="C19" s="44"/>
      <c r="D19" s="44"/>
      <c r="E19" s="44" t="s">
        <v>484</v>
      </c>
    </row>
    <row r="20" spans="1:5" ht="20" customHeight="1" x14ac:dyDescent="0.2">
      <c r="A20" t="s">
        <v>485</v>
      </c>
      <c r="B20" s="43">
        <v>7.4999999999999997E-2</v>
      </c>
      <c r="C20" s="44"/>
      <c r="D20" s="44"/>
      <c r="E20" s="44" t="s">
        <v>486</v>
      </c>
    </row>
    <row r="21" spans="1:5" ht="20" customHeight="1" x14ac:dyDescent="0.2">
      <c r="A21" t="s">
        <v>487</v>
      </c>
      <c r="B21" s="43">
        <v>5.0000000000000001E-3</v>
      </c>
      <c r="C21" s="44"/>
      <c r="D21" s="44"/>
      <c r="E21" s="44" t="s">
        <v>488</v>
      </c>
    </row>
    <row r="22" spans="1:5" ht="20" customHeight="1" x14ac:dyDescent="0.2">
      <c r="A22" t="s">
        <v>489</v>
      </c>
      <c r="B22" s="43">
        <v>0.05</v>
      </c>
      <c r="C22" s="44"/>
      <c r="D22" s="44"/>
      <c r="E22" s="44" t="s">
        <v>490</v>
      </c>
    </row>
    <row r="23" spans="1:5" ht="35.25" customHeight="1" x14ac:dyDescent="0.2">
      <c r="A23" t="s">
        <v>491</v>
      </c>
      <c r="B23" s="43">
        <v>0.01</v>
      </c>
      <c r="C23" s="44"/>
      <c r="D23" s="44"/>
      <c r="E23" s="44" t="s">
        <v>492</v>
      </c>
    </row>
    <row r="24" spans="1:5" ht="20" customHeight="1" x14ac:dyDescent="0.2">
      <c r="A24" t="s">
        <v>493</v>
      </c>
      <c r="B24" s="43">
        <v>0.05</v>
      </c>
      <c r="C24" s="44"/>
      <c r="D24" s="44"/>
      <c r="E24" s="44" t="s">
        <v>494</v>
      </c>
    </row>
    <row r="25" spans="1:5" ht="20" customHeight="1" x14ac:dyDescent="0.2">
      <c r="A25" t="s">
        <v>495</v>
      </c>
      <c r="B25" s="43">
        <v>5.0000000000000001E-3</v>
      </c>
      <c r="C25" s="44"/>
      <c r="D25" s="44"/>
      <c r="E25" s="44" t="s">
        <v>496</v>
      </c>
    </row>
    <row r="26" spans="1:5" x14ac:dyDescent="0.2">
      <c r="A26" t="s">
        <v>497</v>
      </c>
      <c r="B26">
        <v>0.1</v>
      </c>
      <c r="E26" t="s">
        <v>498</v>
      </c>
    </row>
    <row r="27" spans="1:5" x14ac:dyDescent="0.2">
      <c r="A27" t="s">
        <v>499</v>
      </c>
      <c r="B27">
        <v>0.5</v>
      </c>
      <c r="E27" t="s">
        <v>500</v>
      </c>
    </row>
    <row r="28" spans="1:5" x14ac:dyDescent="0.2">
      <c r="A28" t="s">
        <v>501</v>
      </c>
      <c r="B28">
        <v>0.02</v>
      </c>
      <c r="E28" t="s">
        <v>484</v>
      </c>
    </row>
    <row r="29" spans="1:5" x14ac:dyDescent="0.2">
      <c r="A29" t="s">
        <v>502</v>
      </c>
      <c r="B29">
        <v>7.4999999999999997E-2</v>
      </c>
      <c r="E29" t="s">
        <v>486</v>
      </c>
    </row>
    <row r="30" spans="1:5" x14ac:dyDescent="0.2">
      <c r="A30" t="s">
        <v>503</v>
      </c>
      <c r="B30">
        <v>5.0000000000000001E-3</v>
      </c>
      <c r="E30" t="s">
        <v>488</v>
      </c>
    </row>
    <row r="31" spans="1:5" x14ac:dyDescent="0.2">
      <c r="A31" t="s">
        <v>504</v>
      </c>
      <c r="B31">
        <v>0.05</v>
      </c>
      <c r="E31" t="s">
        <v>490</v>
      </c>
    </row>
    <row r="32" spans="1:5" x14ac:dyDescent="0.2">
      <c r="A32" t="s">
        <v>505</v>
      </c>
      <c r="B32">
        <v>0.01</v>
      </c>
      <c r="E32" t="s">
        <v>492</v>
      </c>
    </row>
    <row r="33" spans="1:5" x14ac:dyDescent="0.2">
      <c r="A33" t="s">
        <v>506</v>
      </c>
      <c r="B33">
        <v>0.05</v>
      </c>
      <c r="E33" t="s">
        <v>494</v>
      </c>
    </row>
    <row r="34" spans="1:5" x14ac:dyDescent="0.2">
      <c r="A34" t="s">
        <v>507</v>
      </c>
      <c r="B34">
        <v>5.0000000000000001E-3</v>
      </c>
      <c r="E34" t="s">
        <v>496</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51" customWidth="1"/>
    <col min="8" max="9" width="13.6640625" style="4" customWidth="1"/>
    <col min="10" max="11" width="13.6640625" style="34"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4" customWidth="1"/>
    <col min="26" max="26" width="12.5" style="3" customWidth="1"/>
    <col min="27" max="28" width="16.6640625" style="34" customWidth="1"/>
    <col min="29" max="29" width="12.5" style="3" customWidth="1"/>
    <col min="30" max="32" width="6.6640625" style="34" customWidth="1"/>
    <col min="33" max="33" width="16.1640625" style="3" customWidth="1"/>
    <col min="34" max="16384" width="10.6640625" style="3"/>
  </cols>
  <sheetData>
    <row r="1" spans="1:33" s="42" customFormat="1" ht="43" x14ac:dyDescent="0.2">
      <c r="A1" s="45" t="s">
        <v>0</v>
      </c>
      <c r="B1" s="46" t="s">
        <v>1</v>
      </c>
      <c r="C1" s="45" t="s">
        <v>2</v>
      </c>
      <c r="D1" s="46" t="s">
        <v>3</v>
      </c>
      <c r="E1" s="46" t="s">
        <v>4</v>
      </c>
      <c r="F1" s="46" t="s">
        <v>285</v>
      </c>
      <c r="G1" s="47" t="s">
        <v>286</v>
      </c>
      <c r="H1" s="46" t="s">
        <v>5</v>
      </c>
      <c r="I1" s="46" t="s">
        <v>6</v>
      </c>
      <c r="J1" s="45" t="s">
        <v>7</v>
      </c>
      <c r="K1" s="45" t="s">
        <v>8</v>
      </c>
      <c r="L1" s="45" t="s">
        <v>9</v>
      </c>
      <c r="M1" s="48" t="s">
        <v>10</v>
      </c>
      <c r="N1" s="45" t="s">
        <v>11</v>
      </c>
      <c r="O1" s="45" t="s">
        <v>12</v>
      </c>
      <c r="P1" s="45" t="s">
        <v>13</v>
      </c>
      <c r="Q1" s="45" t="s">
        <v>14</v>
      </c>
      <c r="R1" s="45" t="s">
        <v>15</v>
      </c>
      <c r="S1" s="45" t="s">
        <v>16</v>
      </c>
      <c r="T1" s="45" t="s">
        <v>17</v>
      </c>
      <c r="U1" s="45" t="s">
        <v>18</v>
      </c>
      <c r="V1" s="45" t="s">
        <v>19</v>
      </c>
      <c r="W1" s="49" t="s">
        <v>20</v>
      </c>
      <c r="X1" s="49" t="s">
        <v>21</v>
      </c>
      <c r="Y1" s="49" t="s">
        <v>22</v>
      </c>
      <c r="Z1" s="49" t="s">
        <v>23</v>
      </c>
      <c r="AA1" s="76" t="s">
        <v>24</v>
      </c>
      <c r="AB1" s="76" t="s">
        <v>25</v>
      </c>
      <c r="AC1" s="49" t="s">
        <v>26</v>
      </c>
      <c r="AD1" s="49" t="s">
        <v>27</v>
      </c>
      <c r="AE1" s="49" t="s">
        <v>28</v>
      </c>
      <c r="AF1" s="49" t="s">
        <v>29</v>
      </c>
      <c r="AG1" s="49" t="s">
        <v>30</v>
      </c>
    </row>
    <row r="2" spans="1:33" s="7" customFormat="1" ht="15" x14ac:dyDescent="0.2">
      <c r="A2" s="48">
        <v>10</v>
      </c>
      <c r="B2" s="50">
        <f>IF(ISNUMBER(A2),
    IF(AND(A2=INT(A2), MOD(A2, 10) = 0), 0,
        IF(AND(A2=INT(A2), LEN(A2)=2), 1,
            IF(AND(A2=INT(A2), LEN(A2)=3), 2,
                LEN(A2) - FIND(".", A2) + 2)
        )
    ),
"")</f>
        <v>0</v>
      </c>
      <c r="C2" s="51" t="s">
        <v>31</v>
      </c>
      <c r="D2" s="51" t="str">
        <f>REPT("   ", B2*2) &amp; C2</f>
        <v>Capitalized Pre-Construction Costs</v>
      </c>
      <c r="E2" s="51"/>
      <c r="F2" s="51"/>
      <c r="G2" s="52"/>
      <c r="H2" s="51"/>
      <c r="I2" s="51"/>
      <c r="J2" s="77"/>
      <c r="K2" s="53"/>
      <c r="L2" s="50"/>
      <c r="M2" s="50"/>
      <c r="N2" s="50"/>
      <c r="O2" s="50"/>
      <c r="P2" s="53"/>
      <c r="Q2" s="53"/>
      <c r="R2" s="50"/>
      <c r="S2" s="46"/>
      <c r="T2" s="50"/>
      <c r="U2" s="50"/>
      <c r="V2" s="50"/>
      <c r="W2" s="54"/>
      <c r="X2" s="55"/>
      <c r="Y2" s="55"/>
      <c r="Z2" s="54"/>
      <c r="AA2" s="55"/>
      <c r="AB2" s="55"/>
      <c r="AC2" s="54"/>
      <c r="AD2" s="55"/>
      <c r="AE2" s="55"/>
      <c r="AF2" s="55"/>
      <c r="AG2" s="54"/>
    </row>
    <row r="3" spans="1:33" ht="43" x14ac:dyDescent="0.2">
      <c r="A3" s="48">
        <v>11</v>
      </c>
      <c r="B3" s="50">
        <f t="shared" ref="B3:B26" si="0">IF(ISNUMBER(A3),
    IF(AND(A3=INT(A3), MOD(A3, 10) = 0), 0,
        IF(AND(A3=INT(A3), LEN(A3)=2), 1,
            IF(AND(A3=INT(A3), LEN(A3)=3), 2,
                LEN(A3) - FIND(".", A3) + 2)
        )
    ),
"")</f>
        <v>1</v>
      </c>
      <c r="C3" s="56" t="s">
        <v>32</v>
      </c>
      <c r="D3" s="51" t="str">
        <f t="shared" ref="D3:D26" si="1">REPT("   ", B3*2) &amp; C3</f>
        <v xml:space="preserve">      Land Cost</v>
      </c>
      <c r="E3" s="51" t="s">
        <v>33</v>
      </c>
      <c r="F3" s="51" t="s">
        <v>287</v>
      </c>
      <c r="G3" s="52">
        <v>1</v>
      </c>
      <c r="H3" s="51"/>
      <c r="I3" s="51"/>
      <c r="J3" s="78"/>
      <c r="K3" s="78">
        <v>3800</v>
      </c>
      <c r="L3" s="58" t="s">
        <v>34</v>
      </c>
      <c r="M3" s="58" t="s">
        <v>288</v>
      </c>
      <c r="N3" s="79"/>
      <c r="O3" s="58" t="s">
        <v>35</v>
      </c>
      <c r="P3" s="59"/>
      <c r="Q3" s="59">
        <v>2022</v>
      </c>
      <c r="R3" s="58" t="s">
        <v>36</v>
      </c>
      <c r="S3" s="60" t="s">
        <v>37</v>
      </c>
      <c r="T3" s="172" t="s">
        <v>289</v>
      </c>
      <c r="U3" s="173" t="s">
        <v>38</v>
      </c>
      <c r="V3" s="61"/>
      <c r="W3" s="54" t="s">
        <v>39</v>
      </c>
      <c r="X3" s="62">
        <f>0.9*$J3</f>
        <v>0</v>
      </c>
      <c r="Y3" s="62">
        <f>1.5*J3</f>
        <v>0</v>
      </c>
      <c r="Z3" s="54" t="s">
        <v>40</v>
      </c>
      <c r="AA3" s="55">
        <f t="shared" ref="AA3:AA13" si="2">0.9*K3</f>
        <v>3420</v>
      </c>
      <c r="AB3" s="55">
        <f t="shared" ref="AB3:AB13" si="3">1.3*K3</f>
        <v>4940</v>
      </c>
      <c r="AC3" s="54" t="s">
        <v>40</v>
      </c>
      <c r="AD3" s="55" t="s">
        <v>41</v>
      </c>
      <c r="AE3" s="55" t="s">
        <v>42</v>
      </c>
      <c r="AF3" s="55" t="s">
        <v>43</v>
      </c>
      <c r="AG3" s="54" t="s">
        <v>44</v>
      </c>
    </row>
    <row r="4" spans="1:33" ht="15" x14ac:dyDescent="0.2">
      <c r="A4" s="48">
        <v>12</v>
      </c>
      <c r="B4" s="50">
        <f t="shared" si="0"/>
        <v>1</v>
      </c>
      <c r="C4" s="56" t="s">
        <v>45</v>
      </c>
      <c r="D4" s="51" t="str">
        <f t="shared" si="1"/>
        <v xml:space="preserve">      Site Permits</v>
      </c>
      <c r="E4" s="51" t="s">
        <v>33</v>
      </c>
      <c r="F4" s="51" t="s">
        <v>287</v>
      </c>
      <c r="G4" s="52">
        <v>1</v>
      </c>
      <c r="H4" s="51"/>
      <c r="I4" s="51"/>
      <c r="J4" s="78"/>
      <c r="K4" s="78">
        <f>10.03*1000</f>
        <v>10030</v>
      </c>
      <c r="L4" s="58" t="s">
        <v>46</v>
      </c>
      <c r="M4" s="58" t="s">
        <v>290</v>
      </c>
      <c r="N4" s="79"/>
      <c r="O4" s="58" t="s">
        <v>47</v>
      </c>
      <c r="P4" s="59"/>
      <c r="Q4" s="59">
        <v>2022</v>
      </c>
      <c r="R4" s="58" t="s">
        <v>48</v>
      </c>
      <c r="S4" s="60" t="s">
        <v>49</v>
      </c>
      <c r="T4" s="172"/>
      <c r="U4" s="173"/>
      <c r="V4" s="61"/>
      <c r="W4" s="54" t="s">
        <v>39</v>
      </c>
      <c r="X4" s="62">
        <f t="shared" ref="X4:X16" si="4">0.9*$J4</f>
        <v>0</v>
      </c>
      <c r="Y4" s="62">
        <f t="shared" ref="Y4:Y12" si="5">1.5*J4</f>
        <v>0</v>
      </c>
      <c r="Z4" s="54" t="s">
        <v>40</v>
      </c>
      <c r="AA4" s="55">
        <f t="shared" si="2"/>
        <v>9027</v>
      </c>
      <c r="AB4" s="55">
        <f t="shared" si="3"/>
        <v>13039</v>
      </c>
      <c r="AC4" s="54" t="s">
        <v>40</v>
      </c>
      <c r="AD4" s="55" t="s">
        <v>41</v>
      </c>
      <c r="AE4" s="55" t="s">
        <v>42</v>
      </c>
      <c r="AF4" s="55" t="s">
        <v>43</v>
      </c>
      <c r="AG4" s="54" t="s">
        <v>44</v>
      </c>
    </row>
    <row r="5" spans="1:33" ht="15" x14ac:dyDescent="0.2">
      <c r="A5" s="48">
        <v>13</v>
      </c>
      <c r="B5" s="50">
        <f t="shared" si="0"/>
        <v>1</v>
      </c>
      <c r="C5" s="56" t="s">
        <v>50</v>
      </c>
      <c r="D5" s="51" t="str">
        <f t="shared" si="1"/>
        <v xml:space="preserve">      Plant Licensing</v>
      </c>
      <c r="E5" s="51" t="s">
        <v>33</v>
      </c>
      <c r="F5" s="51" t="s">
        <v>287</v>
      </c>
      <c r="G5" s="52">
        <v>1</v>
      </c>
      <c r="H5" s="51"/>
      <c r="I5" s="51"/>
      <c r="J5" s="78">
        <f>1000000*45</f>
        <v>45000000</v>
      </c>
      <c r="K5" s="78"/>
      <c r="L5" s="79"/>
      <c r="M5" s="79"/>
      <c r="N5" s="79"/>
      <c r="O5" s="58"/>
      <c r="P5" s="59"/>
      <c r="Q5" s="59">
        <v>2009</v>
      </c>
      <c r="R5" s="58" t="s">
        <v>48</v>
      </c>
      <c r="S5" s="60" t="s">
        <v>55</v>
      </c>
      <c r="T5" s="172" t="s">
        <v>291</v>
      </c>
      <c r="U5" s="173" t="s">
        <v>51</v>
      </c>
      <c r="V5" s="61"/>
      <c r="W5" s="54" t="s">
        <v>39</v>
      </c>
      <c r="X5" s="62">
        <f>45*1000000</f>
        <v>45000000</v>
      </c>
      <c r="Y5" s="62">
        <f>70*1000000</f>
        <v>70000000</v>
      </c>
      <c r="Z5" s="54" t="s">
        <v>53</v>
      </c>
      <c r="AA5" s="55">
        <f t="shared" si="2"/>
        <v>0</v>
      </c>
      <c r="AB5" s="55">
        <f t="shared" si="3"/>
        <v>0</v>
      </c>
      <c r="AC5" s="54" t="s">
        <v>40</v>
      </c>
      <c r="AD5" s="55" t="s">
        <v>41</v>
      </c>
      <c r="AE5" s="55" t="s">
        <v>42</v>
      </c>
      <c r="AF5" s="55" t="s">
        <v>43</v>
      </c>
      <c r="AG5" s="54" t="s">
        <v>44</v>
      </c>
    </row>
    <row r="6" spans="1:33" ht="15" x14ac:dyDescent="0.2">
      <c r="A6" s="48">
        <v>14</v>
      </c>
      <c r="B6" s="50">
        <f t="shared" si="0"/>
        <v>1</v>
      </c>
      <c r="C6" s="56" t="s">
        <v>54</v>
      </c>
      <c r="D6" s="51" t="str">
        <f t="shared" si="1"/>
        <v xml:space="preserve">      Plant Permits</v>
      </c>
      <c r="E6" s="51" t="s">
        <v>33</v>
      </c>
      <c r="F6" s="51" t="s">
        <v>287</v>
      </c>
      <c r="G6" s="52">
        <v>1</v>
      </c>
      <c r="H6" s="51"/>
      <c r="I6" s="51"/>
      <c r="J6" s="78">
        <v>3000000</v>
      </c>
      <c r="K6" s="78"/>
      <c r="L6" s="79"/>
      <c r="M6" s="79"/>
      <c r="N6" s="79"/>
      <c r="O6" s="58"/>
      <c r="P6" s="59"/>
      <c r="Q6" s="59">
        <v>2009</v>
      </c>
      <c r="R6" s="58" t="s">
        <v>48</v>
      </c>
      <c r="S6" s="60" t="s">
        <v>55</v>
      </c>
      <c r="T6" s="172"/>
      <c r="U6" s="173"/>
      <c r="V6" s="61"/>
      <c r="W6" s="54" t="s">
        <v>39</v>
      </c>
      <c r="X6" s="62">
        <f t="shared" si="4"/>
        <v>2700000</v>
      </c>
      <c r="Y6" s="62">
        <f t="shared" si="5"/>
        <v>4500000</v>
      </c>
      <c r="Z6" s="54" t="s">
        <v>40</v>
      </c>
      <c r="AA6" s="55">
        <f t="shared" si="2"/>
        <v>0</v>
      </c>
      <c r="AB6" s="55">
        <f t="shared" si="3"/>
        <v>0</v>
      </c>
      <c r="AC6" s="54" t="s">
        <v>40</v>
      </c>
      <c r="AD6" s="55" t="s">
        <v>41</v>
      </c>
      <c r="AE6" s="55" t="s">
        <v>42</v>
      </c>
      <c r="AF6" s="55" t="s">
        <v>43</v>
      </c>
      <c r="AG6" s="54" t="s">
        <v>44</v>
      </c>
    </row>
    <row r="7" spans="1:33" ht="113" x14ac:dyDescent="0.2">
      <c r="A7" s="48">
        <v>15</v>
      </c>
      <c r="B7" s="50">
        <f t="shared" si="0"/>
        <v>1</v>
      </c>
      <c r="C7" s="56" t="s">
        <v>56</v>
      </c>
      <c r="D7" s="51" t="str">
        <f t="shared" si="1"/>
        <v xml:space="preserve">      Plant Studies</v>
      </c>
      <c r="E7" s="51" t="s">
        <v>33</v>
      </c>
      <c r="F7" s="51" t="s">
        <v>287</v>
      </c>
      <c r="G7" s="52">
        <v>1</v>
      </c>
      <c r="H7" s="51"/>
      <c r="I7" s="51"/>
      <c r="J7" s="78">
        <f>10*MARVEL_Cost!C4</f>
        <v>52104510</v>
      </c>
      <c r="K7" s="78"/>
      <c r="L7" s="79"/>
      <c r="M7" s="79"/>
      <c r="N7" s="79"/>
      <c r="O7" s="58"/>
      <c r="P7" s="59"/>
      <c r="Q7" s="59">
        <v>2024</v>
      </c>
      <c r="R7" s="58" t="s">
        <v>48</v>
      </c>
      <c r="S7" s="60" t="s">
        <v>57</v>
      </c>
      <c r="T7" s="60" t="s">
        <v>292</v>
      </c>
      <c r="U7" s="61" t="s">
        <v>58</v>
      </c>
      <c r="V7" s="58" t="s">
        <v>59</v>
      </c>
      <c r="W7" s="54" t="s">
        <v>39</v>
      </c>
      <c r="X7" s="62">
        <f t="shared" si="4"/>
        <v>46894059</v>
      </c>
      <c r="Y7" s="62">
        <f t="shared" si="5"/>
        <v>78156765</v>
      </c>
      <c r="Z7" s="54" t="s">
        <v>40</v>
      </c>
      <c r="AA7" s="55">
        <f t="shared" si="2"/>
        <v>0</v>
      </c>
      <c r="AB7" s="55">
        <f t="shared" si="3"/>
        <v>0</v>
      </c>
      <c r="AC7" s="54" t="s">
        <v>40</v>
      </c>
      <c r="AD7" s="55" t="s">
        <v>41</v>
      </c>
      <c r="AE7" s="55" t="s">
        <v>42</v>
      </c>
      <c r="AF7" s="55" t="s">
        <v>43</v>
      </c>
      <c r="AG7" s="54" t="s">
        <v>44</v>
      </c>
    </row>
    <row r="8" spans="1:33" ht="15" x14ac:dyDescent="0.2">
      <c r="A8" s="45">
        <v>20</v>
      </c>
      <c r="B8" s="50">
        <f>IF(ISNUMBER(A8),
    IF(AND(A8=INT(A8), MOD(A8, 10) = 0), 0,
        IF(AND(A8=INT(A8), LEN(A8)=2), 1,
            IF(AND(A8=INT(A8), LEN(A8)=3), 2,
                LEN(A8) - FIND(".", A8) + 2)
        )
    ),
"")</f>
        <v>0</v>
      </c>
      <c r="C8" s="56" t="s">
        <v>60</v>
      </c>
      <c r="D8" s="51" t="str">
        <f t="shared" si="1"/>
        <v>Capitalized Direct Costs</v>
      </c>
      <c r="E8" s="51"/>
      <c r="F8" s="51"/>
      <c r="G8" s="52"/>
      <c r="H8" s="51"/>
      <c r="I8" s="51"/>
      <c r="J8" s="78"/>
      <c r="K8" s="63"/>
      <c r="L8" s="45"/>
      <c r="M8" s="48"/>
      <c r="N8" s="45"/>
      <c r="O8" s="45"/>
      <c r="P8" s="64"/>
      <c r="Q8" s="64"/>
      <c r="R8" s="45"/>
      <c r="S8" s="45"/>
      <c r="T8" s="45"/>
      <c r="U8" s="45"/>
      <c r="V8" s="45"/>
      <c r="W8" s="54" t="s">
        <v>293</v>
      </c>
      <c r="X8" s="62"/>
      <c r="Y8" s="62"/>
      <c r="Z8" s="54"/>
      <c r="AA8" s="55"/>
      <c r="AB8" s="55"/>
      <c r="AC8" s="54"/>
      <c r="AD8" s="55"/>
      <c r="AE8" s="55"/>
      <c r="AF8" s="55"/>
      <c r="AG8" s="54"/>
    </row>
    <row r="9" spans="1:33" ht="15" x14ac:dyDescent="0.2">
      <c r="A9" s="48">
        <v>21</v>
      </c>
      <c r="B9" s="50">
        <f t="shared" si="0"/>
        <v>1</v>
      </c>
      <c r="C9" s="56" t="s">
        <v>61</v>
      </c>
      <c r="D9" s="51" t="str">
        <f t="shared" si="1"/>
        <v xml:space="preserve">      Structures and Improvements</v>
      </c>
      <c r="E9" s="51"/>
      <c r="F9" s="51"/>
      <c r="G9" s="52"/>
      <c r="H9" s="51"/>
      <c r="I9" s="51"/>
      <c r="J9" s="78"/>
      <c r="K9" s="78"/>
      <c r="L9" s="79"/>
      <c r="M9" s="79"/>
      <c r="N9" s="79"/>
      <c r="O9" s="79"/>
      <c r="P9" s="81"/>
      <c r="Q9" s="81"/>
      <c r="R9" s="79"/>
      <c r="S9" s="82"/>
      <c r="T9" s="79"/>
      <c r="U9" s="79"/>
      <c r="V9" s="61"/>
      <c r="W9" s="54"/>
      <c r="X9" s="62"/>
      <c r="Y9" s="62"/>
      <c r="Z9" s="54"/>
      <c r="AA9" s="55"/>
      <c r="AB9" s="55"/>
      <c r="AC9" s="54"/>
      <c r="AD9" s="55"/>
      <c r="AE9" s="55"/>
      <c r="AF9" s="55"/>
      <c r="AG9" s="54"/>
    </row>
    <row r="10" spans="1:33" ht="15" x14ac:dyDescent="0.2">
      <c r="A10" s="65">
        <v>211</v>
      </c>
      <c r="B10" s="50">
        <f t="shared" si="0"/>
        <v>2</v>
      </c>
      <c r="C10" s="56" t="s">
        <v>62</v>
      </c>
      <c r="D10" s="51" t="str">
        <f t="shared" si="1"/>
        <v xml:space="preserve">            Site Preparation/ Yard Work</v>
      </c>
      <c r="E10" s="51"/>
      <c r="F10" s="51"/>
      <c r="G10" s="52"/>
      <c r="H10" s="51"/>
      <c r="I10" s="51"/>
      <c r="J10" s="78"/>
      <c r="K10" s="78"/>
      <c r="L10" s="79"/>
      <c r="M10" s="79"/>
      <c r="N10" s="79"/>
      <c r="O10" s="79"/>
      <c r="P10" s="81"/>
      <c r="Q10" s="81"/>
      <c r="R10" s="79"/>
      <c r="S10" s="82"/>
      <c r="T10" s="79"/>
      <c r="U10" s="79"/>
      <c r="V10" s="61"/>
      <c r="W10" s="54"/>
      <c r="X10" s="62"/>
      <c r="Y10" s="62"/>
      <c r="Z10" s="54"/>
      <c r="AA10" s="55"/>
      <c r="AB10" s="55"/>
      <c r="AC10" s="54"/>
      <c r="AD10" s="55"/>
      <c r="AE10" s="55"/>
      <c r="AF10" s="55"/>
      <c r="AG10" s="54"/>
    </row>
    <row r="11" spans="1:33" ht="15" x14ac:dyDescent="0.2">
      <c r="A11" s="66">
        <v>211.1</v>
      </c>
      <c r="B11" s="50">
        <f t="shared" si="0"/>
        <v>3</v>
      </c>
      <c r="C11" s="56" t="s">
        <v>63</v>
      </c>
      <c r="D11" s="51" t="str">
        <f t="shared" si="1"/>
        <v xml:space="preserve">                  Cleaning and Grubbing</v>
      </c>
      <c r="E11" s="51" t="s">
        <v>33</v>
      </c>
      <c r="F11" s="51" t="s">
        <v>287</v>
      </c>
      <c r="G11" s="52">
        <v>1</v>
      </c>
      <c r="H11" s="51"/>
      <c r="I11" s="51"/>
      <c r="J11" s="78"/>
      <c r="K11" s="78">
        <f>4408.18*1.33</f>
        <v>5862.8794000000007</v>
      </c>
      <c r="L11" s="58" t="s">
        <v>34</v>
      </c>
      <c r="M11" s="58" t="s">
        <v>288</v>
      </c>
      <c r="N11" s="79"/>
      <c r="O11" s="58" t="s">
        <v>35</v>
      </c>
      <c r="P11" s="81"/>
      <c r="Q11" s="59">
        <v>2024</v>
      </c>
      <c r="R11" s="58" t="s">
        <v>64</v>
      </c>
      <c r="S11" s="172" t="s">
        <v>65</v>
      </c>
      <c r="T11" s="172" t="s">
        <v>66</v>
      </c>
      <c r="U11" s="174" t="s">
        <v>67</v>
      </c>
      <c r="V11" s="61"/>
      <c r="W11" s="54" t="s">
        <v>39</v>
      </c>
      <c r="X11" s="62">
        <f t="shared" si="4"/>
        <v>0</v>
      </c>
      <c r="Y11" s="62">
        <f t="shared" si="5"/>
        <v>0</v>
      </c>
      <c r="Z11" s="54" t="s">
        <v>40</v>
      </c>
      <c r="AA11" s="55">
        <f t="shared" si="2"/>
        <v>5276.5914600000006</v>
      </c>
      <c r="AB11" s="55">
        <f t="shared" si="3"/>
        <v>7621.7432200000012</v>
      </c>
      <c r="AC11" s="54" t="s">
        <v>40</v>
      </c>
      <c r="AD11" s="55" t="s">
        <v>41</v>
      </c>
      <c r="AE11" s="55" t="s">
        <v>42</v>
      </c>
      <c r="AF11" s="55" t="s">
        <v>43</v>
      </c>
      <c r="AG11" s="54" t="s">
        <v>44</v>
      </c>
    </row>
    <row r="12" spans="1:33" ht="15" x14ac:dyDescent="0.2">
      <c r="A12" s="65">
        <v>211.2</v>
      </c>
      <c r="B12" s="50">
        <f>IF(ISNUMBER(A12),
    IF(AND(A12=INT(A12), MOD(A12, 10) = 0), 0,
        IF(AND(A12=INT(A12), LEN(A12)=2), 1,
            IF(AND(A12=INT(A12), LEN(A12)=3), 2,
                LEN(A12) - FIND(".", A12) + 2)
        )
    ),
"")</f>
        <v>3</v>
      </c>
      <c r="C12" s="56" t="s">
        <v>69</v>
      </c>
      <c r="D12" s="51" t="str">
        <f t="shared" si="1"/>
        <v xml:space="preserve">                  Stripping Topsoil</v>
      </c>
      <c r="E12" s="51" t="s">
        <v>33</v>
      </c>
      <c r="F12" s="51" t="s">
        <v>287</v>
      </c>
      <c r="G12" s="52">
        <v>1</v>
      </c>
      <c r="H12" s="51"/>
      <c r="I12" s="51"/>
      <c r="J12" s="78"/>
      <c r="K12" s="78">
        <f>2565.2*1.33</f>
        <v>3411.7159999999999</v>
      </c>
      <c r="L12" s="58" t="s">
        <v>34</v>
      </c>
      <c r="M12" s="58" t="s">
        <v>288</v>
      </c>
      <c r="N12" s="79"/>
      <c r="O12" s="58" t="s">
        <v>35</v>
      </c>
      <c r="P12" s="81"/>
      <c r="Q12" s="59">
        <v>2024</v>
      </c>
      <c r="R12" s="58" t="s">
        <v>64</v>
      </c>
      <c r="S12" s="172"/>
      <c r="T12" s="172"/>
      <c r="U12" s="173"/>
      <c r="V12" s="61"/>
      <c r="W12" s="54" t="s">
        <v>39</v>
      </c>
      <c r="X12" s="62">
        <f t="shared" si="4"/>
        <v>0</v>
      </c>
      <c r="Y12" s="62">
        <f t="shared" si="5"/>
        <v>0</v>
      </c>
      <c r="Z12" s="54" t="s">
        <v>40</v>
      </c>
      <c r="AA12" s="55">
        <f t="shared" si="2"/>
        <v>3070.5443999999998</v>
      </c>
      <c r="AB12" s="55">
        <f t="shared" si="3"/>
        <v>4435.2308000000003</v>
      </c>
      <c r="AC12" s="54" t="s">
        <v>40</v>
      </c>
      <c r="AD12" s="55" t="s">
        <v>41</v>
      </c>
      <c r="AE12" s="55" t="s">
        <v>42</v>
      </c>
      <c r="AF12" s="55" t="s">
        <v>43</v>
      </c>
      <c r="AG12" s="54" t="s">
        <v>44</v>
      </c>
    </row>
    <row r="13" spans="1:33" ht="43" x14ac:dyDescent="0.2">
      <c r="A13" s="65">
        <v>211.4</v>
      </c>
      <c r="B13" s="50">
        <f t="shared" si="0"/>
        <v>3</v>
      </c>
      <c r="C13" s="56" t="s">
        <v>294</v>
      </c>
      <c r="D13" s="51" t="str">
        <f t="shared" si="1"/>
        <v xml:space="preserve">                  Roads</v>
      </c>
      <c r="E13" s="51" t="s">
        <v>33</v>
      </c>
      <c r="F13" s="51" t="s">
        <v>287</v>
      </c>
      <c r="G13" s="52">
        <v>1</v>
      </c>
      <c r="H13" s="51"/>
      <c r="I13" s="51"/>
      <c r="J13" s="78"/>
      <c r="K13" s="78">
        <f>0.7*7873200*1.609/1000</f>
        <v>8867.5851600000005</v>
      </c>
      <c r="L13" s="58" t="s">
        <v>295</v>
      </c>
      <c r="M13" s="83" t="s">
        <v>296</v>
      </c>
      <c r="N13" s="84">
        <v>1</v>
      </c>
      <c r="O13" s="85"/>
      <c r="P13" s="86">
        <v>1</v>
      </c>
      <c r="Q13" s="87">
        <v>2025</v>
      </c>
      <c r="R13" s="85" t="s">
        <v>36</v>
      </c>
      <c r="S13" s="88" t="s">
        <v>297</v>
      </c>
      <c r="T13" s="89"/>
      <c r="U13" s="80"/>
      <c r="V13" s="61"/>
      <c r="W13" s="54" t="s">
        <v>39</v>
      </c>
      <c r="X13" s="62">
        <f>0.9*$J13</f>
        <v>0</v>
      </c>
      <c r="Y13" s="62">
        <f>1.5*J13</f>
        <v>0</v>
      </c>
      <c r="Z13" s="54" t="s">
        <v>40</v>
      </c>
      <c r="AA13" s="55">
        <f t="shared" si="2"/>
        <v>7980.8266440000007</v>
      </c>
      <c r="AB13" s="55">
        <f t="shared" si="3"/>
        <v>11527.860708000002</v>
      </c>
      <c r="AC13" s="54" t="s">
        <v>40</v>
      </c>
      <c r="AD13" s="55" t="s">
        <v>41</v>
      </c>
      <c r="AE13" s="55" t="s">
        <v>42</v>
      </c>
      <c r="AF13" s="55" t="s">
        <v>43</v>
      </c>
      <c r="AG13" s="54" t="s">
        <v>44</v>
      </c>
    </row>
    <row r="14" spans="1:33" ht="15" x14ac:dyDescent="0.2">
      <c r="A14" s="65">
        <v>211.9</v>
      </c>
      <c r="B14" s="50">
        <f t="shared" si="0"/>
        <v>3</v>
      </c>
      <c r="C14" s="56" t="s">
        <v>298</v>
      </c>
      <c r="D14" s="51" t="str">
        <f t="shared" si="1"/>
        <v xml:space="preserve">                  Security Fencing</v>
      </c>
      <c r="E14" s="51"/>
      <c r="F14" s="51"/>
      <c r="G14" s="52"/>
      <c r="H14" s="51"/>
      <c r="I14" s="51"/>
      <c r="J14" s="78"/>
      <c r="K14" s="90"/>
      <c r="L14" s="91"/>
      <c r="M14" s="92"/>
      <c r="N14" s="93"/>
      <c r="O14" s="58"/>
      <c r="P14" s="94"/>
      <c r="Q14" s="95"/>
      <c r="R14" s="96"/>
      <c r="S14" s="97"/>
      <c r="T14" s="60"/>
      <c r="U14" s="80"/>
      <c r="V14" s="61"/>
      <c r="W14" s="54"/>
      <c r="X14" s="62"/>
      <c r="Y14" s="62"/>
      <c r="Z14" s="54"/>
      <c r="AA14" s="55"/>
      <c r="AB14" s="55"/>
      <c r="AC14" s="54"/>
      <c r="AD14" s="55"/>
      <c r="AE14" s="55"/>
      <c r="AF14" s="55"/>
      <c r="AG14" s="54"/>
    </row>
    <row r="15" spans="1:33" ht="43" x14ac:dyDescent="0.2">
      <c r="A15" s="65">
        <v>211.91</v>
      </c>
      <c r="B15" s="50">
        <f t="shared" si="0"/>
        <v>4</v>
      </c>
      <c r="C15" s="56" t="s">
        <v>299</v>
      </c>
      <c r="D15" s="51" t="str">
        <f t="shared" si="1"/>
        <v xml:space="preserve">                        Security Fencing Limited</v>
      </c>
      <c r="E15" s="51" t="s">
        <v>33</v>
      </c>
      <c r="F15" s="51" t="s">
        <v>287</v>
      </c>
      <c r="G15" s="52">
        <v>1</v>
      </c>
      <c r="H15" s="51"/>
      <c r="I15" s="51"/>
      <c r="J15" s="78"/>
      <c r="K15" s="78">
        <f>0.7*273</f>
        <v>191.1</v>
      </c>
      <c r="L15" s="58" t="s">
        <v>300</v>
      </c>
      <c r="M15" s="58" t="s">
        <v>301</v>
      </c>
      <c r="N15" s="79"/>
      <c r="O15" s="58"/>
      <c r="P15" s="81"/>
      <c r="Q15" s="59">
        <v>2025</v>
      </c>
      <c r="R15" s="58" t="s">
        <v>64</v>
      </c>
      <c r="S15" s="88" t="s">
        <v>297</v>
      </c>
      <c r="T15" s="60"/>
      <c r="U15" s="98"/>
      <c r="V15" s="61"/>
      <c r="W15" s="54" t="s">
        <v>39</v>
      </c>
      <c r="X15" s="62">
        <f t="shared" si="4"/>
        <v>0</v>
      </c>
      <c r="Y15" s="62">
        <f t="shared" ref="Y15:Y16" si="6">1.5*J15</f>
        <v>0</v>
      </c>
      <c r="Z15" s="54" t="s">
        <v>40</v>
      </c>
      <c r="AA15" s="55">
        <f t="shared" ref="AA15:AA16" si="7">0.9*K15</f>
        <v>171.99</v>
      </c>
      <c r="AB15" s="55">
        <f t="shared" ref="AB15:AB16" si="8">1.3*K15</f>
        <v>248.43</v>
      </c>
      <c r="AC15" s="54" t="s">
        <v>40</v>
      </c>
      <c r="AD15" s="55" t="s">
        <v>41</v>
      </c>
      <c r="AE15" s="55" t="s">
        <v>42</v>
      </c>
      <c r="AF15" s="55" t="s">
        <v>43</v>
      </c>
      <c r="AG15" s="54" t="s">
        <v>44</v>
      </c>
    </row>
    <row r="16" spans="1:33" ht="43" x14ac:dyDescent="0.2">
      <c r="A16" s="65">
        <v>211.93</v>
      </c>
      <c r="B16" s="50">
        <f t="shared" si="0"/>
        <v>4</v>
      </c>
      <c r="C16" s="56" t="s">
        <v>302</v>
      </c>
      <c r="D16" s="51" t="str">
        <f t="shared" si="1"/>
        <v xml:space="preserve">                        Security Fencing Protected</v>
      </c>
      <c r="E16" s="51" t="s">
        <v>33</v>
      </c>
      <c r="F16" s="51" t="s">
        <v>287</v>
      </c>
      <c r="G16" s="52">
        <v>1</v>
      </c>
      <c r="H16" s="51"/>
      <c r="I16" s="51"/>
      <c r="J16" s="78"/>
      <c r="K16" s="78">
        <f>0.7*15746</f>
        <v>11022.199999999999</v>
      </c>
      <c r="L16" s="58" t="s">
        <v>300</v>
      </c>
      <c r="M16" s="58" t="s">
        <v>303</v>
      </c>
      <c r="N16" s="79"/>
      <c r="O16" s="58"/>
      <c r="P16" s="81"/>
      <c r="Q16" s="59">
        <v>2025</v>
      </c>
      <c r="R16" s="58" t="s">
        <v>64</v>
      </c>
      <c r="S16" s="88" t="s">
        <v>297</v>
      </c>
      <c r="T16" s="60"/>
      <c r="U16" s="98"/>
      <c r="V16" s="61"/>
      <c r="W16" s="54" t="s">
        <v>39</v>
      </c>
      <c r="X16" s="62">
        <f t="shared" si="4"/>
        <v>0</v>
      </c>
      <c r="Y16" s="62">
        <f t="shared" si="6"/>
        <v>0</v>
      </c>
      <c r="Z16" s="54" t="s">
        <v>40</v>
      </c>
      <c r="AA16" s="55">
        <f t="shared" si="7"/>
        <v>9919.98</v>
      </c>
      <c r="AB16" s="55">
        <f t="shared" si="8"/>
        <v>14328.859999999999</v>
      </c>
      <c r="AC16" s="54" t="s">
        <v>40</v>
      </c>
      <c r="AD16" s="55">
        <v>0.1</v>
      </c>
      <c r="AE16" s="55" t="s">
        <v>42</v>
      </c>
      <c r="AF16" s="55" t="s">
        <v>43</v>
      </c>
      <c r="AG16" s="54" t="s">
        <v>44</v>
      </c>
    </row>
    <row r="17" spans="1:33" ht="15" x14ac:dyDescent="0.2">
      <c r="A17" s="65">
        <v>214</v>
      </c>
      <c r="B17" s="50">
        <f t="shared" si="0"/>
        <v>2</v>
      </c>
      <c r="C17" s="56" t="s">
        <v>304</v>
      </c>
      <c r="D17" s="51" t="str">
        <f t="shared" si="1"/>
        <v xml:space="preserve">            Servicing Facilities Structures</v>
      </c>
      <c r="E17" s="51"/>
      <c r="F17" s="51"/>
      <c r="G17" s="52"/>
      <c r="H17" s="51"/>
      <c r="I17" s="51"/>
      <c r="J17" s="78"/>
      <c r="K17" s="78"/>
      <c r="L17" s="79"/>
      <c r="M17" s="82"/>
      <c r="N17" s="79"/>
      <c r="O17" s="79"/>
      <c r="P17" s="81"/>
      <c r="Q17" s="81"/>
      <c r="R17" s="79"/>
      <c r="S17" s="82"/>
      <c r="T17" s="60"/>
      <c r="U17" s="80"/>
      <c r="V17" s="61"/>
      <c r="W17" s="54"/>
      <c r="X17" s="62"/>
      <c r="Y17" s="62"/>
      <c r="Z17" s="54"/>
      <c r="AA17" s="55"/>
      <c r="AB17" s="55"/>
      <c r="AC17" s="54"/>
      <c r="AD17" s="55"/>
      <c r="AE17" s="55"/>
      <c r="AF17" s="55"/>
      <c r="AG17" s="54"/>
    </row>
    <row r="18" spans="1:33" ht="15" x14ac:dyDescent="0.2">
      <c r="A18" s="65">
        <v>214.3</v>
      </c>
      <c r="B18" s="50">
        <f>IF(ISNUMBER(A18),
    IF(AND(A18=INT(A18), MOD(A18, 10) = 0), 0,
        IF(AND(A18=INT(A18), LEN(A18)=2), 1,
            IF(AND(A18=INT(A18), LEN(A18)=3), 2,
                LEN(A18) - FIND(".", A18) + 2)
        )
    ),
"")</f>
        <v>3</v>
      </c>
      <c r="C18" s="56" t="s">
        <v>305</v>
      </c>
      <c r="D18" s="51" t="str">
        <f>REPT("   ", B18*2) &amp; C18</f>
        <v xml:space="preserve">                  Control Buidlings</v>
      </c>
      <c r="E18" s="51"/>
      <c r="F18" s="51"/>
      <c r="G18" s="52"/>
      <c r="H18" s="51"/>
      <c r="I18" s="51"/>
      <c r="J18" s="99"/>
      <c r="K18" s="78"/>
      <c r="L18" s="58"/>
      <c r="M18" s="56"/>
      <c r="N18" s="79"/>
      <c r="O18" s="58"/>
      <c r="P18" s="81"/>
      <c r="Q18" s="59"/>
      <c r="R18" s="58"/>
      <c r="S18" s="60"/>
      <c r="T18" s="60"/>
      <c r="U18" s="80"/>
      <c r="V18" s="61"/>
      <c r="W18" s="54"/>
      <c r="X18" s="62"/>
      <c r="Y18" s="62"/>
      <c r="Z18" s="54"/>
      <c r="AA18" s="55"/>
      <c r="AB18" s="55"/>
      <c r="AC18" s="54"/>
      <c r="AD18" s="55"/>
      <c r="AE18" s="55"/>
      <c r="AF18" s="55"/>
      <c r="AG18" s="54"/>
    </row>
    <row r="19" spans="1:33" ht="57" x14ac:dyDescent="0.2">
      <c r="A19" s="65">
        <v>214.31</v>
      </c>
      <c r="B19" s="50">
        <v>4</v>
      </c>
      <c r="C19" s="56" t="s">
        <v>306</v>
      </c>
      <c r="D19" s="51" t="str">
        <f t="shared" ref="D19" si="9">REPT("   ", B19*2) &amp; C19</f>
        <v xml:space="preserve">                        Local Control Buidling Structure</v>
      </c>
      <c r="E19" s="51" t="s">
        <v>33</v>
      </c>
      <c r="F19" s="51" t="s">
        <v>287</v>
      </c>
      <c r="G19" s="52">
        <v>1</v>
      </c>
      <c r="H19" s="51"/>
      <c r="I19" s="51"/>
      <c r="J19" s="99"/>
      <c r="K19" s="78">
        <f>0.7*2653*(3.2808^2)</f>
        <v>19989.171889344001</v>
      </c>
      <c r="L19" s="58" t="s">
        <v>72</v>
      </c>
      <c r="M19" s="56" t="s">
        <v>307</v>
      </c>
      <c r="N19" s="100">
        <v>1</v>
      </c>
      <c r="O19" s="100" t="s">
        <v>73</v>
      </c>
      <c r="P19" s="101">
        <v>1</v>
      </c>
      <c r="Q19" s="59">
        <v>2025</v>
      </c>
      <c r="R19" s="79" t="s">
        <v>71</v>
      </c>
      <c r="S19" s="102" t="s">
        <v>308</v>
      </c>
      <c r="T19" s="60"/>
      <c r="U19" s="80"/>
      <c r="V19" s="61"/>
      <c r="W19" s="103" t="s">
        <v>39</v>
      </c>
      <c r="X19" s="104">
        <f t="shared" ref="X19" si="10">0.9*$I19</f>
        <v>0</v>
      </c>
      <c r="Y19" s="104">
        <f t="shared" ref="Y19" si="11">1.5*J19</f>
        <v>0</v>
      </c>
      <c r="Z19" s="103" t="s">
        <v>40</v>
      </c>
      <c r="AA19" s="105">
        <f t="shared" ref="AA19" si="12">0.9*K19</f>
        <v>17990.254700409601</v>
      </c>
      <c r="AB19" s="105">
        <f t="shared" ref="AB19" si="13">1.3*K19</f>
        <v>25985.923456147204</v>
      </c>
      <c r="AC19" s="103" t="s">
        <v>40</v>
      </c>
      <c r="AD19" s="105" t="s">
        <v>41</v>
      </c>
      <c r="AE19" s="105" t="s">
        <v>42</v>
      </c>
      <c r="AF19" s="105" t="s">
        <v>43</v>
      </c>
      <c r="AG19" s="103" t="s">
        <v>44</v>
      </c>
    </row>
    <row r="20" spans="1:33" ht="15" x14ac:dyDescent="0.2">
      <c r="A20" s="48">
        <v>22</v>
      </c>
      <c r="B20" s="50">
        <f t="shared" si="0"/>
        <v>1</v>
      </c>
      <c r="C20" s="67" t="s">
        <v>309</v>
      </c>
      <c r="D20" s="51" t="str">
        <f t="shared" si="1"/>
        <v xml:space="preserve">      Main Facilities Estimated As Wholes</v>
      </c>
      <c r="E20" s="51"/>
      <c r="F20" s="51"/>
      <c r="G20" s="52"/>
      <c r="H20" s="51"/>
      <c r="I20" s="51"/>
      <c r="J20" s="78"/>
      <c r="K20" s="78"/>
      <c r="L20" s="79"/>
      <c r="M20" s="51"/>
      <c r="N20" s="61"/>
      <c r="O20" s="61"/>
      <c r="P20" s="59"/>
      <c r="Q20" s="59"/>
      <c r="R20" s="61"/>
      <c r="S20" s="68"/>
      <c r="T20" s="61"/>
      <c r="U20" s="61"/>
      <c r="V20" s="61"/>
      <c r="W20" s="54"/>
      <c r="X20" s="62"/>
      <c r="Y20" s="62"/>
      <c r="Z20" s="54"/>
      <c r="AA20" s="55"/>
      <c r="AB20" s="55"/>
      <c r="AC20" s="54"/>
      <c r="AD20" s="55"/>
      <c r="AE20" s="55"/>
      <c r="AF20" s="55"/>
      <c r="AG20" s="54"/>
    </row>
    <row r="21" spans="1:33" ht="15" x14ac:dyDescent="0.2">
      <c r="A21" s="106">
        <v>221</v>
      </c>
      <c r="B21" s="107">
        <f>IF(ISNUMBER(A21),
    IF(AND(A21=INT(A21), MOD(A21, 10) = 0), 0,
        IF(AND(A21=INT(A21), LEN(A21)=2), 1,
            IF(AND(A21=INT(A21), LEN(A21)=3), 2,
                LEN(A21) - FIND(".", A21) + 2)
        )
    ),
"")</f>
        <v>2</v>
      </c>
      <c r="C21" s="108" t="s">
        <v>310</v>
      </c>
      <c r="D21" s="109" t="str">
        <f>REPT("   ", B21*2) &amp; C21</f>
        <v xml:space="preserve">            Manufacturing Building</v>
      </c>
      <c r="E21" s="109" t="s">
        <v>33</v>
      </c>
      <c r="F21" s="110"/>
      <c r="G21" s="111"/>
      <c r="H21" s="109"/>
      <c r="I21" s="109"/>
      <c r="J21" s="78"/>
      <c r="K21" s="112">
        <f>62733028.09/N21</f>
        <v>62733.028090000007</v>
      </c>
      <c r="L21" s="100"/>
      <c r="M21" s="113" t="s">
        <v>311</v>
      </c>
      <c r="N21" s="100">
        <v>1000</v>
      </c>
      <c r="O21" s="100" t="s">
        <v>312</v>
      </c>
      <c r="P21" s="114">
        <v>0.13827064818134194</v>
      </c>
      <c r="Q21" s="59">
        <v>2025</v>
      </c>
      <c r="R21" s="79" t="s">
        <v>71</v>
      </c>
      <c r="S21" s="102"/>
      <c r="T21" s="60"/>
      <c r="U21" s="80"/>
      <c r="V21" s="61"/>
      <c r="W21" s="103" t="s">
        <v>39</v>
      </c>
      <c r="X21" s="104">
        <f t="shared" ref="X21:X25" si="14">0.9*$I21</f>
        <v>0</v>
      </c>
      <c r="Y21" s="104">
        <f t="shared" ref="Y21:Y25" si="15">1.5*J21</f>
        <v>0</v>
      </c>
      <c r="Z21" s="103" t="s">
        <v>40</v>
      </c>
      <c r="AA21" s="105">
        <f t="shared" ref="AA21:AA25" si="16">0.9*K21</f>
        <v>56459.725281000006</v>
      </c>
      <c r="AB21" s="105">
        <f t="shared" ref="AB21:AB25" si="17">1.3*K21</f>
        <v>81552.936517000009</v>
      </c>
      <c r="AC21" s="103" t="s">
        <v>40</v>
      </c>
      <c r="AD21" s="105">
        <v>0.1</v>
      </c>
      <c r="AE21" s="105" t="s">
        <v>42</v>
      </c>
      <c r="AF21" s="105" t="s">
        <v>43</v>
      </c>
      <c r="AG21" s="103" t="s">
        <v>44</v>
      </c>
    </row>
    <row r="22" spans="1:33" ht="15" x14ac:dyDescent="0.2">
      <c r="A22" s="106">
        <v>222</v>
      </c>
      <c r="B22" s="107">
        <f>IF(ISNUMBER(A22),
    IF(AND(A22=INT(A22), MOD(A22, 10) = 0), 0,
        IF(AND(A22=INT(A22), LEN(A22)=2), 1,
            IF(AND(A22=INT(A22), LEN(A22)=3), 2,
                LEN(A22) - FIND(".", A22) + 2)
        )
    ),
"")</f>
        <v>2</v>
      </c>
      <c r="C22" s="108" t="s">
        <v>313</v>
      </c>
      <c r="D22" s="109" t="str">
        <f>REPT("   ", B22*2) &amp; C22</f>
        <v xml:space="preserve">            Fueling Building</v>
      </c>
      <c r="E22" s="109" t="s">
        <v>33</v>
      </c>
      <c r="F22" s="110"/>
      <c r="G22" s="111"/>
      <c r="H22" s="109"/>
      <c r="I22" s="109"/>
      <c r="J22" s="78"/>
      <c r="K22" s="112">
        <f>35766971.91/N22</f>
        <v>35766.971909999993</v>
      </c>
      <c r="L22" s="100"/>
      <c r="M22" s="113" t="s">
        <v>311</v>
      </c>
      <c r="N22" s="100">
        <v>1000</v>
      </c>
      <c r="O22" s="100" t="s">
        <v>312</v>
      </c>
      <c r="P22" s="114">
        <v>0.13827064818134194</v>
      </c>
      <c r="Q22" s="59">
        <v>2025</v>
      </c>
      <c r="R22" s="79" t="s">
        <v>71</v>
      </c>
      <c r="S22" s="102"/>
      <c r="T22" s="60"/>
      <c r="U22" s="80"/>
      <c r="V22" s="61"/>
      <c r="W22" s="103" t="s">
        <v>39</v>
      </c>
      <c r="X22" s="104">
        <f t="shared" si="14"/>
        <v>0</v>
      </c>
      <c r="Y22" s="104">
        <f t="shared" si="15"/>
        <v>0</v>
      </c>
      <c r="Z22" s="103" t="s">
        <v>40</v>
      </c>
      <c r="AA22" s="105">
        <f t="shared" si="16"/>
        <v>32190.274718999994</v>
      </c>
      <c r="AB22" s="105">
        <f t="shared" si="17"/>
        <v>46497.063482999991</v>
      </c>
      <c r="AC22" s="103" t="s">
        <v>40</v>
      </c>
      <c r="AD22" s="105">
        <v>0.1</v>
      </c>
      <c r="AE22" s="105" t="s">
        <v>42</v>
      </c>
      <c r="AF22" s="105" t="s">
        <v>43</v>
      </c>
      <c r="AG22" s="103" t="s">
        <v>44</v>
      </c>
    </row>
    <row r="23" spans="1:33" ht="15" x14ac:dyDescent="0.2">
      <c r="A23" s="115">
        <v>223</v>
      </c>
      <c r="B23" s="116">
        <v>2</v>
      </c>
      <c r="C23" s="117" t="s">
        <v>314</v>
      </c>
      <c r="D23" s="118" t="str">
        <f>REPT("   ", B23*2) &amp; C23</f>
        <v xml:space="preserve">            Testing Building</v>
      </c>
      <c r="E23" s="109"/>
      <c r="F23" s="110"/>
      <c r="G23" s="111"/>
      <c r="H23" s="109"/>
      <c r="I23" s="109"/>
      <c r="J23" s="78"/>
      <c r="K23" s="112"/>
      <c r="L23" s="100"/>
      <c r="M23" s="119"/>
      <c r="N23" s="100"/>
      <c r="O23" s="100"/>
      <c r="P23" s="114"/>
      <c r="Q23" s="59"/>
      <c r="R23" s="79"/>
      <c r="S23" s="102"/>
      <c r="T23" s="60"/>
      <c r="U23" s="80"/>
      <c r="V23" s="61"/>
      <c r="W23" s="103" t="s">
        <v>39</v>
      </c>
      <c r="X23" s="104">
        <f t="shared" si="14"/>
        <v>0</v>
      </c>
      <c r="Y23" s="104">
        <f t="shared" si="15"/>
        <v>0</v>
      </c>
      <c r="Z23" s="103" t="s">
        <v>40</v>
      </c>
      <c r="AA23" s="105">
        <f t="shared" si="16"/>
        <v>0</v>
      </c>
      <c r="AB23" s="105">
        <f t="shared" si="17"/>
        <v>0</v>
      </c>
      <c r="AC23" s="103" t="s">
        <v>40</v>
      </c>
      <c r="AD23" s="105">
        <v>0.1</v>
      </c>
      <c r="AE23" s="105" t="s">
        <v>42</v>
      </c>
      <c r="AF23" s="105" t="s">
        <v>43</v>
      </c>
      <c r="AG23" s="103" t="s">
        <v>44</v>
      </c>
    </row>
    <row r="24" spans="1:33" ht="29" x14ac:dyDescent="0.2">
      <c r="A24" s="106">
        <v>224</v>
      </c>
      <c r="B24" s="107">
        <f>IF(ISNUMBER(A24),
    IF(AND(A24=INT(A24), MOD(A24, 10) = 0), 0,
        IF(AND(A24=INT(A24), LEN(A24)=2), 1,
            IF(AND(A24=INT(A24), LEN(A24)=3), 2,
                LEN(A24) - FIND(".", A24) + 2)
        )
    ),
"")</f>
        <v>2</v>
      </c>
      <c r="C24" s="108" t="s">
        <v>315</v>
      </c>
      <c r="D24" s="109" t="str">
        <f>REPT("   ", B24*2) &amp; C24</f>
        <v xml:space="preserve">            Warehouse</v>
      </c>
      <c r="E24" s="109" t="s">
        <v>33</v>
      </c>
      <c r="F24" s="109"/>
      <c r="G24" s="111"/>
      <c r="H24" s="109"/>
      <c r="I24" s="109"/>
      <c r="J24" s="120"/>
      <c r="K24" s="112">
        <v>3842.71</v>
      </c>
      <c r="L24" s="121" t="s">
        <v>72</v>
      </c>
      <c r="M24" s="113" t="s">
        <v>316</v>
      </c>
      <c r="N24" s="100">
        <v>1</v>
      </c>
      <c r="O24" s="100" t="s">
        <v>73</v>
      </c>
      <c r="P24" s="101">
        <v>1</v>
      </c>
      <c r="Q24" s="59">
        <v>2025</v>
      </c>
      <c r="R24" s="79" t="s">
        <v>71</v>
      </c>
      <c r="S24" s="102"/>
      <c r="T24" s="60"/>
      <c r="U24" s="80"/>
      <c r="V24" s="61"/>
      <c r="W24" s="103" t="s">
        <v>39</v>
      </c>
      <c r="X24" s="104">
        <f t="shared" si="14"/>
        <v>0</v>
      </c>
      <c r="Y24" s="104">
        <f t="shared" si="15"/>
        <v>0</v>
      </c>
      <c r="Z24" s="103" t="s">
        <v>40</v>
      </c>
      <c r="AA24" s="105">
        <f t="shared" si="16"/>
        <v>3458.4390000000003</v>
      </c>
      <c r="AB24" s="105">
        <f t="shared" si="17"/>
        <v>4995.5230000000001</v>
      </c>
      <c r="AC24" s="103" t="s">
        <v>40</v>
      </c>
      <c r="AD24" s="105" t="s">
        <v>41</v>
      </c>
      <c r="AE24" s="105" t="s">
        <v>42</v>
      </c>
      <c r="AF24" s="105" t="s">
        <v>43</v>
      </c>
      <c r="AG24" s="103" t="s">
        <v>44</v>
      </c>
    </row>
    <row r="25" spans="1:33" ht="57" x14ac:dyDescent="0.2">
      <c r="A25" s="106">
        <v>225</v>
      </c>
      <c r="B25" s="107">
        <f t="shared" ref="B25" si="18">IF(ISNUMBER(A25),
    IF(AND(A25=INT(A25), MOD(A25, 10) = 0), 0,
        IF(AND(A25=INT(A25), LEN(A25)=2), 1,
            IF(AND(A25=INT(A25), LEN(A25)=3), 2,
                LEN(A25) - FIND(".", A25) + 2)
        )
    ),
"")</f>
        <v>2</v>
      </c>
      <c r="C25" s="108" t="s">
        <v>317</v>
      </c>
      <c r="D25" s="109" t="str">
        <f t="shared" ref="D25" si="19">REPT("   ", B25*2) &amp; C25</f>
        <v xml:space="preserve">            Administrative Building</v>
      </c>
      <c r="E25" s="109" t="s">
        <v>33</v>
      </c>
      <c r="F25" s="109"/>
      <c r="G25" s="111"/>
      <c r="H25" s="109"/>
      <c r="I25" s="109"/>
      <c r="J25" s="78"/>
      <c r="K25" s="112">
        <f>0.7*1968*(3.2808^2)</f>
        <v>14828.002366464001</v>
      </c>
      <c r="L25" s="100" t="s">
        <v>72</v>
      </c>
      <c r="M25" s="113" t="s">
        <v>318</v>
      </c>
      <c r="N25" s="100">
        <v>1</v>
      </c>
      <c r="O25" s="100" t="s">
        <v>73</v>
      </c>
      <c r="P25" s="101">
        <v>1</v>
      </c>
      <c r="Q25" s="59">
        <v>2025</v>
      </c>
      <c r="R25" s="79" t="s">
        <v>71</v>
      </c>
      <c r="S25" s="102" t="s">
        <v>308</v>
      </c>
      <c r="T25" s="60"/>
      <c r="U25" s="80"/>
      <c r="V25" s="61"/>
      <c r="W25" s="103" t="s">
        <v>39</v>
      </c>
      <c r="X25" s="104">
        <f t="shared" si="14"/>
        <v>0</v>
      </c>
      <c r="Y25" s="104">
        <f t="shared" si="15"/>
        <v>0</v>
      </c>
      <c r="Z25" s="103" t="s">
        <v>40</v>
      </c>
      <c r="AA25" s="105">
        <f t="shared" si="16"/>
        <v>13345.202129817601</v>
      </c>
      <c r="AB25" s="105">
        <f t="shared" si="17"/>
        <v>19276.403076403203</v>
      </c>
      <c r="AC25" s="103" t="s">
        <v>40</v>
      </c>
      <c r="AD25" s="105" t="s">
        <v>41</v>
      </c>
      <c r="AE25" s="105" t="s">
        <v>42</v>
      </c>
      <c r="AF25" s="105" t="s">
        <v>43</v>
      </c>
      <c r="AG25" s="103" t="s">
        <v>44</v>
      </c>
    </row>
    <row r="26" spans="1:33" ht="15" x14ac:dyDescent="0.2">
      <c r="A26" s="106">
        <v>23</v>
      </c>
      <c r="B26" s="107">
        <f t="shared" si="0"/>
        <v>1</v>
      </c>
      <c r="C26" s="122" t="s">
        <v>76</v>
      </c>
      <c r="D26" s="109" t="str">
        <f t="shared" si="1"/>
        <v xml:space="preserve">      Equipment</v>
      </c>
      <c r="E26" s="109"/>
      <c r="F26" s="109"/>
      <c r="G26" s="111"/>
      <c r="H26" s="109"/>
      <c r="I26" s="121"/>
      <c r="J26" s="112"/>
      <c r="K26" s="123"/>
      <c r="L26" s="103"/>
      <c r="M26" s="124"/>
      <c r="N26" s="103"/>
      <c r="O26" s="103"/>
      <c r="P26" s="105"/>
      <c r="Q26" s="105"/>
      <c r="R26" s="103"/>
      <c r="S26" s="124"/>
      <c r="T26" s="103"/>
      <c r="U26" s="103"/>
      <c r="V26" s="103"/>
      <c r="W26" s="103"/>
      <c r="X26" s="104"/>
      <c r="Y26" s="104"/>
      <c r="Z26" s="103"/>
      <c r="AA26" s="105"/>
      <c r="AB26" s="105"/>
      <c r="AC26" s="103"/>
      <c r="AD26" s="105"/>
      <c r="AE26" s="105"/>
      <c r="AF26" s="105"/>
      <c r="AG26" s="103"/>
    </row>
    <row r="27" spans="1:33" ht="43" x14ac:dyDescent="0.2">
      <c r="A27" s="65">
        <v>23.5</v>
      </c>
      <c r="B27" s="50">
        <v>2</v>
      </c>
      <c r="C27" s="56" t="s">
        <v>319</v>
      </c>
      <c r="D27" s="51" t="str">
        <f>REPT("   ", B27*2) &amp; C27</f>
        <v xml:space="preserve">            Local Integrated Control Rooms</v>
      </c>
      <c r="E27" s="51" t="s">
        <v>33</v>
      </c>
      <c r="F27" s="51" t="s">
        <v>320</v>
      </c>
      <c r="G27" s="52">
        <v>1</v>
      </c>
      <c r="H27" s="51"/>
      <c r="I27" s="51"/>
      <c r="J27" s="37">
        <v>8500000</v>
      </c>
      <c r="K27" s="37"/>
      <c r="L27" s="35"/>
      <c r="M27" s="36"/>
      <c r="N27" s="35"/>
      <c r="O27" s="35"/>
      <c r="P27" s="35"/>
      <c r="Q27" s="38">
        <v>2023</v>
      </c>
      <c r="R27" s="35" t="s">
        <v>64</v>
      </c>
      <c r="S27" s="36" t="s">
        <v>105</v>
      </c>
      <c r="T27" s="36" t="s">
        <v>106</v>
      </c>
      <c r="U27" s="125" t="s">
        <v>107</v>
      </c>
      <c r="V27" s="35" t="s">
        <v>108</v>
      </c>
      <c r="W27" s="39" t="s">
        <v>77</v>
      </c>
      <c r="X27" s="41">
        <f t="shared" ref="X27" si="20">0.9*$H27</f>
        <v>0</v>
      </c>
      <c r="Y27" s="41">
        <f t="shared" ref="Y27" si="21">1.5*J27</f>
        <v>12750000</v>
      </c>
      <c r="Z27" s="39" t="s">
        <v>40</v>
      </c>
      <c r="AA27" s="40">
        <f t="shared" ref="AA27" si="22">0.9*K27</f>
        <v>0</v>
      </c>
      <c r="AB27" s="40">
        <f t="shared" ref="AB27" si="23">1.3*K27</f>
        <v>0</v>
      </c>
      <c r="AC27" s="39" t="s">
        <v>40</v>
      </c>
      <c r="AD27" s="40" t="s">
        <v>41</v>
      </c>
      <c r="AE27" s="40" t="s">
        <v>42</v>
      </c>
      <c r="AF27" s="40" t="s">
        <v>43</v>
      </c>
      <c r="AG27" s="39" t="s">
        <v>44</v>
      </c>
    </row>
    <row r="28" spans="1:33" ht="15" x14ac:dyDescent="0.2">
      <c r="A28" s="48">
        <v>28</v>
      </c>
      <c r="B28" s="50">
        <f t="shared" ref="B28:B69" si="24">IF(ISNUMBER(A28),
    IF(AND(A28=INT(A28), MOD(A28, 10) = 0), 0,
        IF(AND(A28=INT(A28), LEN(A28)=2), 1,
            IF(AND(A28=INT(A28), LEN(A28)=3), 2,
                LEN(A28) - FIND(".", A28) + 2)
        )
    ),
"")</f>
        <v>1</v>
      </c>
      <c r="C28" s="126" t="s">
        <v>321</v>
      </c>
      <c r="D28" s="51" t="str">
        <f t="shared" ref="D28:D69" si="25">REPT("   ", B28*2) &amp; C28</f>
        <v xml:space="preserve">      Auxiliary Infrastructure Equipment</v>
      </c>
      <c r="E28" s="51"/>
      <c r="F28" s="51"/>
      <c r="G28" s="52"/>
      <c r="H28" s="51"/>
      <c r="I28" s="51"/>
      <c r="J28" s="127"/>
      <c r="K28" s="57"/>
      <c r="L28" s="61"/>
      <c r="M28" s="58"/>
      <c r="N28" s="61"/>
      <c r="O28" s="61"/>
      <c r="P28" s="59"/>
      <c r="Q28" s="59"/>
      <c r="R28" s="61"/>
      <c r="S28" s="68"/>
      <c r="T28" s="68"/>
      <c r="U28" s="61"/>
      <c r="V28" s="61"/>
      <c r="W28" s="54"/>
      <c r="X28" s="62"/>
      <c r="Y28" s="62"/>
      <c r="Z28" s="54"/>
      <c r="AA28" s="55"/>
      <c r="AB28" s="55"/>
      <c r="AC28" s="54"/>
      <c r="AD28" s="55"/>
      <c r="AE28" s="55"/>
      <c r="AF28" s="55"/>
      <c r="AG28" s="54"/>
    </row>
    <row r="29" spans="1:33" ht="71" x14ac:dyDescent="0.2">
      <c r="A29" s="106">
        <v>281</v>
      </c>
      <c r="B29" s="107">
        <f>IF(ISNUMBER(A29),
    IF(AND(A29=INT(A29), MOD(A29, 10) = 0), 0,
        IF(AND(A29=INT(A29), LEN(A29)=2), 1,
            IF(AND(A29=INT(A29), LEN(A29)=3), 2,
                LEN(A29) - FIND(".", A29) + 2)
        )
    ),
"")</f>
        <v>2</v>
      </c>
      <c r="C29" s="108" t="s">
        <v>322</v>
      </c>
      <c r="D29" s="109" t="str">
        <f>REPT("   ", B29*2) &amp; C29</f>
        <v xml:space="preserve">            Emergency Power</v>
      </c>
      <c r="E29" s="109" t="s">
        <v>33</v>
      </c>
      <c r="F29" s="109"/>
      <c r="G29" s="111"/>
      <c r="H29" s="109"/>
      <c r="I29" s="109"/>
      <c r="J29" s="78"/>
      <c r="K29" s="112">
        <f>(1450000*5+1500000)/2.5</f>
        <v>3500000</v>
      </c>
      <c r="L29" s="100" t="s">
        <v>46</v>
      </c>
      <c r="M29" s="113" t="s">
        <v>323</v>
      </c>
      <c r="N29" s="100">
        <v>1</v>
      </c>
      <c r="O29" s="100" t="s">
        <v>47</v>
      </c>
      <c r="P29" s="101">
        <v>1</v>
      </c>
      <c r="Q29" s="59">
        <v>2025</v>
      </c>
      <c r="R29" s="79" t="s">
        <v>76</v>
      </c>
      <c r="S29" s="128" t="s">
        <v>324</v>
      </c>
      <c r="T29" s="128"/>
      <c r="U29" s="129"/>
      <c r="V29" s="103"/>
      <c r="W29" s="54"/>
      <c r="X29" s="62"/>
      <c r="Y29" s="62"/>
      <c r="Z29" s="54"/>
      <c r="AA29" s="55"/>
      <c r="AB29" s="55"/>
      <c r="AC29" s="54"/>
      <c r="AD29" s="55"/>
      <c r="AE29" s="55"/>
      <c r="AF29" s="55"/>
      <c r="AG29" s="54"/>
    </row>
    <row r="30" spans="1:33" ht="57" x14ac:dyDescent="0.2">
      <c r="A30" s="106">
        <v>283</v>
      </c>
      <c r="B30" s="107">
        <f>IF(ISNUMBER(A30),
    IF(AND(A30=INT(A30), MOD(A30, 10) = 0), 0,
        IF(AND(A30=INT(A30), LEN(A30)=2), 1,
            IF(AND(A30=INT(A30), LEN(A30)=3), 2,
                LEN(A30) - FIND(".", A30) + 2)
        )
    ),
"")</f>
        <v>2</v>
      </c>
      <c r="C30" s="108" t="s">
        <v>325</v>
      </c>
      <c r="D30" s="109" t="str">
        <f>REPT("   ", B30*2) &amp; C30</f>
        <v xml:space="preserve">            Fire Station</v>
      </c>
      <c r="E30" s="109" t="s">
        <v>33</v>
      </c>
      <c r="F30" s="109" t="s">
        <v>326</v>
      </c>
      <c r="G30" s="111">
        <v>1</v>
      </c>
      <c r="H30" s="109"/>
      <c r="I30" s="109"/>
      <c r="J30" s="78">
        <f>0.7*20776500</f>
        <v>14543550</v>
      </c>
      <c r="K30" s="112"/>
      <c r="L30" s="100"/>
      <c r="M30" s="113"/>
      <c r="N30" s="100"/>
      <c r="O30" s="100"/>
      <c r="P30" s="101"/>
      <c r="Q30" s="59">
        <v>2025</v>
      </c>
      <c r="R30" s="79" t="s">
        <v>71</v>
      </c>
      <c r="S30" s="102" t="s">
        <v>308</v>
      </c>
      <c r="T30" s="60"/>
      <c r="U30" s="80"/>
      <c r="V30" s="61"/>
      <c r="W30" s="103" t="s">
        <v>39</v>
      </c>
      <c r="X30" s="104">
        <f>0.9*$I30</f>
        <v>0</v>
      </c>
      <c r="Y30" s="104">
        <f>1.5*J30</f>
        <v>21815325</v>
      </c>
      <c r="Z30" s="103" t="s">
        <v>40</v>
      </c>
      <c r="AA30" s="105">
        <f>0.9*K30</f>
        <v>0</v>
      </c>
      <c r="AB30" s="105">
        <f>1.3*K30</f>
        <v>0</v>
      </c>
      <c r="AC30" s="103" t="s">
        <v>40</v>
      </c>
      <c r="AD30" s="105" t="s">
        <v>41</v>
      </c>
      <c r="AE30" s="105" t="s">
        <v>42</v>
      </c>
      <c r="AF30" s="105" t="s">
        <v>43</v>
      </c>
      <c r="AG30" s="103" t="s">
        <v>44</v>
      </c>
    </row>
    <row r="31" spans="1:33" ht="57" x14ac:dyDescent="0.2">
      <c r="A31" s="106">
        <v>284</v>
      </c>
      <c r="B31" s="107">
        <f t="shared" ref="B31" si="26">IF(ISNUMBER(A31),
    IF(AND(A31=INT(A31), MOD(A31, 10) = 0), 0,
        IF(AND(A31=INT(A31), LEN(A31)=2), 1,
            IF(AND(A31=INT(A31), LEN(A31)=3), 2,
                LEN(A31) - FIND(".", A31) + 2)
        )
    ),
"")</f>
        <v>2</v>
      </c>
      <c r="C31" s="108" t="s">
        <v>327</v>
      </c>
      <c r="D31" s="109" t="str">
        <f t="shared" ref="D31" si="27">REPT("   ", B31*2) &amp; C31</f>
        <v xml:space="preserve">            Security Building</v>
      </c>
      <c r="E31" s="109" t="s">
        <v>33</v>
      </c>
      <c r="F31" s="109"/>
      <c r="G31" s="111"/>
      <c r="H31" s="109"/>
      <c r="I31" s="109"/>
      <c r="J31" s="78"/>
      <c r="K31" s="112">
        <f>0.7*2548*(3.2808^2)</f>
        <v>19198.043714304</v>
      </c>
      <c r="L31" s="100" t="s">
        <v>72</v>
      </c>
      <c r="M31" s="113" t="s">
        <v>328</v>
      </c>
      <c r="N31" s="100">
        <v>1</v>
      </c>
      <c r="O31" s="100" t="s">
        <v>73</v>
      </c>
      <c r="P31" s="101">
        <v>1</v>
      </c>
      <c r="Q31" s="59">
        <v>2025</v>
      </c>
      <c r="R31" s="79" t="s">
        <v>71</v>
      </c>
      <c r="S31" s="102" t="s">
        <v>308</v>
      </c>
      <c r="T31" s="60"/>
      <c r="U31" s="80"/>
      <c r="V31" s="61"/>
      <c r="W31" s="103" t="s">
        <v>39</v>
      </c>
      <c r="X31" s="104">
        <f>0.9*$I31</f>
        <v>0</v>
      </c>
      <c r="Y31" s="104">
        <f>1.5*J31</f>
        <v>0</v>
      </c>
      <c r="Z31" s="103" t="s">
        <v>40</v>
      </c>
      <c r="AA31" s="105">
        <f>0.9*K31</f>
        <v>17278.2393428736</v>
      </c>
      <c r="AB31" s="105">
        <f>1.3*K31</f>
        <v>24957.456828595201</v>
      </c>
      <c r="AC31" s="103" t="s">
        <v>40</v>
      </c>
      <c r="AD31" s="105" t="s">
        <v>41</v>
      </c>
      <c r="AE31" s="105" t="s">
        <v>42</v>
      </c>
      <c r="AF31" s="105" t="s">
        <v>43</v>
      </c>
      <c r="AG31" s="103" t="s">
        <v>44</v>
      </c>
    </row>
    <row r="32" spans="1:33" ht="57" x14ac:dyDescent="0.2">
      <c r="A32" s="106">
        <v>285</v>
      </c>
      <c r="B32" s="107">
        <f>IF(ISNUMBER(A32),
    IF(AND(A32=INT(A32), MOD(A32, 10) = 0), 0,
        IF(AND(A32=INT(A32), LEN(A32)=2), 1,
            IF(AND(A32=INT(A32), LEN(A32)=3), 2,
                LEN(A32) - FIND(".", A32) + 2)
        )
    ),
"")</f>
        <v>2</v>
      </c>
      <c r="C32" s="108" t="s">
        <v>329</v>
      </c>
      <c r="D32" s="109" t="str">
        <f>REPT("   ", B32*2) &amp; C32</f>
        <v xml:space="preserve">            Switchyard</v>
      </c>
      <c r="E32" s="109" t="s">
        <v>33</v>
      </c>
      <c r="F32" s="109"/>
      <c r="G32" s="111"/>
      <c r="H32" s="109"/>
      <c r="I32" s="109"/>
      <c r="J32" s="78"/>
      <c r="K32" s="112">
        <f>0.7*221450153/N32</f>
        <v>516717.02366666665</v>
      </c>
      <c r="L32" s="100" t="s">
        <v>46</v>
      </c>
      <c r="M32" s="113" t="s">
        <v>330</v>
      </c>
      <c r="N32" s="100">
        <v>300</v>
      </c>
      <c r="O32" s="100" t="s">
        <v>47</v>
      </c>
      <c r="P32" s="114">
        <v>0.99680000000000002</v>
      </c>
      <c r="Q32" s="59">
        <v>2025</v>
      </c>
      <c r="R32" s="79" t="s">
        <v>71</v>
      </c>
      <c r="S32" s="102" t="s">
        <v>331</v>
      </c>
      <c r="T32" s="60"/>
      <c r="U32" s="80"/>
      <c r="V32" s="61"/>
      <c r="W32" s="103" t="s">
        <v>39</v>
      </c>
      <c r="X32" s="104">
        <f>0.9*$I32</f>
        <v>0</v>
      </c>
      <c r="Y32" s="104">
        <f>1.5*J32</f>
        <v>0</v>
      </c>
      <c r="Z32" s="103" t="s">
        <v>40</v>
      </c>
      <c r="AA32" s="105">
        <f>0.9*K32</f>
        <v>465045.32130000001</v>
      </c>
      <c r="AB32" s="105">
        <f>1.3*K32</f>
        <v>671732.13076666661</v>
      </c>
      <c r="AC32" s="103" t="s">
        <v>40</v>
      </c>
      <c r="AD32" s="105" t="s">
        <v>41</v>
      </c>
      <c r="AE32" s="105" t="s">
        <v>42</v>
      </c>
      <c r="AF32" s="105" t="s">
        <v>43</v>
      </c>
      <c r="AG32" s="103" t="s">
        <v>44</v>
      </c>
    </row>
    <row r="33" spans="1:33" ht="15" x14ac:dyDescent="0.2">
      <c r="A33" s="48">
        <v>286</v>
      </c>
      <c r="B33" s="50">
        <f t="shared" si="24"/>
        <v>2</v>
      </c>
      <c r="C33" s="126" t="s">
        <v>332</v>
      </c>
      <c r="D33" s="51" t="str">
        <f t="shared" si="25"/>
        <v xml:space="preserve">            Onsite Transport Equipment</v>
      </c>
      <c r="E33" s="51"/>
      <c r="F33" s="51"/>
      <c r="G33" s="52"/>
      <c r="H33" s="51"/>
      <c r="I33" s="51"/>
      <c r="J33" s="127"/>
      <c r="K33" s="57"/>
      <c r="L33" s="61"/>
      <c r="M33" s="58"/>
      <c r="N33" s="61"/>
      <c r="O33" s="61"/>
      <c r="P33" s="59"/>
      <c r="Q33" s="59"/>
      <c r="R33" s="61"/>
      <c r="S33" s="68"/>
      <c r="T33" s="68"/>
      <c r="U33" s="61"/>
      <c r="V33" s="61"/>
      <c r="W33" s="54"/>
      <c r="X33" s="62"/>
      <c r="Y33" s="62"/>
      <c r="Z33" s="54"/>
      <c r="AA33" s="55"/>
      <c r="AB33" s="55"/>
      <c r="AC33" s="54"/>
      <c r="AD33" s="55"/>
      <c r="AE33" s="55"/>
      <c r="AF33" s="55"/>
      <c r="AG33" s="54"/>
    </row>
    <row r="34" spans="1:33" ht="43" x14ac:dyDescent="0.2">
      <c r="A34" s="48">
        <v>286.10000000000002</v>
      </c>
      <c r="B34" s="50">
        <f t="shared" si="24"/>
        <v>3</v>
      </c>
      <c r="C34" s="126" t="s">
        <v>333</v>
      </c>
      <c r="D34" s="51" t="str">
        <f t="shared" si="25"/>
        <v xml:space="preserve">                  Local Reactor Transport Vehicles</v>
      </c>
      <c r="E34" s="51" t="s">
        <v>33</v>
      </c>
      <c r="F34" s="51" t="s">
        <v>334</v>
      </c>
      <c r="G34" s="52">
        <v>1</v>
      </c>
      <c r="H34" s="51"/>
      <c r="I34" s="51"/>
      <c r="J34" s="127">
        <v>938000</v>
      </c>
      <c r="K34" s="57"/>
      <c r="L34" s="61"/>
      <c r="M34" s="58"/>
      <c r="N34" s="61"/>
      <c r="O34" s="61"/>
      <c r="P34" s="59"/>
      <c r="Q34" s="59">
        <v>2023</v>
      </c>
      <c r="R34" s="61" t="s">
        <v>76</v>
      </c>
      <c r="S34" s="68" t="s">
        <v>335</v>
      </c>
      <c r="T34" s="68" t="s">
        <v>336</v>
      </c>
      <c r="U34" s="61"/>
      <c r="V34" s="61"/>
      <c r="W34" s="54" t="s">
        <v>39</v>
      </c>
      <c r="X34" s="62">
        <f t="shared" ref="X34:X35" si="28">0.9*$J34</f>
        <v>844200</v>
      </c>
      <c r="Y34" s="62">
        <f t="shared" ref="Y34:Y35" si="29">1.5*J34</f>
        <v>1407000</v>
      </c>
      <c r="Z34" s="54" t="s">
        <v>40</v>
      </c>
      <c r="AA34" s="55">
        <f t="shared" ref="AA34:AA35" si="30">0.9*K34</f>
        <v>0</v>
      </c>
      <c r="AB34" s="55">
        <f t="shared" ref="AB34:AB35" si="31">1.3*K34</f>
        <v>0</v>
      </c>
      <c r="AC34" s="54" t="s">
        <v>40</v>
      </c>
      <c r="AD34" s="55" t="s">
        <v>41</v>
      </c>
      <c r="AE34" s="55" t="s">
        <v>42</v>
      </c>
      <c r="AF34" s="55" t="s">
        <v>43</v>
      </c>
      <c r="AG34" s="54" t="s">
        <v>44</v>
      </c>
    </row>
    <row r="35" spans="1:33" ht="29" x14ac:dyDescent="0.2">
      <c r="A35" s="48">
        <v>286.2</v>
      </c>
      <c r="B35" s="50">
        <f t="shared" si="24"/>
        <v>3</v>
      </c>
      <c r="C35" s="126" t="s">
        <v>337</v>
      </c>
      <c r="D35" s="51" t="str">
        <f t="shared" si="25"/>
        <v xml:space="preserve">                  Utility Vehicles</v>
      </c>
      <c r="E35" s="51" t="s">
        <v>33</v>
      </c>
      <c r="F35" s="51" t="s">
        <v>338</v>
      </c>
      <c r="G35" s="52">
        <v>1</v>
      </c>
      <c r="H35" s="51"/>
      <c r="I35" s="51"/>
      <c r="J35" s="127">
        <v>50000</v>
      </c>
      <c r="K35" s="57"/>
      <c r="L35" s="61"/>
      <c r="M35" s="58"/>
      <c r="N35" s="61"/>
      <c r="O35" s="61"/>
      <c r="P35" s="59"/>
      <c r="Q35" s="59">
        <v>2024</v>
      </c>
      <c r="R35" s="61" t="s">
        <v>76</v>
      </c>
      <c r="S35" s="68" t="s">
        <v>339</v>
      </c>
      <c r="T35" s="68"/>
      <c r="U35" s="61"/>
      <c r="V35" s="61"/>
      <c r="W35" s="54" t="s">
        <v>39</v>
      </c>
      <c r="X35" s="62">
        <f t="shared" si="28"/>
        <v>45000</v>
      </c>
      <c r="Y35" s="62">
        <f t="shared" si="29"/>
        <v>75000</v>
      </c>
      <c r="Z35" s="54" t="s">
        <v>40</v>
      </c>
      <c r="AA35" s="55">
        <f t="shared" si="30"/>
        <v>0</v>
      </c>
      <c r="AB35" s="55">
        <f t="shared" si="31"/>
        <v>0</v>
      </c>
      <c r="AC35" s="54" t="s">
        <v>40</v>
      </c>
      <c r="AD35" s="55" t="s">
        <v>41</v>
      </c>
      <c r="AE35" s="55" t="s">
        <v>42</v>
      </c>
      <c r="AF35" s="55" t="s">
        <v>43</v>
      </c>
      <c r="AG35" s="54" t="s">
        <v>44</v>
      </c>
    </row>
    <row r="36" spans="1:33" ht="15" x14ac:dyDescent="0.2">
      <c r="A36" s="48">
        <v>288</v>
      </c>
      <c r="B36" s="50">
        <f t="shared" si="24"/>
        <v>2</v>
      </c>
      <c r="C36" s="126" t="s">
        <v>340</v>
      </c>
      <c r="D36" s="51" t="str">
        <f t="shared" si="25"/>
        <v xml:space="preserve">            Dispered Infrastructure</v>
      </c>
      <c r="E36" s="51"/>
      <c r="F36" s="51"/>
      <c r="G36" s="52"/>
      <c r="H36" s="51"/>
      <c r="I36" s="51"/>
      <c r="J36" s="130"/>
      <c r="K36" s="57"/>
      <c r="L36" s="131"/>
      <c r="M36" s="58"/>
      <c r="N36" s="61"/>
      <c r="O36" s="61"/>
      <c r="P36" s="59"/>
      <c r="Q36" s="59"/>
      <c r="R36" s="61"/>
      <c r="S36" s="132" t="s">
        <v>341</v>
      </c>
      <c r="T36" s="68"/>
      <c r="U36" s="133"/>
      <c r="V36" s="134"/>
      <c r="W36" s="54"/>
      <c r="X36" s="62"/>
      <c r="Y36" s="62"/>
      <c r="Z36" s="54"/>
      <c r="AA36" s="55"/>
      <c r="AB36" s="55"/>
      <c r="AC36" s="54"/>
      <c r="AD36" s="55"/>
      <c r="AE36" s="55"/>
      <c r="AF36" s="55"/>
      <c r="AG36" s="54"/>
    </row>
    <row r="37" spans="1:33" ht="43" x14ac:dyDescent="0.2">
      <c r="A37" s="48">
        <v>288.10000000000002</v>
      </c>
      <c r="B37" s="50">
        <v>3</v>
      </c>
      <c r="C37" s="126" t="s">
        <v>342</v>
      </c>
      <c r="D37" s="51" t="str">
        <f t="shared" si="25"/>
        <v xml:space="preserve">                  Communication</v>
      </c>
      <c r="E37" s="51" t="s">
        <v>33</v>
      </c>
      <c r="F37" s="51"/>
      <c r="G37" s="52"/>
      <c r="H37" s="51"/>
      <c r="I37" s="51"/>
      <c r="J37" s="127"/>
      <c r="K37" s="135">
        <f>12575250/N37</f>
        <v>11774.578651685393</v>
      </c>
      <c r="L37" s="61" t="s">
        <v>34</v>
      </c>
      <c r="M37" s="136" t="s">
        <v>343</v>
      </c>
      <c r="N37" s="61">
        <v>1068</v>
      </c>
      <c r="O37" s="61" t="s">
        <v>35</v>
      </c>
      <c r="P37" s="59"/>
      <c r="Q37" s="59">
        <v>2025</v>
      </c>
      <c r="R37" s="61" t="s">
        <v>76</v>
      </c>
      <c r="S37" s="88" t="s">
        <v>344</v>
      </c>
      <c r="T37" s="68"/>
      <c r="U37" s="133"/>
      <c r="V37" s="134"/>
      <c r="W37" s="54"/>
      <c r="X37" s="62"/>
      <c r="Y37" s="62"/>
      <c r="Z37" s="54"/>
      <c r="AA37" s="55"/>
      <c r="AB37" s="55"/>
      <c r="AC37" s="54"/>
      <c r="AD37" s="55"/>
      <c r="AE37" s="55"/>
      <c r="AF37" s="55"/>
      <c r="AG37" s="54"/>
    </row>
    <row r="38" spans="1:33" ht="29" x14ac:dyDescent="0.2">
      <c r="A38" s="48">
        <v>288.2</v>
      </c>
      <c r="B38" s="50">
        <v>3</v>
      </c>
      <c r="C38" s="126" t="s">
        <v>345</v>
      </c>
      <c r="D38" s="51" t="str">
        <f t="shared" si="25"/>
        <v xml:space="preserve">                  Security Cameras</v>
      </c>
      <c r="E38" s="51" t="s">
        <v>33</v>
      </c>
      <c r="F38" s="51" t="s">
        <v>346</v>
      </c>
      <c r="G38" s="52">
        <v>1</v>
      </c>
      <c r="H38" s="51"/>
      <c r="I38" s="51"/>
      <c r="J38" s="137">
        <v>28431</v>
      </c>
      <c r="K38" s="57"/>
      <c r="L38" s="61"/>
      <c r="M38" s="58"/>
      <c r="N38" s="61"/>
      <c r="O38" s="61"/>
      <c r="P38" s="59"/>
      <c r="Q38" s="59">
        <v>2025</v>
      </c>
      <c r="R38" s="61" t="s">
        <v>76</v>
      </c>
      <c r="S38" s="88" t="s">
        <v>347</v>
      </c>
      <c r="T38" s="68"/>
      <c r="U38" s="133"/>
      <c r="V38" s="134"/>
      <c r="W38" s="54"/>
      <c r="X38" s="62"/>
      <c r="Y38" s="62"/>
      <c r="Z38" s="54"/>
      <c r="AA38" s="55"/>
      <c r="AB38" s="55"/>
      <c r="AC38" s="54"/>
      <c r="AD38" s="55"/>
      <c r="AE38" s="55"/>
      <c r="AF38" s="55"/>
      <c r="AG38" s="54"/>
    </row>
    <row r="39" spans="1:33" ht="29" x14ac:dyDescent="0.2">
      <c r="A39" s="48">
        <v>288.3</v>
      </c>
      <c r="B39" s="50">
        <v>3</v>
      </c>
      <c r="C39" s="126" t="s">
        <v>348</v>
      </c>
      <c r="D39" s="51" t="str">
        <f t="shared" si="25"/>
        <v xml:space="preserve">                  Motion Detectors</v>
      </c>
      <c r="E39" s="51" t="s">
        <v>33</v>
      </c>
      <c r="F39" s="51" t="s">
        <v>349</v>
      </c>
      <c r="G39" s="52">
        <v>1</v>
      </c>
      <c r="H39" s="51"/>
      <c r="I39" s="51"/>
      <c r="J39" s="137">
        <v>24057</v>
      </c>
      <c r="K39" s="57"/>
      <c r="L39" s="61"/>
      <c r="M39" s="58"/>
      <c r="N39" s="61"/>
      <c r="O39" s="61"/>
      <c r="P39" s="59"/>
      <c r="Q39" s="59">
        <v>2025</v>
      </c>
      <c r="R39" s="61" t="s">
        <v>76</v>
      </c>
      <c r="S39" s="88" t="s">
        <v>347</v>
      </c>
      <c r="T39" s="68"/>
      <c r="U39" s="133"/>
      <c r="V39" s="134"/>
      <c r="W39" s="54"/>
      <c r="X39" s="62"/>
      <c r="Y39" s="62"/>
      <c r="Z39" s="54"/>
      <c r="AA39" s="55"/>
      <c r="AB39" s="55"/>
      <c r="AC39" s="54"/>
      <c r="AD39" s="55"/>
      <c r="AE39" s="55"/>
      <c r="AF39" s="55"/>
      <c r="AG39" s="54"/>
    </row>
    <row r="40" spans="1:33" ht="29" x14ac:dyDescent="0.2">
      <c r="A40" s="48">
        <v>288.39999999999998</v>
      </c>
      <c r="B40" s="50">
        <v>3</v>
      </c>
      <c r="C40" s="126" t="s">
        <v>350</v>
      </c>
      <c r="D40" s="51" t="str">
        <f t="shared" si="25"/>
        <v xml:space="preserve">                  Guard Station</v>
      </c>
      <c r="E40" s="51" t="s">
        <v>33</v>
      </c>
      <c r="F40" s="51" t="s">
        <v>351</v>
      </c>
      <c r="G40" s="52">
        <v>1</v>
      </c>
      <c r="H40" s="51"/>
      <c r="I40" s="51"/>
      <c r="J40" s="138">
        <v>6774250</v>
      </c>
      <c r="K40" s="57"/>
      <c r="L40" s="61"/>
      <c r="M40" s="58"/>
      <c r="N40" s="61"/>
      <c r="O40" s="61"/>
      <c r="P40" s="59"/>
      <c r="Q40" s="59">
        <v>2025</v>
      </c>
      <c r="R40" s="61" t="s">
        <v>76</v>
      </c>
      <c r="S40" s="88" t="s">
        <v>347</v>
      </c>
      <c r="T40" s="68"/>
      <c r="U40" s="133"/>
      <c r="V40" s="134"/>
      <c r="W40" s="54"/>
      <c r="X40" s="62"/>
      <c r="Y40" s="62"/>
      <c r="Z40" s="54"/>
      <c r="AA40" s="55"/>
      <c r="AB40" s="55"/>
      <c r="AC40" s="54"/>
      <c r="AD40" s="55"/>
      <c r="AE40" s="55"/>
      <c r="AF40" s="55"/>
      <c r="AG40" s="54"/>
    </row>
    <row r="41" spans="1:33" ht="15" x14ac:dyDescent="0.2">
      <c r="A41" s="45">
        <v>30</v>
      </c>
      <c r="B41" s="50">
        <f>IF(ISNUMBER(A41),
    IF(AND(A41=INT(A41), MOD(A41, 10) = 0), 0,
        IF(AND(A41=INT(A41), LEN(A41)=2), 1,
            IF(AND(A41=INT(A41), LEN(A41)=3), 2,
                LEN(A41) - FIND(".", A41) + 2)
        )
    ),
"")</f>
        <v>0</v>
      </c>
      <c r="C41" s="67" t="s">
        <v>117</v>
      </c>
      <c r="D41" s="51" t="str">
        <f t="shared" si="25"/>
        <v>Capitalized Indirect Services Cost</v>
      </c>
      <c r="E41" s="51"/>
      <c r="F41" s="51"/>
      <c r="G41" s="52"/>
      <c r="H41" s="51"/>
      <c r="I41" s="51"/>
      <c r="J41" s="139"/>
      <c r="K41" s="63"/>
      <c r="L41" s="45"/>
      <c r="M41" s="45"/>
      <c r="N41" s="45"/>
      <c r="O41" s="45"/>
      <c r="P41" s="64"/>
      <c r="Q41" s="59"/>
      <c r="R41" s="61"/>
      <c r="S41" s="45"/>
      <c r="T41" s="45"/>
      <c r="U41" s="45"/>
      <c r="V41" s="45"/>
      <c r="W41" s="54"/>
      <c r="X41" s="62"/>
      <c r="Y41" s="62"/>
      <c r="Z41" s="54"/>
      <c r="AA41" s="55"/>
      <c r="AB41" s="55"/>
      <c r="AC41" s="54"/>
      <c r="AD41" s="55"/>
      <c r="AE41" s="55"/>
      <c r="AF41" s="55"/>
      <c r="AG41" s="54"/>
    </row>
    <row r="42" spans="1:33" ht="15" x14ac:dyDescent="0.2">
      <c r="A42" s="48">
        <v>40</v>
      </c>
      <c r="B42" s="50">
        <f t="shared" si="24"/>
        <v>0</v>
      </c>
      <c r="C42" s="67" t="s">
        <v>122</v>
      </c>
      <c r="D42" s="51" t="str">
        <f t="shared" si="25"/>
        <v>Capitalized training costs</v>
      </c>
      <c r="E42" s="51"/>
      <c r="F42" s="51"/>
      <c r="G42" s="52"/>
      <c r="H42" s="51"/>
      <c r="I42" s="51"/>
      <c r="J42" s="127"/>
      <c r="K42" s="63"/>
      <c r="L42" s="45"/>
      <c r="M42" s="45"/>
      <c r="N42" s="45"/>
      <c r="O42" s="45"/>
      <c r="P42" s="64"/>
      <c r="Q42" s="64"/>
      <c r="R42" s="45"/>
      <c r="S42" s="45"/>
      <c r="T42" s="45"/>
      <c r="U42" s="45"/>
      <c r="V42" s="45"/>
      <c r="W42" s="54"/>
      <c r="X42" s="62"/>
      <c r="Y42" s="62"/>
      <c r="Z42" s="54"/>
      <c r="AA42" s="55"/>
      <c r="AB42" s="55"/>
      <c r="AC42" s="54"/>
      <c r="AD42" s="55"/>
      <c r="AE42" s="55"/>
      <c r="AF42" s="55"/>
      <c r="AG42" s="54"/>
    </row>
    <row r="43" spans="1:33" ht="15" x14ac:dyDescent="0.2">
      <c r="A43" s="48">
        <v>41</v>
      </c>
      <c r="B43" s="50">
        <f t="shared" si="24"/>
        <v>1</v>
      </c>
      <c r="C43" s="67" t="s">
        <v>123</v>
      </c>
      <c r="D43" s="51" t="str">
        <f t="shared" si="25"/>
        <v xml:space="preserve">      staff recruitment and training</v>
      </c>
      <c r="E43" s="51" t="s">
        <v>33</v>
      </c>
      <c r="F43" s="51" t="s">
        <v>287</v>
      </c>
      <c r="G43" s="52">
        <v>1</v>
      </c>
      <c r="H43" s="51"/>
      <c r="I43" s="51"/>
      <c r="J43" s="78">
        <v>300000</v>
      </c>
      <c r="K43" s="57"/>
      <c r="L43" s="61"/>
      <c r="M43" s="68"/>
      <c r="N43" s="61"/>
      <c r="O43" s="61"/>
      <c r="P43" s="59"/>
      <c r="Q43" s="59">
        <v>2024</v>
      </c>
      <c r="R43" s="61" t="s">
        <v>48</v>
      </c>
      <c r="S43" s="68"/>
      <c r="T43" s="61"/>
      <c r="U43" s="61"/>
      <c r="V43" s="61"/>
      <c r="W43" s="54" t="s">
        <v>39</v>
      </c>
      <c r="X43" s="62">
        <f t="shared" ref="X43" si="32">0.9*$J43</f>
        <v>270000</v>
      </c>
      <c r="Y43" s="62">
        <f t="shared" ref="Y43" si="33">1.5*J43</f>
        <v>450000</v>
      </c>
      <c r="Z43" s="54" t="s">
        <v>40</v>
      </c>
      <c r="AA43" s="55">
        <f t="shared" ref="AA43" si="34">0.9*K43</f>
        <v>0</v>
      </c>
      <c r="AB43" s="55">
        <f t="shared" ref="AB43" si="35">1.3*K43</f>
        <v>0</v>
      </c>
      <c r="AC43" s="54" t="s">
        <v>40</v>
      </c>
      <c r="AD43" s="55" t="s">
        <v>41</v>
      </c>
      <c r="AE43" s="55" t="s">
        <v>42</v>
      </c>
      <c r="AF43" s="55" t="s">
        <v>43</v>
      </c>
      <c r="AG43" s="54" t="s">
        <v>44</v>
      </c>
    </row>
    <row r="44" spans="1:33" ht="15" x14ac:dyDescent="0.2">
      <c r="A44" s="45">
        <v>60</v>
      </c>
      <c r="B44" s="50">
        <f t="shared" si="24"/>
        <v>0</v>
      </c>
      <c r="C44" s="67" t="s">
        <v>124</v>
      </c>
      <c r="D44" s="51" t="str">
        <f t="shared" si="25"/>
        <v xml:space="preserve">Capitalized Financial Costs </v>
      </c>
      <c r="E44" s="51"/>
      <c r="F44" s="51"/>
      <c r="G44" s="52"/>
      <c r="H44" s="51"/>
      <c r="I44" s="51"/>
      <c r="J44" s="77"/>
      <c r="K44" s="53"/>
      <c r="L44" s="50"/>
      <c r="M44" s="46"/>
      <c r="N44" s="50"/>
      <c r="O44" s="50"/>
      <c r="P44" s="53"/>
      <c r="Q44" s="53"/>
      <c r="R44" s="50"/>
      <c r="S44" s="46"/>
      <c r="T44" s="50"/>
      <c r="U44" s="50"/>
      <c r="V44" s="50"/>
      <c r="W44" s="54"/>
      <c r="X44" s="62"/>
      <c r="Y44" s="62"/>
      <c r="Z44" s="54"/>
      <c r="AA44" s="55"/>
      <c r="AB44" s="55"/>
      <c r="AC44" s="54"/>
      <c r="AD44" s="55"/>
      <c r="AE44" s="55"/>
      <c r="AF44" s="55"/>
      <c r="AG44" s="54"/>
    </row>
    <row r="45" spans="1:33" ht="15" x14ac:dyDescent="0.2">
      <c r="A45" s="48">
        <v>62</v>
      </c>
      <c r="B45" s="50">
        <f t="shared" si="24"/>
        <v>1</v>
      </c>
      <c r="C45" s="67" t="s">
        <v>125</v>
      </c>
      <c r="D45" s="51" t="str">
        <f t="shared" si="25"/>
        <v xml:space="preserve">      Interest</v>
      </c>
      <c r="E45" s="51"/>
      <c r="F45" s="51"/>
      <c r="G45" s="52"/>
      <c r="H45" s="51"/>
      <c r="I45" s="51"/>
      <c r="J45" s="78"/>
      <c r="K45" s="57"/>
      <c r="L45" s="61"/>
      <c r="M45" s="68"/>
      <c r="N45" s="61"/>
      <c r="O45" s="61"/>
      <c r="P45" s="59"/>
      <c r="Q45" s="59"/>
      <c r="R45" s="61"/>
      <c r="S45" s="68"/>
      <c r="T45" s="61"/>
      <c r="U45" s="61"/>
      <c r="V45" s="61"/>
      <c r="W45" s="54"/>
      <c r="X45" s="62"/>
      <c r="Y45" s="62"/>
      <c r="Z45" s="54"/>
      <c r="AA45" s="55"/>
      <c r="AB45" s="55"/>
      <c r="AC45" s="54"/>
      <c r="AD45" s="55"/>
      <c r="AE45" s="55"/>
      <c r="AF45" s="55"/>
      <c r="AG45" s="54"/>
    </row>
    <row r="46" spans="1:33" ht="15" x14ac:dyDescent="0.2">
      <c r="A46" s="48">
        <v>70</v>
      </c>
      <c r="B46" s="50">
        <f t="shared" si="24"/>
        <v>0</v>
      </c>
      <c r="C46" s="70" t="s">
        <v>126</v>
      </c>
      <c r="D46" s="51" t="str">
        <f t="shared" si="25"/>
        <v xml:space="preserve">Annualized O&amp;M Cost </v>
      </c>
      <c r="E46" s="51"/>
      <c r="F46" s="51"/>
      <c r="G46" s="52"/>
      <c r="H46" s="51"/>
      <c r="I46" s="51"/>
      <c r="J46" s="78"/>
      <c r="K46" s="57"/>
      <c r="L46" s="61"/>
      <c r="M46" s="68"/>
      <c r="N46" s="61"/>
      <c r="O46" s="61"/>
      <c r="P46" s="59"/>
      <c r="Q46" s="59"/>
      <c r="R46" s="61"/>
      <c r="S46" s="68"/>
      <c r="T46" s="68"/>
      <c r="U46" s="61"/>
      <c r="V46" s="61"/>
      <c r="W46" s="54"/>
      <c r="X46" s="62"/>
      <c r="Y46" s="62"/>
      <c r="Z46" s="54"/>
      <c r="AA46" s="55"/>
      <c r="AB46" s="55"/>
      <c r="AC46" s="54"/>
      <c r="AD46" s="55"/>
      <c r="AE46" s="55"/>
      <c r="AF46" s="55"/>
      <c r="AG46" s="54"/>
    </row>
    <row r="47" spans="1:33" ht="15" x14ac:dyDescent="0.2">
      <c r="A47" s="48">
        <v>71</v>
      </c>
      <c r="B47" s="50">
        <f t="shared" si="24"/>
        <v>1</v>
      </c>
      <c r="C47" s="67" t="s">
        <v>127</v>
      </c>
      <c r="D47" s="51" t="str">
        <f t="shared" si="25"/>
        <v xml:space="preserve">      O&amp;M Staff</v>
      </c>
      <c r="E47" s="51"/>
      <c r="F47" s="51"/>
      <c r="G47" s="52"/>
      <c r="H47" s="51"/>
      <c r="I47" s="51"/>
      <c r="J47" s="78"/>
      <c r="K47" s="57"/>
      <c r="L47" s="61"/>
      <c r="M47" s="68"/>
      <c r="N47" s="61"/>
      <c r="O47" s="61"/>
      <c r="P47" s="59"/>
      <c r="Q47" s="59"/>
      <c r="R47" s="61"/>
      <c r="S47" s="68"/>
      <c r="T47" s="68"/>
      <c r="U47" s="61"/>
      <c r="V47" s="61"/>
      <c r="W47" s="54"/>
      <c r="X47" s="62"/>
      <c r="Y47" s="62"/>
      <c r="Z47" s="54"/>
      <c r="AA47" s="55"/>
      <c r="AB47" s="55"/>
      <c r="AC47" s="54"/>
      <c r="AD47" s="55"/>
      <c r="AE47" s="55"/>
      <c r="AF47" s="55"/>
      <c r="AG47" s="54"/>
    </row>
    <row r="48" spans="1:33" ht="85" x14ac:dyDescent="0.2">
      <c r="A48" s="65">
        <v>711</v>
      </c>
      <c r="B48" s="50">
        <f t="shared" si="24"/>
        <v>2</v>
      </c>
      <c r="C48" s="67" t="s">
        <v>352</v>
      </c>
      <c r="D48" s="51" t="str">
        <f t="shared" si="25"/>
        <v xml:space="preserve">            Operators (Testing Only)</v>
      </c>
      <c r="E48" s="51" t="s">
        <v>96</v>
      </c>
      <c r="F48" s="51"/>
      <c r="G48" s="52"/>
      <c r="H48" s="51"/>
      <c r="I48" s="51"/>
      <c r="J48" s="78"/>
      <c r="K48" s="57">
        <v>178500</v>
      </c>
      <c r="L48" s="61" t="s">
        <v>129</v>
      </c>
      <c r="M48" s="68" t="s">
        <v>353</v>
      </c>
      <c r="N48" s="61"/>
      <c r="O48" s="61"/>
      <c r="P48" s="59">
        <v>1</v>
      </c>
      <c r="Q48" s="59">
        <v>2024</v>
      </c>
      <c r="R48" s="61" t="s">
        <v>48</v>
      </c>
      <c r="S48" s="68"/>
      <c r="T48" s="68" t="s">
        <v>130</v>
      </c>
      <c r="U48" s="61"/>
      <c r="V48" s="61"/>
      <c r="W48" s="54" t="s">
        <v>39</v>
      </c>
      <c r="X48" s="62">
        <f t="shared" ref="X48:X64" si="36">0.9*$J48</f>
        <v>0</v>
      </c>
      <c r="Y48" s="62">
        <f t="shared" ref="Y48:Y56" si="37">1.5*J48</f>
        <v>0</v>
      </c>
      <c r="Z48" s="54" t="s">
        <v>40</v>
      </c>
      <c r="AA48" s="55">
        <f t="shared" ref="AA48:AA56" si="38">0.9*K48</f>
        <v>160650</v>
      </c>
      <c r="AB48" s="55">
        <f t="shared" ref="AB48:AB56" si="39">1.3*K48</f>
        <v>232050</v>
      </c>
      <c r="AC48" s="54" t="s">
        <v>40</v>
      </c>
      <c r="AD48" s="55" t="s">
        <v>41</v>
      </c>
      <c r="AE48" s="55" t="s">
        <v>42</v>
      </c>
      <c r="AF48" s="55" t="s">
        <v>43</v>
      </c>
      <c r="AG48" s="54" t="s">
        <v>44</v>
      </c>
    </row>
    <row r="49" spans="1:33" ht="57" x14ac:dyDescent="0.2">
      <c r="A49" s="65">
        <v>712</v>
      </c>
      <c r="B49" s="50">
        <f t="shared" si="24"/>
        <v>2</v>
      </c>
      <c r="C49" s="67" t="s">
        <v>354</v>
      </c>
      <c r="D49" s="51" t="str">
        <f t="shared" si="25"/>
        <v xml:space="preserve">            Warehouse Staff</v>
      </c>
      <c r="E49" s="51" t="s">
        <v>96</v>
      </c>
      <c r="F49" s="51"/>
      <c r="G49" s="52"/>
      <c r="H49" s="51"/>
      <c r="I49" s="51"/>
      <c r="J49" s="78"/>
      <c r="K49" s="37">
        <v>113000</v>
      </c>
      <c r="L49" s="35" t="s">
        <v>129</v>
      </c>
      <c r="M49" s="36" t="s">
        <v>355</v>
      </c>
      <c r="N49" s="61"/>
      <c r="O49" s="61"/>
      <c r="P49" s="35">
        <v>1</v>
      </c>
      <c r="Q49" s="38">
        <v>2024</v>
      </c>
      <c r="R49" s="35" t="s">
        <v>48</v>
      </c>
      <c r="S49" s="36" t="s">
        <v>356</v>
      </c>
      <c r="T49" s="36" t="s">
        <v>357</v>
      </c>
      <c r="U49" s="61"/>
      <c r="V49" s="61"/>
      <c r="W49" s="54" t="s">
        <v>39</v>
      </c>
      <c r="X49" s="62">
        <f t="shared" si="36"/>
        <v>0</v>
      </c>
      <c r="Y49" s="62">
        <f t="shared" si="37"/>
        <v>0</v>
      </c>
      <c r="Z49" s="54" t="s">
        <v>40</v>
      </c>
      <c r="AA49" s="55">
        <f t="shared" si="38"/>
        <v>101700</v>
      </c>
      <c r="AB49" s="55">
        <f t="shared" si="39"/>
        <v>146900</v>
      </c>
      <c r="AC49" s="54" t="s">
        <v>40</v>
      </c>
      <c r="AD49" s="55" t="s">
        <v>41</v>
      </c>
      <c r="AE49" s="55" t="s">
        <v>42</v>
      </c>
      <c r="AF49" s="55" t="s">
        <v>43</v>
      </c>
      <c r="AG49" s="54" t="s">
        <v>44</v>
      </c>
    </row>
    <row r="50" spans="1:33" ht="85" x14ac:dyDescent="0.2">
      <c r="A50" s="65">
        <v>713</v>
      </c>
      <c r="B50" s="50">
        <f t="shared" si="24"/>
        <v>2</v>
      </c>
      <c r="C50" s="67" t="s">
        <v>133</v>
      </c>
      <c r="D50" s="51" t="str">
        <f t="shared" si="25"/>
        <v xml:space="preserve">            Security Staff </v>
      </c>
      <c r="E50" s="51" t="s">
        <v>96</v>
      </c>
      <c r="F50" s="51"/>
      <c r="G50" s="52"/>
      <c r="H50" s="51"/>
      <c r="I50" s="51"/>
      <c r="J50" s="78"/>
      <c r="K50" s="37">
        <v>178500</v>
      </c>
      <c r="L50" s="35" t="s">
        <v>129</v>
      </c>
      <c r="M50" s="36" t="s">
        <v>358</v>
      </c>
      <c r="N50" s="61"/>
      <c r="O50" s="61"/>
      <c r="P50" s="35">
        <v>1</v>
      </c>
      <c r="Q50" s="38">
        <v>2024</v>
      </c>
      <c r="R50" s="35" t="s">
        <v>48</v>
      </c>
      <c r="S50" s="36"/>
      <c r="T50" s="36" t="s">
        <v>130</v>
      </c>
      <c r="U50" s="140"/>
      <c r="V50" s="61"/>
      <c r="W50" s="54" t="s">
        <v>39</v>
      </c>
      <c r="X50" s="62">
        <f t="shared" si="36"/>
        <v>0</v>
      </c>
      <c r="Y50" s="62">
        <f t="shared" si="37"/>
        <v>0</v>
      </c>
      <c r="Z50" s="54" t="s">
        <v>40</v>
      </c>
      <c r="AA50" s="55">
        <f t="shared" si="38"/>
        <v>160650</v>
      </c>
      <c r="AB50" s="55">
        <f t="shared" si="39"/>
        <v>232050</v>
      </c>
      <c r="AC50" s="54" t="s">
        <v>40</v>
      </c>
      <c r="AD50" s="55" t="s">
        <v>41</v>
      </c>
      <c r="AE50" s="55" t="s">
        <v>42</v>
      </c>
      <c r="AF50" s="55" t="s">
        <v>43</v>
      </c>
      <c r="AG50" s="54" t="s">
        <v>44</v>
      </c>
    </row>
    <row r="51" spans="1:33" ht="85" x14ac:dyDescent="0.2">
      <c r="A51" s="65">
        <v>714</v>
      </c>
      <c r="B51" s="50">
        <f t="shared" si="24"/>
        <v>2</v>
      </c>
      <c r="C51" s="67" t="s">
        <v>359</v>
      </c>
      <c r="D51" s="51" t="str">
        <f t="shared" si="25"/>
        <v xml:space="preserve">            Maintenance Staff</v>
      </c>
      <c r="E51" s="51" t="s">
        <v>96</v>
      </c>
      <c r="F51" s="51"/>
      <c r="G51" s="52"/>
      <c r="H51" s="51"/>
      <c r="I51" s="51"/>
      <c r="J51" s="78"/>
      <c r="K51" s="37">
        <v>178500</v>
      </c>
      <c r="L51" s="35" t="s">
        <v>129</v>
      </c>
      <c r="M51" s="36" t="s">
        <v>360</v>
      </c>
      <c r="N51" s="61"/>
      <c r="O51" s="61"/>
      <c r="P51" s="35">
        <v>1</v>
      </c>
      <c r="Q51" s="38">
        <v>2024</v>
      </c>
      <c r="R51" s="35" t="s">
        <v>48</v>
      </c>
      <c r="S51" s="36"/>
      <c r="T51" s="36" t="s">
        <v>130</v>
      </c>
      <c r="U51" s="140"/>
      <c r="V51" s="61"/>
      <c r="W51" s="54" t="s">
        <v>39</v>
      </c>
      <c r="X51" s="62">
        <f t="shared" si="36"/>
        <v>0</v>
      </c>
      <c r="Y51" s="62">
        <f t="shared" si="37"/>
        <v>0</v>
      </c>
      <c r="Z51" s="54" t="s">
        <v>40</v>
      </c>
      <c r="AA51" s="55">
        <f t="shared" si="38"/>
        <v>160650</v>
      </c>
      <c r="AB51" s="55">
        <f t="shared" si="39"/>
        <v>232050</v>
      </c>
      <c r="AC51" s="54" t="s">
        <v>40</v>
      </c>
      <c r="AD51" s="55" t="s">
        <v>41</v>
      </c>
      <c r="AE51" s="55" t="s">
        <v>42</v>
      </c>
      <c r="AF51" s="55" t="s">
        <v>43</v>
      </c>
      <c r="AG51" s="54" t="s">
        <v>44</v>
      </c>
    </row>
    <row r="52" spans="1:33" ht="43" x14ac:dyDescent="0.2">
      <c r="A52" s="65">
        <v>715</v>
      </c>
      <c r="B52" s="50">
        <f t="shared" si="24"/>
        <v>2</v>
      </c>
      <c r="C52" s="67" t="s">
        <v>361</v>
      </c>
      <c r="D52" s="51" t="str">
        <f t="shared" si="25"/>
        <v xml:space="preserve">            Engineering Staff (Testing Only)</v>
      </c>
      <c r="E52" s="51" t="s">
        <v>96</v>
      </c>
      <c r="F52" s="51"/>
      <c r="G52" s="52"/>
      <c r="H52" s="51"/>
      <c r="I52" s="51"/>
      <c r="J52" s="78"/>
      <c r="K52" s="37">
        <v>200000</v>
      </c>
      <c r="L52" s="35" t="s">
        <v>129</v>
      </c>
      <c r="M52" s="141" t="s">
        <v>362</v>
      </c>
      <c r="N52" s="61"/>
      <c r="O52" s="61"/>
      <c r="P52" s="35"/>
      <c r="Q52" s="38">
        <v>2024</v>
      </c>
      <c r="R52" s="35" t="s">
        <v>48</v>
      </c>
      <c r="S52" s="36"/>
      <c r="T52" s="36"/>
      <c r="U52" s="140"/>
      <c r="V52" s="61"/>
      <c r="W52" s="54" t="s">
        <v>39</v>
      </c>
      <c r="X52" s="62">
        <f t="shared" si="36"/>
        <v>0</v>
      </c>
      <c r="Y52" s="62">
        <f t="shared" si="37"/>
        <v>0</v>
      </c>
      <c r="Z52" s="54" t="s">
        <v>40</v>
      </c>
      <c r="AA52" s="55">
        <f t="shared" si="38"/>
        <v>180000</v>
      </c>
      <c r="AB52" s="55">
        <f t="shared" si="39"/>
        <v>260000</v>
      </c>
      <c r="AC52" s="54" t="s">
        <v>40</v>
      </c>
      <c r="AD52" s="55" t="s">
        <v>41</v>
      </c>
      <c r="AE52" s="55" t="s">
        <v>42</v>
      </c>
      <c r="AF52" s="55" t="s">
        <v>43</v>
      </c>
      <c r="AG52" s="54" t="s">
        <v>44</v>
      </c>
    </row>
    <row r="53" spans="1:33" ht="15" x14ac:dyDescent="0.2">
      <c r="A53" s="65">
        <v>716</v>
      </c>
      <c r="B53" s="50">
        <f t="shared" si="24"/>
        <v>2</v>
      </c>
      <c r="C53" s="67" t="s">
        <v>363</v>
      </c>
      <c r="D53" s="51" t="str">
        <f t="shared" si="25"/>
        <v xml:space="preserve">            Continuing Education and Staff Retraining</v>
      </c>
      <c r="E53" s="51"/>
      <c r="F53" s="51"/>
      <c r="G53" s="52"/>
      <c r="H53" s="51"/>
      <c r="I53" s="51"/>
      <c r="J53" s="139"/>
      <c r="K53" s="37"/>
      <c r="L53" s="35"/>
      <c r="M53" s="36"/>
      <c r="N53" s="61"/>
      <c r="O53" s="61"/>
      <c r="P53" s="35"/>
      <c r="Q53" s="38"/>
      <c r="R53" s="35" t="s">
        <v>48</v>
      </c>
      <c r="S53" s="36"/>
      <c r="T53" s="36"/>
      <c r="U53" s="140"/>
      <c r="V53" s="61"/>
      <c r="W53" s="54" t="s">
        <v>39</v>
      </c>
      <c r="X53" s="62">
        <f t="shared" si="36"/>
        <v>0</v>
      </c>
      <c r="Y53" s="62">
        <f t="shared" si="37"/>
        <v>0</v>
      </c>
      <c r="Z53" s="54" t="s">
        <v>40</v>
      </c>
      <c r="AA53" s="55">
        <f t="shared" si="38"/>
        <v>0</v>
      </c>
      <c r="AB53" s="55">
        <f t="shared" si="39"/>
        <v>0</v>
      </c>
      <c r="AC53" s="54" t="s">
        <v>40</v>
      </c>
      <c r="AD53" s="55" t="s">
        <v>41</v>
      </c>
      <c r="AE53" s="55" t="s">
        <v>42</v>
      </c>
      <c r="AF53" s="55" t="s">
        <v>43</v>
      </c>
      <c r="AG53" s="54" t="s">
        <v>44</v>
      </c>
    </row>
    <row r="54" spans="1:33" ht="15" x14ac:dyDescent="0.2">
      <c r="A54" s="65">
        <v>717</v>
      </c>
      <c r="B54" s="50">
        <f t="shared" si="24"/>
        <v>2</v>
      </c>
      <c r="C54" s="67" t="s">
        <v>364</v>
      </c>
      <c r="D54" s="51" t="str">
        <f t="shared" si="25"/>
        <v xml:space="preserve">            Management Staff</v>
      </c>
      <c r="E54" s="51"/>
      <c r="F54" s="51"/>
      <c r="G54" s="52"/>
      <c r="H54" s="51"/>
      <c r="I54" s="51"/>
      <c r="J54" s="139"/>
      <c r="K54" s="142"/>
      <c r="L54" s="143"/>
      <c r="M54" s="144"/>
      <c r="N54" s="61"/>
      <c r="O54" s="61"/>
      <c r="P54" s="143"/>
      <c r="Q54" s="145"/>
      <c r="R54" s="143" t="s">
        <v>48</v>
      </c>
      <c r="S54" s="144"/>
      <c r="T54" s="144"/>
      <c r="U54" s="140"/>
      <c r="V54" s="61"/>
      <c r="W54" s="54" t="s">
        <v>39</v>
      </c>
      <c r="X54" s="62">
        <f t="shared" si="36"/>
        <v>0</v>
      </c>
      <c r="Y54" s="62">
        <f t="shared" si="37"/>
        <v>0</v>
      </c>
      <c r="Z54" s="54" t="s">
        <v>40</v>
      </c>
      <c r="AA54" s="55">
        <f t="shared" si="38"/>
        <v>0</v>
      </c>
      <c r="AB54" s="55">
        <f t="shared" si="39"/>
        <v>0</v>
      </c>
      <c r="AC54" s="54" t="s">
        <v>40</v>
      </c>
      <c r="AD54" s="55" t="s">
        <v>41</v>
      </c>
      <c r="AE54" s="55" t="s">
        <v>42</v>
      </c>
      <c r="AF54" s="55" t="s">
        <v>43</v>
      </c>
      <c r="AG54" s="54" t="s">
        <v>44</v>
      </c>
    </row>
    <row r="55" spans="1:33" ht="15" x14ac:dyDescent="0.2">
      <c r="A55" s="65">
        <v>718</v>
      </c>
      <c r="B55" s="50">
        <f t="shared" si="24"/>
        <v>2</v>
      </c>
      <c r="C55" s="67" t="s">
        <v>365</v>
      </c>
      <c r="D55" s="51" t="str">
        <f t="shared" si="25"/>
        <v xml:space="preserve">            Manfuacturing Building Staff</v>
      </c>
      <c r="E55" s="51" t="s">
        <v>33</v>
      </c>
      <c r="F55" s="51"/>
      <c r="G55" s="52"/>
      <c r="H55" s="51"/>
      <c r="I55" s="51"/>
      <c r="J55" s="139"/>
      <c r="K55" s="57">
        <v>2838754.3735329998</v>
      </c>
      <c r="L55" s="61" t="s">
        <v>97</v>
      </c>
      <c r="M55" s="68" t="s">
        <v>311</v>
      </c>
      <c r="N55" s="61">
        <v>1</v>
      </c>
      <c r="O55" s="61" t="s">
        <v>312</v>
      </c>
      <c r="P55" s="61">
        <v>0.14704100000000001</v>
      </c>
      <c r="Q55" s="59">
        <v>2025</v>
      </c>
      <c r="R55" s="61" t="s">
        <v>48</v>
      </c>
      <c r="S55" s="68"/>
      <c r="T55" s="68"/>
      <c r="U55" s="140"/>
      <c r="V55" s="61"/>
      <c r="W55" s="54" t="s">
        <v>39</v>
      </c>
      <c r="X55" s="62">
        <f t="shared" si="36"/>
        <v>0</v>
      </c>
      <c r="Y55" s="62">
        <f t="shared" si="37"/>
        <v>0</v>
      </c>
      <c r="Z55" s="54" t="s">
        <v>40</v>
      </c>
      <c r="AA55" s="55">
        <f t="shared" si="38"/>
        <v>2554878.9361796998</v>
      </c>
      <c r="AB55" s="55">
        <f t="shared" si="39"/>
        <v>3690380.6855929</v>
      </c>
      <c r="AC55" s="54" t="s">
        <v>40</v>
      </c>
      <c r="AD55" s="55" t="s">
        <v>41</v>
      </c>
      <c r="AE55" s="55" t="s">
        <v>42</v>
      </c>
      <c r="AF55" s="55" t="s">
        <v>43</v>
      </c>
      <c r="AG55" s="54" t="s">
        <v>44</v>
      </c>
    </row>
    <row r="56" spans="1:33" ht="15" x14ac:dyDescent="0.2">
      <c r="A56" s="65">
        <v>719</v>
      </c>
      <c r="B56" s="50">
        <f t="shared" si="24"/>
        <v>2</v>
      </c>
      <c r="C56" s="67" t="s">
        <v>366</v>
      </c>
      <c r="D56" s="51" t="str">
        <f t="shared" si="25"/>
        <v xml:space="preserve">            Fueling Building Staff</v>
      </c>
      <c r="E56" s="51" t="s">
        <v>33</v>
      </c>
      <c r="F56" s="51"/>
      <c r="G56" s="52"/>
      <c r="H56" s="51"/>
      <c r="I56" s="51"/>
      <c r="J56" s="139"/>
      <c r="K56" s="57">
        <v>699358.85747699998</v>
      </c>
      <c r="L56" s="61" t="s">
        <v>97</v>
      </c>
      <c r="M56" s="68" t="s">
        <v>311</v>
      </c>
      <c r="N56" s="61">
        <v>1</v>
      </c>
      <c r="O56" s="61" t="s">
        <v>312</v>
      </c>
      <c r="P56" s="61">
        <v>0.29938999999999999</v>
      </c>
      <c r="Q56" s="59">
        <v>2025</v>
      </c>
      <c r="R56" s="61" t="s">
        <v>48</v>
      </c>
      <c r="S56" s="68"/>
      <c r="T56" s="68"/>
      <c r="U56" s="140"/>
      <c r="V56" s="61"/>
      <c r="W56" s="54" t="s">
        <v>39</v>
      </c>
      <c r="X56" s="62">
        <f t="shared" si="36"/>
        <v>0</v>
      </c>
      <c r="Y56" s="62">
        <f t="shared" si="37"/>
        <v>0</v>
      </c>
      <c r="Z56" s="54" t="s">
        <v>40</v>
      </c>
      <c r="AA56" s="55">
        <f t="shared" si="38"/>
        <v>629422.97172929998</v>
      </c>
      <c r="AB56" s="55">
        <f t="shared" si="39"/>
        <v>909166.51472009998</v>
      </c>
      <c r="AC56" s="54" t="s">
        <v>40</v>
      </c>
      <c r="AD56" s="55" t="s">
        <v>41</v>
      </c>
      <c r="AE56" s="55" t="s">
        <v>42</v>
      </c>
      <c r="AF56" s="55" t="s">
        <v>43</v>
      </c>
      <c r="AG56" s="54" t="s">
        <v>44</v>
      </c>
    </row>
    <row r="57" spans="1:33" ht="15" x14ac:dyDescent="0.2">
      <c r="A57" s="48">
        <v>74</v>
      </c>
      <c r="B57" s="50">
        <f t="shared" si="24"/>
        <v>1</v>
      </c>
      <c r="C57" s="67" t="s">
        <v>367</v>
      </c>
      <c r="D57" s="51" t="str">
        <f t="shared" si="25"/>
        <v xml:space="preserve">      Fixed O&amp;M Utilities and Materials </v>
      </c>
      <c r="E57" s="51"/>
      <c r="F57" s="51"/>
      <c r="G57" s="52"/>
      <c r="H57" s="51"/>
      <c r="I57" s="51"/>
      <c r="J57" s="78"/>
      <c r="K57" s="57"/>
      <c r="L57" s="61"/>
      <c r="M57" s="68"/>
      <c r="N57" s="61"/>
      <c r="O57" s="61"/>
      <c r="P57" s="59"/>
      <c r="Q57" s="59"/>
      <c r="R57" s="61"/>
      <c r="S57" s="68"/>
      <c r="T57" s="69"/>
      <c r="U57" s="140"/>
      <c r="V57" s="61"/>
      <c r="W57" s="54"/>
      <c r="X57" s="62"/>
      <c r="Y57" s="62"/>
      <c r="Z57" s="54"/>
      <c r="AA57" s="55"/>
      <c r="AB57" s="55"/>
      <c r="AC57" s="54"/>
      <c r="AD57" s="55"/>
      <c r="AE57" s="55"/>
      <c r="AF57" s="55"/>
      <c r="AG57" s="54"/>
    </row>
    <row r="58" spans="1:33" ht="29" x14ac:dyDescent="0.2">
      <c r="A58" s="48">
        <v>741</v>
      </c>
      <c r="B58" s="50">
        <f t="shared" si="24"/>
        <v>2</v>
      </c>
      <c r="C58" s="67" t="s">
        <v>368</v>
      </c>
      <c r="D58" s="51" t="str">
        <f t="shared" si="25"/>
        <v xml:space="preserve">            Operating Chemicals and Lubricants (Except Manufacturing and Fueling)</v>
      </c>
      <c r="E58" s="51"/>
      <c r="F58" s="51"/>
      <c r="G58" s="52"/>
      <c r="H58" s="51"/>
      <c r="I58" s="51"/>
      <c r="J58" s="139"/>
      <c r="K58" s="57"/>
      <c r="L58" s="61"/>
      <c r="M58" s="68"/>
      <c r="N58" s="61"/>
      <c r="O58" s="61"/>
      <c r="P58" s="59"/>
      <c r="Q58" s="59"/>
      <c r="R58" s="61"/>
      <c r="S58" s="68"/>
      <c r="T58" s="69"/>
      <c r="U58" s="140"/>
      <c r="V58" s="61"/>
      <c r="W58" s="54" t="s">
        <v>39</v>
      </c>
      <c r="X58" s="62">
        <f t="shared" si="36"/>
        <v>0</v>
      </c>
      <c r="Y58" s="62">
        <f t="shared" ref="Y58:Y64" si="40">1.5*J58</f>
        <v>0</v>
      </c>
      <c r="Z58" s="54" t="s">
        <v>40</v>
      </c>
      <c r="AA58" s="55">
        <f t="shared" ref="AA58:AA64" si="41">0.9*K58</f>
        <v>0</v>
      </c>
      <c r="AB58" s="55">
        <f t="shared" ref="AB58:AB64" si="42">1.3*K58</f>
        <v>0</v>
      </c>
      <c r="AC58" s="54" t="s">
        <v>40</v>
      </c>
      <c r="AD58" s="55" t="s">
        <v>41</v>
      </c>
      <c r="AE58" s="55" t="s">
        <v>42</v>
      </c>
      <c r="AF58" s="55" t="s">
        <v>43</v>
      </c>
      <c r="AG58" s="54" t="s">
        <v>44</v>
      </c>
    </row>
    <row r="59" spans="1:33" ht="29" x14ac:dyDescent="0.2">
      <c r="A59" s="48">
        <v>742</v>
      </c>
      <c r="B59" s="50">
        <f t="shared" si="24"/>
        <v>2</v>
      </c>
      <c r="C59" s="67" t="s">
        <v>369</v>
      </c>
      <c r="D59" s="51" t="str">
        <f t="shared" si="25"/>
        <v xml:space="preserve">            Spare Parts (Except Manufacturing and Fueling)</v>
      </c>
      <c r="E59" s="51"/>
      <c r="F59" s="51"/>
      <c r="G59" s="52"/>
      <c r="H59" s="51"/>
      <c r="I59" s="51"/>
      <c r="J59" s="139"/>
      <c r="K59" s="57"/>
      <c r="L59" s="61"/>
      <c r="M59" s="68"/>
      <c r="N59" s="61"/>
      <c r="O59" s="61"/>
      <c r="P59" s="59"/>
      <c r="Q59" s="59"/>
      <c r="R59" s="61"/>
      <c r="S59" s="68"/>
      <c r="T59" s="69"/>
      <c r="U59" s="140"/>
      <c r="V59" s="61"/>
      <c r="W59" s="54" t="s">
        <v>39</v>
      </c>
      <c r="X59" s="62">
        <f t="shared" si="36"/>
        <v>0</v>
      </c>
      <c r="Y59" s="62">
        <f t="shared" si="40"/>
        <v>0</v>
      </c>
      <c r="Z59" s="54" t="s">
        <v>40</v>
      </c>
      <c r="AA59" s="55">
        <f t="shared" si="41"/>
        <v>0</v>
      </c>
      <c r="AB59" s="55">
        <f t="shared" si="42"/>
        <v>0</v>
      </c>
      <c r="AC59" s="54" t="s">
        <v>40</v>
      </c>
      <c r="AD59" s="55" t="s">
        <v>41</v>
      </c>
      <c r="AE59" s="55" t="s">
        <v>42</v>
      </c>
      <c r="AF59" s="55" t="s">
        <v>43</v>
      </c>
      <c r="AG59" s="54" t="s">
        <v>44</v>
      </c>
    </row>
    <row r="60" spans="1:33" ht="29" x14ac:dyDescent="0.2">
      <c r="A60" s="48">
        <v>743</v>
      </c>
      <c r="B60" s="50">
        <f t="shared" si="24"/>
        <v>2</v>
      </c>
      <c r="C60" s="67" t="s">
        <v>370</v>
      </c>
      <c r="D60" s="51" t="str">
        <f t="shared" si="25"/>
        <v xml:space="preserve">            Utilities except electricity, Supplies, and Consumables</v>
      </c>
      <c r="E60" s="51"/>
      <c r="F60" s="51"/>
      <c r="G60" s="52"/>
      <c r="H60" s="51"/>
      <c r="I60" s="51"/>
      <c r="J60" s="139"/>
      <c r="K60" s="57"/>
      <c r="L60" s="61"/>
      <c r="M60" s="68"/>
      <c r="N60" s="61"/>
      <c r="O60" s="61"/>
      <c r="P60" s="59"/>
      <c r="Q60" s="59"/>
      <c r="R60" s="61"/>
      <c r="S60" s="68"/>
      <c r="T60" s="69"/>
      <c r="U60" s="140"/>
      <c r="V60" s="61"/>
      <c r="W60" s="54" t="s">
        <v>39</v>
      </c>
      <c r="X60" s="62">
        <f t="shared" si="36"/>
        <v>0</v>
      </c>
      <c r="Y60" s="62">
        <f t="shared" si="40"/>
        <v>0</v>
      </c>
      <c r="Z60" s="54" t="s">
        <v>40</v>
      </c>
      <c r="AA60" s="55">
        <f t="shared" si="41"/>
        <v>0</v>
      </c>
      <c r="AB60" s="55">
        <f t="shared" si="42"/>
        <v>0</v>
      </c>
      <c r="AC60" s="54" t="s">
        <v>40</v>
      </c>
      <c r="AD60" s="55" t="s">
        <v>41</v>
      </c>
      <c r="AE60" s="55" t="s">
        <v>42</v>
      </c>
      <c r="AF60" s="55" t="s">
        <v>43</v>
      </c>
      <c r="AG60" s="54" t="s">
        <v>44</v>
      </c>
    </row>
    <row r="61" spans="1:33" ht="15" x14ac:dyDescent="0.2">
      <c r="A61" s="48">
        <v>744</v>
      </c>
      <c r="B61" s="50">
        <f t="shared" si="24"/>
        <v>2</v>
      </c>
      <c r="C61" s="67" t="s">
        <v>371</v>
      </c>
      <c r="D61" s="51" t="str">
        <f t="shared" si="25"/>
        <v xml:space="preserve">            Electricity</v>
      </c>
      <c r="E61" s="51" t="s">
        <v>96</v>
      </c>
      <c r="F61" s="51" t="s">
        <v>287</v>
      </c>
      <c r="G61" s="52">
        <v>1</v>
      </c>
      <c r="H61" s="51"/>
      <c r="I61" s="51"/>
      <c r="J61" s="78"/>
      <c r="K61" s="57">
        <v>90</v>
      </c>
      <c r="L61" s="61" t="s">
        <v>136</v>
      </c>
      <c r="M61" s="141" t="s">
        <v>290</v>
      </c>
      <c r="N61" s="61"/>
      <c r="O61" s="61"/>
      <c r="P61" s="59">
        <v>1</v>
      </c>
      <c r="Q61" s="59">
        <v>2025</v>
      </c>
      <c r="R61" s="61" t="s">
        <v>36</v>
      </c>
      <c r="S61" s="68"/>
      <c r="T61" s="69"/>
      <c r="U61" s="140"/>
      <c r="V61" s="61"/>
      <c r="W61" s="54" t="s">
        <v>39</v>
      </c>
      <c r="X61" s="62">
        <f t="shared" si="36"/>
        <v>0</v>
      </c>
      <c r="Y61" s="62">
        <f t="shared" si="40"/>
        <v>0</v>
      </c>
      <c r="Z61" s="54" t="s">
        <v>40</v>
      </c>
      <c r="AA61" s="55">
        <f t="shared" si="41"/>
        <v>81</v>
      </c>
      <c r="AB61" s="55">
        <f t="shared" si="42"/>
        <v>117</v>
      </c>
      <c r="AC61" s="54" t="s">
        <v>40</v>
      </c>
      <c r="AD61" s="55" t="s">
        <v>41</v>
      </c>
      <c r="AE61" s="55" t="s">
        <v>42</v>
      </c>
      <c r="AF61" s="55" t="s">
        <v>43</v>
      </c>
      <c r="AG61" s="54" t="s">
        <v>44</v>
      </c>
    </row>
    <row r="62" spans="1:33" ht="15" x14ac:dyDescent="0.2">
      <c r="A62" s="48">
        <v>745</v>
      </c>
      <c r="B62" s="50">
        <f t="shared" si="24"/>
        <v>2</v>
      </c>
      <c r="C62" s="67" t="s">
        <v>372</v>
      </c>
      <c r="D62" s="51" t="str">
        <f t="shared" si="25"/>
        <v xml:space="preserve">            Manufacturing Building Equipment</v>
      </c>
      <c r="E62" s="51" t="s">
        <v>33</v>
      </c>
      <c r="F62" s="51"/>
      <c r="G62" s="52"/>
      <c r="H62" s="51"/>
      <c r="I62" s="51"/>
      <c r="J62" s="78"/>
      <c r="K62" s="57">
        <v>405910.19340400002</v>
      </c>
      <c r="L62" s="61" t="s">
        <v>97</v>
      </c>
      <c r="M62" s="146" t="s">
        <v>311</v>
      </c>
      <c r="N62" s="61">
        <v>1</v>
      </c>
      <c r="O62" s="61" t="s">
        <v>312</v>
      </c>
      <c r="P62" s="59">
        <v>0.126887</v>
      </c>
      <c r="Q62" s="59">
        <v>2025</v>
      </c>
      <c r="R62" s="61" t="s">
        <v>76</v>
      </c>
      <c r="S62" s="68"/>
      <c r="T62" s="69"/>
      <c r="U62" s="140"/>
      <c r="V62" s="61"/>
      <c r="W62" s="54" t="s">
        <v>39</v>
      </c>
      <c r="X62" s="62">
        <f t="shared" si="36"/>
        <v>0</v>
      </c>
      <c r="Y62" s="62">
        <f t="shared" si="40"/>
        <v>0</v>
      </c>
      <c r="Z62" s="54" t="s">
        <v>40</v>
      </c>
      <c r="AA62" s="55">
        <f t="shared" si="41"/>
        <v>365319.17406360002</v>
      </c>
      <c r="AB62" s="55">
        <f t="shared" si="42"/>
        <v>527683.25142520003</v>
      </c>
      <c r="AC62" s="54" t="s">
        <v>40</v>
      </c>
      <c r="AD62" s="55" t="s">
        <v>41</v>
      </c>
      <c r="AE62" s="55" t="s">
        <v>42</v>
      </c>
      <c r="AF62" s="55" t="s">
        <v>43</v>
      </c>
      <c r="AG62" s="54" t="s">
        <v>44</v>
      </c>
    </row>
    <row r="63" spans="1:33" ht="15" x14ac:dyDescent="0.2">
      <c r="A63" s="48">
        <v>746</v>
      </c>
      <c r="B63" s="50">
        <f t="shared" si="24"/>
        <v>2</v>
      </c>
      <c r="C63" s="67" t="s">
        <v>373</v>
      </c>
      <c r="D63" s="51" t="str">
        <f t="shared" si="25"/>
        <v xml:space="preserve">            Fueling Building Equipment</v>
      </c>
      <c r="E63" s="51" t="s">
        <v>33</v>
      </c>
      <c r="F63" s="51"/>
      <c r="G63" s="52"/>
      <c r="H63" s="51"/>
      <c r="I63" s="51"/>
      <c r="J63" s="78"/>
      <c r="K63" s="57">
        <v>82100.296140000006</v>
      </c>
      <c r="L63" s="61" t="s">
        <v>97</v>
      </c>
      <c r="M63" s="147" t="s">
        <v>311</v>
      </c>
      <c r="N63" s="61">
        <v>1</v>
      </c>
      <c r="O63" s="61" t="s">
        <v>312</v>
      </c>
      <c r="P63" s="59">
        <v>0.159548</v>
      </c>
      <c r="Q63" s="59">
        <v>2025</v>
      </c>
      <c r="R63" s="61" t="s">
        <v>76</v>
      </c>
      <c r="S63" s="68"/>
      <c r="T63" s="69"/>
      <c r="U63" s="140"/>
      <c r="V63" s="61"/>
      <c r="W63" s="54" t="s">
        <v>39</v>
      </c>
      <c r="X63" s="62">
        <f t="shared" si="36"/>
        <v>0</v>
      </c>
      <c r="Y63" s="62">
        <f t="shared" si="40"/>
        <v>0</v>
      </c>
      <c r="Z63" s="54" t="s">
        <v>40</v>
      </c>
      <c r="AA63" s="55">
        <f t="shared" si="41"/>
        <v>73890.266526000007</v>
      </c>
      <c r="AB63" s="55">
        <f t="shared" si="42"/>
        <v>106730.38498200002</v>
      </c>
      <c r="AC63" s="54" t="s">
        <v>40</v>
      </c>
      <c r="AD63" s="55" t="s">
        <v>41</v>
      </c>
      <c r="AE63" s="55" t="s">
        <v>42</v>
      </c>
      <c r="AF63" s="55" t="s">
        <v>43</v>
      </c>
      <c r="AG63" s="54" t="s">
        <v>44</v>
      </c>
    </row>
    <row r="64" spans="1:33" ht="15" x14ac:dyDescent="0.2">
      <c r="A64" s="48">
        <v>747</v>
      </c>
      <c r="B64" s="50">
        <f t="shared" si="24"/>
        <v>2</v>
      </c>
      <c r="C64" s="67" t="s">
        <v>374</v>
      </c>
      <c r="D64" s="51" t="str">
        <f t="shared" si="25"/>
        <v xml:space="preserve">            Other annual costs</v>
      </c>
      <c r="E64" s="51"/>
      <c r="F64" s="51"/>
      <c r="G64" s="52"/>
      <c r="H64" s="51"/>
      <c r="I64" s="51"/>
      <c r="J64" s="78"/>
      <c r="K64" s="57"/>
      <c r="L64" s="61"/>
      <c r="M64" s="147"/>
      <c r="N64" s="61"/>
      <c r="O64" s="61"/>
      <c r="P64" s="59"/>
      <c r="Q64" s="59"/>
      <c r="R64" s="61"/>
      <c r="S64" s="68"/>
      <c r="T64" s="69"/>
      <c r="U64" s="140"/>
      <c r="V64" s="61"/>
      <c r="W64" s="54" t="s">
        <v>39</v>
      </c>
      <c r="X64" s="62">
        <f t="shared" si="36"/>
        <v>0</v>
      </c>
      <c r="Y64" s="62">
        <f t="shared" si="40"/>
        <v>0</v>
      </c>
      <c r="Z64" s="54" t="s">
        <v>40</v>
      </c>
      <c r="AA64" s="55">
        <f t="shared" si="41"/>
        <v>0</v>
      </c>
      <c r="AB64" s="55">
        <f t="shared" si="42"/>
        <v>0</v>
      </c>
      <c r="AC64" s="54" t="s">
        <v>40</v>
      </c>
      <c r="AD64" s="55" t="s">
        <v>41</v>
      </c>
      <c r="AE64" s="55" t="s">
        <v>42</v>
      </c>
      <c r="AF64" s="55" t="s">
        <v>43</v>
      </c>
      <c r="AG64" s="54" t="s">
        <v>44</v>
      </c>
    </row>
    <row r="65" spans="1:33" ht="15" x14ac:dyDescent="0.2">
      <c r="A65" s="48">
        <v>747.1</v>
      </c>
      <c r="B65" s="50">
        <f t="shared" si="24"/>
        <v>3</v>
      </c>
      <c r="C65" s="67" t="s">
        <v>375</v>
      </c>
      <c r="D65" s="51" t="str">
        <f t="shared" si="25"/>
        <v xml:space="preserve">                  Annualized Transportation Costs</v>
      </c>
      <c r="E65" s="51"/>
      <c r="F65" s="51"/>
      <c r="G65" s="52"/>
      <c r="H65" s="51"/>
      <c r="I65" s="51"/>
      <c r="J65" s="139"/>
      <c r="K65" s="57"/>
      <c r="L65" s="61"/>
      <c r="M65" s="68"/>
      <c r="N65" s="61"/>
      <c r="O65" s="61"/>
      <c r="P65" s="59"/>
      <c r="Q65" s="59"/>
      <c r="R65" s="61"/>
      <c r="S65" s="68"/>
      <c r="T65" s="69"/>
      <c r="U65" s="140"/>
      <c r="V65" s="61"/>
      <c r="W65" s="54"/>
      <c r="X65" s="62">
        <f t="shared" ref="X65" si="43">0.8*$I65</f>
        <v>0</v>
      </c>
      <c r="Y65" s="62">
        <f t="shared" ref="Y65" si="44">2*J65</f>
        <v>0</v>
      </c>
      <c r="Z65" s="54" t="s">
        <v>40</v>
      </c>
      <c r="AA65" s="55">
        <f t="shared" ref="AA65" si="45">0.8*K65</f>
        <v>0</v>
      </c>
      <c r="AB65" s="55">
        <f t="shared" ref="AB65" si="46">2*K65</f>
        <v>0</v>
      </c>
      <c r="AC65" s="54" t="s">
        <v>40</v>
      </c>
      <c r="AD65" s="55" t="s">
        <v>41</v>
      </c>
      <c r="AE65" s="55" t="s">
        <v>42</v>
      </c>
      <c r="AF65" s="55" t="s">
        <v>43</v>
      </c>
      <c r="AG65" s="54" t="s">
        <v>44</v>
      </c>
    </row>
    <row r="66" spans="1:33" ht="57" x14ac:dyDescent="0.2">
      <c r="A66" s="48">
        <v>747.3</v>
      </c>
      <c r="B66" s="50">
        <f t="shared" si="24"/>
        <v>3</v>
      </c>
      <c r="C66" s="67" t="s">
        <v>376</v>
      </c>
      <c r="D66" s="51" t="str">
        <f t="shared" si="25"/>
        <v xml:space="preserve">                  Annualized Helium Replenishment</v>
      </c>
      <c r="E66" s="51" t="s">
        <v>33</v>
      </c>
      <c r="F66" s="147" t="s">
        <v>311</v>
      </c>
      <c r="G66" s="52">
        <v>1</v>
      </c>
      <c r="H66" s="51"/>
      <c r="I66" s="51"/>
      <c r="J66" s="78"/>
      <c r="K66" s="57">
        <v>170</v>
      </c>
      <c r="L66" s="61" t="s">
        <v>80</v>
      </c>
      <c r="M66" s="141" t="s">
        <v>377</v>
      </c>
      <c r="N66" s="61"/>
      <c r="O66" s="61" t="s">
        <v>81</v>
      </c>
      <c r="P66" s="59"/>
      <c r="Q66" s="59">
        <v>2024</v>
      </c>
      <c r="R66" s="61" t="s">
        <v>76</v>
      </c>
      <c r="S66" s="148" t="s">
        <v>99</v>
      </c>
      <c r="T66" s="149" t="s">
        <v>99</v>
      </c>
      <c r="U66" s="140" t="s">
        <v>100</v>
      </c>
      <c r="V66" s="61" t="s">
        <v>101</v>
      </c>
      <c r="W66" s="54" t="s">
        <v>39</v>
      </c>
      <c r="X66" s="62">
        <v>0</v>
      </c>
      <c r="Y66" s="62">
        <v>0</v>
      </c>
      <c r="Z66" s="54" t="s">
        <v>40</v>
      </c>
      <c r="AA66" s="55">
        <f>0.9*K66</f>
        <v>153</v>
      </c>
      <c r="AB66" s="55">
        <f>1.3*K66</f>
        <v>221</v>
      </c>
      <c r="AC66" s="54" t="s">
        <v>40</v>
      </c>
      <c r="AD66" s="55" t="s">
        <v>41</v>
      </c>
      <c r="AE66" s="55" t="s">
        <v>42</v>
      </c>
      <c r="AF66" s="55" t="s">
        <v>43</v>
      </c>
      <c r="AG66" s="54" t="s">
        <v>44</v>
      </c>
    </row>
    <row r="67" spans="1:33" ht="15" x14ac:dyDescent="0.2">
      <c r="A67" s="48">
        <v>747.4</v>
      </c>
      <c r="B67" s="50">
        <f t="shared" si="24"/>
        <v>3</v>
      </c>
      <c r="C67" s="67" t="s">
        <v>378</v>
      </c>
      <c r="D67" s="51" t="str">
        <f t="shared" si="25"/>
        <v xml:space="preserve">                  Annualized Other Supplies and Utilities</v>
      </c>
      <c r="E67" s="51"/>
      <c r="F67" s="51"/>
      <c r="G67" s="52"/>
      <c r="H67" s="51"/>
      <c r="I67" s="51"/>
      <c r="J67" s="139"/>
      <c r="K67" s="57"/>
      <c r="L67" s="61"/>
      <c r="M67" s="68"/>
      <c r="N67" s="61"/>
      <c r="O67" s="61"/>
      <c r="P67" s="59"/>
      <c r="Q67" s="59"/>
      <c r="R67" s="61"/>
      <c r="S67" s="68"/>
      <c r="T67" s="69"/>
      <c r="U67" s="140"/>
      <c r="V67" s="61"/>
      <c r="W67" s="54" t="s">
        <v>39</v>
      </c>
      <c r="X67" s="62"/>
      <c r="Y67" s="62"/>
      <c r="Z67" s="54" t="s">
        <v>40</v>
      </c>
      <c r="AA67" s="55">
        <f>0.9*K67</f>
        <v>0</v>
      </c>
      <c r="AB67" s="55">
        <f>1.3*K67</f>
        <v>0</v>
      </c>
      <c r="AC67" s="54" t="s">
        <v>40</v>
      </c>
      <c r="AD67" s="55" t="s">
        <v>41</v>
      </c>
      <c r="AE67" s="55" t="s">
        <v>42</v>
      </c>
      <c r="AF67" s="55" t="s">
        <v>43</v>
      </c>
      <c r="AG67" s="54" t="s">
        <v>44</v>
      </c>
    </row>
    <row r="68" spans="1:33" ht="15" x14ac:dyDescent="0.2">
      <c r="A68" s="48">
        <v>75</v>
      </c>
      <c r="B68" s="50">
        <f t="shared" si="24"/>
        <v>1</v>
      </c>
      <c r="C68" s="67" t="s">
        <v>134</v>
      </c>
      <c r="D68" s="51" t="str">
        <f t="shared" si="25"/>
        <v xml:space="preserve">      Capital Plant Expenditures</v>
      </c>
      <c r="E68" s="51"/>
      <c r="F68" s="51"/>
      <c r="G68" s="71"/>
      <c r="H68" s="72"/>
      <c r="I68" s="72"/>
      <c r="J68" s="150"/>
      <c r="K68" s="73"/>
      <c r="L68" s="74"/>
      <c r="M68" s="74"/>
      <c r="N68" s="74"/>
      <c r="O68" s="74"/>
      <c r="P68" s="73"/>
      <c r="Q68" s="74"/>
      <c r="R68" s="74"/>
      <c r="S68" s="74"/>
      <c r="T68" s="74"/>
      <c r="U68" s="74"/>
      <c r="V68" s="74"/>
      <c r="W68" s="74"/>
      <c r="X68" s="73"/>
      <c r="Y68" s="73"/>
      <c r="Z68" s="74"/>
      <c r="AA68" s="73"/>
      <c r="AB68" s="73"/>
      <c r="AC68" s="74"/>
      <c r="AD68" s="73"/>
      <c r="AE68" s="73"/>
      <c r="AF68" s="73"/>
      <c r="AG68" s="74"/>
    </row>
    <row r="69" spans="1:33" ht="15" x14ac:dyDescent="0.2">
      <c r="A69" s="48">
        <v>78</v>
      </c>
      <c r="B69" s="50">
        <f t="shared" si="24"/>
        <v>1</v>
      </c>
      <c r="C69" s="67" t="s">
        <v>135</v>
      </c>
      <c r="D69" s="51" t="str">
        <f t="shared" si="25"/>
        <v xml:space="preserve">      Annualized Decommissioning Cost</v>
      </c>
      <c r="E69" s="51"/>
      <c r="F69" s="51"/>
      <c r="G69" s="71"/>
      <c r="H69" s="72"/>
      <c r="I69" s="72"/>
      <c r="J69" s="150"/>
      <c r="K69" s="73"/>
      <c r="L69" s="74"/>
      <c r="M69" s="74"/>
      <c r="N69" s="74"/>
      <c r="O69" s="74"/>
      <c r="P69" s="73"/>
      <c r="Q69" s="74"/>
      <c r="R69" s="74"/>
      <c r="S69" s="74"/>
      <c r="T69" s="74"/>
      <c r="U69" s="74"/>
      <c r="V69" s="74"/>
      <c r="W69" s="74"/>
      <c r="X69" s="73"/>
      <c r="Y69" s="73"/>
      <c r="Z69" s="74"/>
      <c r="AA69" s="73"/>
      <c r="AB69" s="73"/>
      <c r="AC69" s="74"/>
      <c r="AD69" s="73"/>
      <c r="AE69" s="73"/>
      <c r="AF69" s="73"/>
      <c r="AG69" s="74"/>
    </row>
  </sheetData>
  <mergeCells count="7">
    <mergeCell ref="T3:T4"/>
    <mergeCell ref="U3:U4"/>
    <mergeCell ref="T5:T6"/>
    <mergeCell ref="U5:U6"/>
    <mergeCell ref="S11:S12"/>
    <mergeCell ref="T11:T12"/>
    <mergeCell ref="U11:U12"/>
  </mergeCells>
  <conditionalFormatting sqref="A19:C19">
    <cfRule type="expression" dxfId="110" priority="3">
      <formula>$B19&lt;2</formula>
    </cfRule>
    <cfRule type="expression" dxfId="109" priority="4">
      <formula>$B19=2</formula>
    </cfRule>
    <cfRule type="expression" dxfId="108" priority="5">
      <formula>$B19=3</formula>
    </cfRule>
  </conditionalFormatting>
  <conditionalFormatting sqref="A49:J56 A57:AG69 A2:AG14 W15:AG16 A17:AG18 D19:AG19 U49:AG56">
    <cfRule type="expression" dxfId="107" priority="53">
      <formula>$B2&lt;2</formula>
    </cfRule>
  </conditionalFormatting>
  <conditionalFormatting sqref="A15:K16 A20:AG26 A28:AG28 A29:R29 A30:AG48">
    <cfRule type="expression" dxfId="106" priority="13">
      <formula>$B15=3</formula>
    </cfRule>
  </conditionalFormatting>
  <conditionalFormatting sqref="A15:P16 A20:AG26 A28:AG28 A29:R29 A30:AG48">
    <cfRule type="expression" dxfId="105" priority="12">
      <formula>$B15=2</formula>
    </cfRule>
  </conditionalFormatting>
  <conditionalFormatting sqref="A15:V16 A20:AG26 A28:AG28 A29:R29 A30:AG48">
    <cfRule type="expression" dxfId="104" priority="11">
      <formula>$B15&lt;2</formula>
    </cfRule>
  </conditionalFormatting>
  <conditionalFormatting sqref="A2:AG14 L15:AG16 A17:AG18 D19:AG19 A27:I27 A49:J56 N49:O56 U49:AG56 A57:AG69">
    <cfRule type="expression" dxfId="103" priority="55">
      <formula>$B2=3</formula>
    </cfRule>
  </conditionalFormatting>
  <conditionalFormatting sqref="A2:AG14 W15:AG16 A17:AG18 D19:AG19 A49:J56 U49:AG56 A57:AG69 N49:O56 A27:I27">
    <cfRule type="expression" dxfId="102" priority="54">
      <formula>$B2=2</formula>
    </cfRule>
  </conditionalFormatting>
  <conditionalFormatting sqref="A2:AG69">
    <cfRule type="expression" dxfId="101" priority="2">
      <formula>$B2=0</formula>
    </cfRule>
  </conditionalFormatting>
  <conditionalFormatting sqref="A27:AG27">
    <cfRule type="expression" dxfId="100" priority="19">
      <formula>$B27&lt;2</formula>
    </cfRule>
  </conditionalFormatting>
  <conditionalFormatting sqref="J49:J56 J57:K69">
    <cfRule type="expression" dxfId="99" priority="52">
      <formula>AND(ISBLANK($J49),ISBLANK($K49),NOT(ISBLANK($E49)))</formula>
    </cfRule>
  </conditionalFormatting>
  <conditionalFormatting sqref="J53:J56">
    <cfRule type="expression" dxfId="98" priority="29">
      <formula>_xlfn.ISFORMULA(J53)</formula>
    </cfRule>
    <cfRule type="expression" dxfId="97" priority="30">
      <formula>$B53=0</formula>
    </cfRule>
  </conditionalFormatting>
  <conditionalFormatting sqref="J2:K26 J28:K48">
    <cfRule type="expression" dxfId="96" priority="10">
      <formula>AND(ISBLANK($J2),ISBLANK($K2),NOT(ISBLANK($E2)))</formula>
    </cfRule>
  </conditionalFormatting>
  <conditionalFormatting sqref="J1:Q1048576 F66">
    <cfRule type="expression" dxfId="95" priority="28">
      <formula>_xlfn.ISFORMULA(F1)</formula>
    </cfRule>
  </conditionalFormatting>
  <conditionalFormatting sqref="J27:V27">
    <cfRule type="expression" dxfId="94" priority="16">
      <formula>$B27&lt;2</formula>
    </cfRule>
    <cfRule type="expression" dxfId="93" priority="15">
      <formula>$B27=2</formula>
    </cfRule>
    <cfRule type="expression" dxfId="92" priority="14">
      <formula>$B27=3</formula>
    </cfRule>
  </conditionalFormatting>
  <conditionalFormatting sqref="J27:AG27">
    <cfRule type="expression" dxfId="91" priority="18">
      <formula>$B27=2</formula>
    </cfRule>
    <cfRule type="expression" dxfId="90" priority="17">
      <formula>$B27=3</formula>
    </cfRule>
  </conditionalFormatting>
  <conditionalFormatting sqref="K49:L50">
    <cfRule type="expression" dxfId="89" priority="41">
      <formula>$B50=0</formula>
    </cfRule>
    <cfRule type="expression" dxfId="88" priority="40">
      <formula>$B50&lt;2</formula>
    </cfRule>
    <cfRule type="expression" dxfId="87" priority="39">
      <formula>$B50=2</formula>
    </cfRule>
    <cfRule type="expression" dxfId="86" priority="38">
      <formula>$B50=3</formula>
    </cfRule>
  </conditionalFormatting>
  <conditionalFormatting sqref="K51:L56">
    <cfRule type="expression" dxfId="85" priority="48">
      <formula>$B51&lt;2</formula>
    </cfRule>
    <cfRule type="expression" dxfId="84" priority="36">
      <formula>$B51=0</formula>
    </cfRule>
    <cfRule type="expression" dxfId="83" priority="46">
      <formula>$B51=3</formula>
    </cfRule>
    <cfRule type="expression" dxfId="82" priority="47">
      <formula>$B51=2</formula>
    </cfRule>
  </conditionalFormatting>
  <conditionalFormatting sqref="K49:M56">
    <cfRule type="expression" dxfId="81" priority="42">
      <formula>$B49=3</formula>
    </cfRule>
    <cfRule type="expression" dxfId="80" priority="43">
      <formula>$B49=2</formula>
    </cfRule>
  </conditionalFormatting>
  <conditionalFormatting sqref="K49:O56">
    <cfRule type="expression" dxfId="79" priority="44">
      <formula>$B49&lt;2</formula>
    </cfRule>
  </conditionalFormatting>
  <conditionalFormatting sqref="M61:M64">
    <cfRule type="expression" dxfId="78" priority="27">
      <formula>$B61&lt;2</formula>
    </cfRule>
    <cfRule type="expression" dxfId="77" priority="26">
      <formula>$B61=2</formula>
    </cfRule>
    <cfRule type="expression" dxfId="76" priority="25">
      <formula>$B61=3</formula>
    </cfRule>
    <cfRule type="expression" dxfId="75" priority="24">
      <formula>_xlfn.ISFORMULA(M61)</formula>
    </cfRule>
  </conditionalFormatting>
  <conditionalFormatting sqref="M66">
    <cfRule type="expression" dxfId="74" priority="22">
      <formula>$B66=2</formula>
    </cfRule>
    <cfRule type="expression" dxfId="73" priority="21">
      <formula>$B66=3</formula>
    </cfRule>
    <cfRule type="expression" dxfId="72" priority="20">
      <formula>_xlfn.ISFORMULA(M66)</formula>
    </cfRule>
    <cfRule type="expression" dxfId="71" priority="23">
      <formula>$B66&lt;2</formula>
    </cfRule>
  </conditionalFormatting>
  <conditionalFormatting sqref="P49:T56">
    <cfRule type="expression" dxfId="70" priority="32">
      <formula>$B49=3</formula>
    </cfRule>
    <cfRule type="expression" dxfId="69" priority="33">
      <formula>$B49=2</formula>
    </cfRule>
    <cfRule type="expression" dxfId="68" priority="34">
      <formula>$B49&lt;2</formula>
    </cfRule>
  </conditionalFormatting>
  <conditionalFormatting sqref="Q15:V16">
    <cfRule type="expression" dxfId="67" priority="56">
      <formula>$B15=2</formula>
    </cfRule>
  </conditionalFormatting>
  <conditionalFormatting sqref="S29:AG29">
    <cfRule type="expression" dxfId="66" priority="8">
      <formula>$B29=3</formula>
    </cfRule>
    <cfRule type="expression" dxfId="65" priority="7">
      <formula>$B29=2</formula>
    </cfRule>
    <cfRule type="expression" dxfId="64" priority="6">
      <formula>$B29&lt;2</formula>
    </cfRule>
  </conditionalFormatting>
  <conditionalFormatting sqref="W58:AG64">
    <cfRule type="expression" dxfId="63" priority="1">
      <formula>$B58=0</formula>
    </cfRule>
  </conditionalFormatting>
  <conditionalFormatting sqref="X2:Z26 X28:Z69">
    <cfRule type="expression" dxfId="62" priority="51">
      <formula>AND(ISBLANK($X2),ISBLANK($Y2),ISBLANK($Z2),NOT(ISBLANK($E2)))</formula>
    </cfRule>
  </conditionalFormatting>
  <conditionalFormatting sqref="AA2:AC26 AA28:AC69">
    <cfRule type="expression" dxfId="61" priority="50">
      <formula>AND(ISBLANK($AA2),ISBLANK($AB2),ISBLANK($AC2),NOT(ISBLANK($E2)))</formula>
    </cfRule>
  </conditionalFormatting>
  <conditionalFormatting sqref="AD2:AG26 AD28:AG69">
    <cfRule type="expression" dxfId="6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tabSelected="1" topLeftCell="A67" workbookViewId="0">
      <selection activeCell="G75" sqref="G75"/>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51" customWidth="1"/>
    <col min="8" max="9" width="13.6640625" style="4" customWidth="1"/>
    <col min="10" max="11" width="13.6640625" style="34"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4" customWidth="1"/>
    <col min="26" max="26" width="12.5" style="3" customWidth="1"/>
    <col min="27" max="28" width="16.6640625" style="34" customWidth="1"/>
    <col min="29" max="29" width="12.5" style="3" customWidth="1"/>
    <col min="30" max="32" width="6.6640625" style="34" customWidth="1"/>
    <col min="33" max="33" width="16.1640625" style="3" customWidth="1"/>
    <col min="34" max="16384" width="10.6640625" style="3"/>
  </cols>
  <sheetData>
    <row r="1" spans="1:33" s="42" customFormat="1" ht="43" x14ac:dyDescent="0.2">
      <c r="A1" s="45" t="s">
        <v>0</v>
      </c>
      <c r="B1" s="46" t="s">
        <v>1</v>
      </c>
      <c r="C1" s="45" t="s">
        <v>2</v>
      </c>
      <c r="D1" s="46" t="s">
        <v>3</v>
      </c>
      <c r="E1" s="46" t="s">
        <v>4</v>
      </c>
      <c r="F1" s="46" t="s">
        <v>285</v>
      </c>
      <c r="G1" s="47" t="s">
        <v>286</v>
      </c>
      <c r="H1" s="46" t="s">
        <v>5</v>
      </c>
      <c r="I1" s="46" t="s">
        <v>6</v>
      </c>
      <c r="J1" s="45" t="s">
        <v>7</v>
      </c>
      <c r="K1" s="45" t="s">
        <v>8</v>
      </c>
      <c r="L1" s="45" t="s">
        <v>9</v>
      </c>
      <c r="M1" s="48" t="s">
        <v>10</v>
      </c>
      <c r="N1" s="45" t="s">
        <v>11</v>
      </c>
      <c r="O1" s="45" t="s">
        <v>12</v>
      </c>
      <c r="P1" s="45" t="s">
        <v>13</v>
      </c>
      <c r="Q1" s="45" t="s">
        <v>14</v>
      </c>
      <c r="R1" s="45" t="s">
        <v>15</v>
      </c>
      <c r="S1" s="45" t="s">
        <v>16</v>
      </c>
      <c r="T1" s="45" t="s">
        <v>17</v>
      </c>
      <c r="U1" s="45" t="s">
        <v>18</v>
      </c>
      <c r="V1" s="45" t="s">
        <v>19</v>
      </c>
      <c r="W1" s="49" t="s">
        <v>20</v>
      </c>
      <c r="X1" s="49" t="s">
        <v>21</v>
      </c>
      <c r="Y1" s="49" t="s">
        <v>22</v>
      </c>
      <c r="Z1" s="49" t="s">
        <v>23</v>
      </c>
      <c r="AA1" s="76" t="s">
        <v>24</v>
      </c>
      <c r="AB1" s="76" t="s">
        <v>25</v>
      </c>
      <c r="AC1" s="49" t="s">
        <v>26</v>
      </c>
      <c r="AD1" s="49" t="s">
        <v>27</v>
      </c>
      <c r="AE1" s="49" t="s">
        <v>28</v>
      </c>
      <c r="AF1" s="49" t="s">
        <v>29</v>
      </c>
      <c r="AG1" s="49" t="s">
        <v>30</v>
      </c>
    </row>
    <row r="2" spans="1:33" s="7" customFormat="1" ht="15" x14ac:dyDescent="0.2">
      <c r="A2" s="48">
        <v>10</v>
      </c>
      <c r="B2" s="50">
        <f>IF(ISNUMBER(A2),
    IF(AND(A2=INT(A2), MOD(A2, 10) = 0), 0,
        IF(AND(A2=INT(A2), LEN(A2)=2), 1,
            IF(AND(A2=INT(A2), LEN(A2)=3), 2,
                LEN(A2) - FIND(".", A2) + 2)
        )
    ),
"")</f>
        <v>0</v>
      </c>
      <c r="C2" s="51" t="s">
        <v>31</v>
      </c>
      <c r="D2" s="51" t="str">
        <f>REPT("   ", B2*2) &amp; C2</f>
        <v>Capitalized Pre-Construction Costs</v>
      </c>
      <c r="E2" s="51"/>
      <c r="F2" s="51"/>
      <c r="G2" s="52"/>
      <c r="H2" s="51"/>
      <c r="I2" s="51"/>
      <c r="J2" s="77"/>
      <c r="K2" s="53"/>
      <c r="L2" s="50"/>
      <c r="M2" s="50"/>
      <c r="N2" s="50"/>
      <c r="O2" s="50"/>
      <c r="P2" s="53"/>
      <c r="Q2" s="53"/>
      <c r="R2" s="50"/>
      <c r="S2" s="46"/>
      <c r="T2" s="50"/>
      <c r="U2" s="50"/>
      <c r="V2" s="50"/>
      <c r="W2" s="54"/>
      <c r="X2" s="55"/>
      <c r="Y2" s="55"/>
      <c r="Z2" s="54"/>
      <c r="AA2" s="55"/>
      <c r="AB2" s="55"/>
      <c r="AC2" s="54"/>
      <c r="AD2" s="55"/>
      <c r="AE2" s="55"/>
      <c r="AF2" s="55"/>
      <c r="AG2" s="54"/>
    </row>
    <row r="3" spans="1:33" ht="43" x14ac:dyDescent="0.2">
      <c r="A3" s="48">
        <v>11</v>
      </c>
      <c r="B3" s="50">
        <f t="shared" ref="B3:B37" si="0">IF(ISNUMBER(A3),
    IF(AND(A3=INT(A3), MOD(A3, 10) = 0), 0,
        IF(AND(A3=INT(A3), LEN(A3)=2), 1,
            IF(AND(A3=INT(A3), LEN(A3)=3), 2,
                LEN(A3) - FIND(".", A3) + 2)
        )
    ),
"")</f>
        <v>1</v>
      </c>
      <c r="C3" s="56" t="s">
        <v>32</v>
      </c>
      <c r="D3" s="51" t="str">
        <f t="shared" ref="D3:D37" si="1">REPT("   ", B3*2) &amp; C3</f>
        <v xml:space="preserve">      Land Cost</v>
      </c>
      <c r="E3" s="51" t="s">
        <v>33</v>
      </c>
      <c r="F3" s="51" t="s">
        <v>287</v>
      </c>
      <c r="G3" s="52">
        <v>1</v>
      </c>
      <c r="H3" s="51"/>
      <c r="I3" s="51"/>
      <c r="J3" s="78"/>
      <c r="K3" s="78">
        <v>3800</v>
      </c>
      <c r="L3" s="58" t="s">
        <v>34</v>
      </c>
      <c r="M3" s="58" t="s">
        <v>379</v>
      </c>
      <c r="N3" s="79"/>
      <c r="O3" s="58" t="s">
        <v>35</v>
      </c>
      <c r="P3" s="59"/>
      <c r="Q3" s="59">
        <v>2022</v>
      </c>
      <c r="R3" s="58" t="s">
        <v>36</v>
      </c>
      <c r="S3" s="60" t="s">
        <v>37</v>
      </c>
      <c r="T3" s="172" t="s">
        <v>289</v>
      </c>
      <c r="U3" s="173" t="s">
        <v>38</v>
      </c>
      <c r="V3" s="61"/>
      <c r="W3" s="54" t="s">
        <v>39</v>
      </c>
      <c r="X3" s="62">
        <f>0.9*$J3</f>
        <v>0</v>
      </c>
      <c r="Y3" s="62">
        <f>1.5*J3</f>
        <v>0</v>
      </c>
      <c r="Z3" s="54" t="s">
        <v>40</v>
      </c>
      <c r="AA3" s="55">
        <f t="shared" ref="AA3:AA13" si="2">0.9*K3</f>
        <v>3420</v>
      </c>
      <c r="AB3" s="55">
        <f t="shared" ref="AB3:AB13" si="3">1.3*K3</f>
        <v>4940</v>
      </c>
      <c r="AC3" s="54" t="s">
        <v>40</v>
      </c>
      <c r="AD3" s="55" t="s">
        <v>41</v>
      </c>
      <c r="AE3" s="55" t="s">
        <v>42</v>
      </c>
      <c r="AF3" s="55" t="s">
        <v>43</v>
      </c>
      <c r="AG3" s="54" t="s">
        <v>44</v>
      </c>
    </row>
    <row r="4" spans="1:33" ht="15" x14ac:dyDescent="0.2">
      <c r="A4" s="48">
        <v>12</v>
      </c>
      <c r="B4" s="50">
        <f t="shared" si="0"/>
        <v>1</v>
      </c>
      <c r="C4" s="56" t="s">
        <v>45</v>
      </c>
      <c r="D4" s="51" t="str">
        <f t="shared" si="1"/>
        <v xml:space="preserve">      Site Permits</v>
      </c>
      <c r="E4" s="51" t="s">
        <v>33</v>
      </c>
      <c r="F4" s="51" t="s">
        <v>287</v>
      </c>
      <c r="G4" s="52">
        <v>1</v>
      </c>
      <c r="H4" s="51"/>
      <c r="I4" s="51"/>
      <c r="J4" s="78"/>
      <c r="K4" s="78">
        <f>10.03*1000</f>
        <v>10030</v>
      </c>
      <c r="L4" s="58" t="s">
        <v>46</v>
      </c>
      <c r="M4" s="58" t="s">
        <v>380</v>
      </c>
      <c r="N4" s="79"/>
      <c r="O4" s="58" t="s">
        <v>47</v>
      </c>
      <c r="P4" s="59"/>
      <c r="Q4" s="59">
        <v>2022</v>
      </c>
      <c r="R4" s="58" t="s">
        <v>48</v>
      </c>
      <c r="S4" s="60" t="s">
        <v>49</v>
      </c>
      <c r="T4" s="172"/>
      <c r="U4" s="173"/>
      <c r="V4" s="61"/>
      <c r="W4" s="54" t="s">
        <v>39</v>
      </c>
      <c r="X4" s="62">
        <f t="shared" ref="X4:X17" si="4">0.9*$J4</f>
        <v>0</v>
      </c>
      <c r="Y4" s="62">
        <f t="shared" ref="Y4:Y12" si="5">1.5*J4</f>
        <v>0</v>
      </c>
      <c r="Z4" s="54" t="s">
        <v>40</v>
      </c>
      <c r="AA4" s="55">
        <f t="shared" si="2"/>
        <v>9027</v>
      </c>
      <c r="AB4" s="55">
        <f t="shared" si="3"/>
        <v>13039</v>
      </c>
      <c r="AC4" s="54" t="s">
        <v>40</v>
      </c>
      <c r="AD4" s="55" t="s">
        <v>41</v>
      </c>
      <c r="AE4" s="55" t="s">
        <v>42</v>
      </c>
      <c r="AF4" s="55" t="s">
        <v>43</v>
      </c>
      <c r="AG4" s="54" t="s">
        <v>44</v>
      </c>
    </row>
    <row r="5" spans="1:33" ht="15" x14ac:dyDescent="0.2">
      <c r="A5" s="48">
        <v>13</v>
      </c>
      <c r="B5" s="50">
        <f t="shared" si="0"/>
        <v>1</v>
      </c>
      <c r="C5" s="56" t="s">
        <v>50</v>
      </c>
      <c r="D5" s="51" t="str">
        <f t="shared" si="1"/>
        <v xml:space="preserve">      Plant Licensing</v>
      </c>
      <c r="E5" s="51" t="s">
        <v>33</v>
      </c>
      <c r="F5" s="51" t="s">
        <v>287</v>
      </c>
      <c r="G5" s="52">
        <v>1</v>
      </c>
      <c r="H5" s="51"/>
      <c r="I5" s="51"/>
      <c r="J5" s="78">
        <f>1000000*(45+70)/2</f>
        <v>57500000</v>
      </c>
      <c r="K5" s="78"/>
      <c r="L5" s="79"/>
      <c r="M5" s="79"/>
      <c r="N5" s="79"/>
      <c r="O5" s="58"/>
      <c r="P5" s="59"/>
      <c r="Q5" s="59">
        <v>2009</v>
      </c>
      <c r="R5" s="58" t="s">
        <v>48</v>
      </c>
      <c r="S5" s="60" t="s">
        <v>55</v>
      </c>
      <c r="T5" s="172" t="s">
        <v>291</v>
      </c>
      <c r="U5" s="173" t="s">
        <v>51</v>
      </c>
      <c r="V5" s="61"/>
      <c r="W5" s="54" t="s">
        <v>39</v>
      </c>
      <c r="X5" s="62">
        <f>45*1000000</f>
        <v>45000000</v>
      </c>
      <c r="Y5" s="62">
        <f>70*1000000</f>
        <v>70000000</v>
      </c>
      <c r="Z5" s="54" t="s">
        <v>53</v>
      </c>
      <c r="AA5" s="55">
        <f t="shared" si="2"/>
        <v>0</v>
      </c>
      <c r="AB5" s="55">
        <f t="shared" si="3"/>
        <v>0</v>
      </c>
      <c r="AC5" s="54" t="s">
        <v>40</v>
      </c>
      <c r="AD5" s="55" t="s">
        <v>41</v>
      </c>
      <c r="AE5" s="55" t="s">
        <v>42</v>
      </c>
      <c r="AF5" s="55" t="s">
        <v>43</v>
      </c>
      <c r="AG5" s="54" t="s">
        <v>44</v>
      </c>
    </row>
    <row r="6" spans="1:33" ht="15" x14ac:dyDescent="0.2">
      <c r="A6" s="48">
        <v>14</v>
      </c>
      <c r="B6" s="50">
        <f t="shared" si="0"/>
        <v>1</v>
      </c>
      <c r="C6" s="56" t="s">
        <v>54</v>
      </c>
      <c r="D6" s="51" t="str">
        <f t="shared" si="1"/>
        <v xml:space="preserve">      Plant Permits</v>
      </c>
      <c r="E6" s="51" t="s">
        <v>33</v>
      </c>
      <c r="F6" s="51" t="s">
        <v>287</v>
      </c>
      <c r="G6" s="52">
        <v>1</v>
      </c>
      <c r="H6" s="51"/>
      <c r="I6" s="51"/>
      <c r="J6" s="78">
        <v>3000000</v>
      </c>
      <c r="K6" s="78"/>
      <c r="L6" s="79"/>
      <c r="M6" s="79"/>
      <c r="N6" s="79"/>
      <c r="O6" s="58"/>
      <c r="P6" s="59"/>
      <c r="Q6" s="59">
        <v>2009</v>
      </c>
      <c r="R6" s="58" t="s">
        <v>48</v>
      </c>
      <c r="S6" s="60" t="s">
        <v>55</v>
      </c>
      <c r="T6" s="172"/>
      <c r="U6" s="173"/>
      <c r="V6" s="61"/>
      <c r="W6" s="54" t="s">
        <v>39</v>
      </c>
      <c r="X6" s="62">
        <f t="shared" si="4"/>
        <v>2700000</v>
      </c>
      <c r="Y6" s="62">
        <f t="shared" si="5"/>
        <v>4500000</v>
      </c>
      <c r="Z6" s="54" t="s">
        <v>40</v>
      </c>
      <c r="AA6" s="55">
        <f t="shared" si="2"/>
        <v>0</v>
      </c>
      <c r="AB6" s="55">
        <f t="shared" si="3"/>
        <v>0</v>
      </c>
      <c r="AC6" s="54" t="s">
        <v>40</v>
      </c>
      <c r="AD6" s="55" t="s">
        <v>41</v>
      </c>
      <c r="AE6" s="55" t="s">
        <v>42</v>
      </c>
      <c r="AF6" s="55" t="s">
        <v>43</v>
      </c>
      <c r="AG6" s="54" t="s">
        <v>44</v>
      </c>
    </row>
    <row r="7" spans="1:33" ht="113" x14ac:dyDescent="0.2">
      <c r="A7" s="48">
        <v>15</v>
      </c>
      <c r="B7" s="50">
        <f t="shared" si="0"/>
        <v>1</v>
      </c>
      <c r="C7" s="56" t="s">
        <v>56</v>
      </c>
      <c r="D7" s="51" t="str">
        <f t="shared" si="1"/>
        <v xml:space="preserve">      Plant Studies</v>
      </c>
      <c r="E7" s="51" t="s">
        <v>33</v>
      </c>
      <c r="F7" s="51" t="s">
        <v>287</v>
      </c>
      <c r="G7" s="52">
        <v>1</v>
      </c>
      <c r="H7" s="51"/>
      <c r="I7" s="51"/>
      <c r="J7" s="78">
        <f>10*MARVEL_Cost!C4</f>
        <v>52104510</v>
      </c>
      <c r="K7" s="78"/>
      <c r="L7" s="79"/>
      <c r="M7" s="79"/>
      <c r="N7" s="79"/>
      <c r="O7" s="58"/>
      <c r="P7" s="59"/>
      <c r="Q7" s="59">
        <v>2024</v>
      </c>
      <c r="R7" s="58" t="s">
        <v>48</v>
      </c>
      <c r="S7" s="60" t="s">
        <v>57</v>
      </c>
      <c r="T7" s="60" t="s">
        <v>292</v>
      </c>
      <c r="U7" s="61" t="s">
        <v>58</v>
      </c>
      <c r="V7" s="58" t="s">
        <v>59</v>
      </c>
      <c r="W7" s="54" t="s">
        <v>39</v>
      </c>
      <c r="X7" s="62">
        <f t="shared" si="4"/>
        <v>46894059</v>
      </c>
      <c r="Y7" s="62">
        <f t="shared" si="5"/>
        <v>78156765</v>
      </c>
      <c r="Z7" s="54" t="s">
        <v>40</v>
      </c>
      <c r="AA7" s="55">
        <f t="shared" si="2"/>
        <v>0</v>
      </c>
      <c r="AB7" s="55">
        <f t="shared" si="3"/>
        <v>0</v>
      </c>
      <c r="AC7" s="54" t="s">
        <v>40</v>
      </c>
      <c r="AD7" s="55" t="s">
        <v>41</v>
      </c>
      <c r="AE7" s="55" t="s">
        <v>42</v>
      </c>
      <c r="AF7" s="55" t="s">
        <v>43</v>
      </c>
      <c r="AG7" s="54" t="s">
        <v>44</v>
      </c>
    </row>
    <row r="8" spans="1:33" ht="15" x14ac:dyDescent="0.2">
      <c r="A8" s="45">
        <v>20</v>
      </c>
      <c r="B8" s="50">
        <f>IF(ISNUMBER(A8),
    IF(AND(A8=INT(A8), MOD(A8, 10) = 0), 0,
        IF(AND(A8=INT(A8), LEN(A8)=2), 1,
            IF(AND(A8=INT(A8), LEN(A8)=3), 2,
                LEN(A8) - FIND(".", A8) + 2)
        )
    ),
"")</f>
        <v>0</v>
      </c>
      <c r="C8" s="56" t="s">
        <v>60</v>
      </c>
      <c r="D8" s="51" t="str">
        <f t="shared" si="1"/>
        <v>Capitalized Direct Costs</v>
      </c>
      <c r="E8" s="51"/>
      <c r="F8" s="51"/>
      <c r="G8" s="52"/>
      <c r="H8" s="51"/>
      <c r="I8" s="51"/>
      <c r="J8" s="78"/>
      <c r="K8" s="63"/>
      <c r="L8" s="45"/>
      <c r="M8" s="48"/>
      <c r="N8" s="45"/>
      <c r="O8" s="45"/>
      <c r="P8" s="64"/>
      <c r="Q8" s="64"/>
      <c r="R8" s="45"/>
      <c r="S8" s="45"/>
      <c r="T8" s="45"/>
      <c r="U8" s="45"/>
      <c r="V8" s="45"/>
      <c r="W8" s="54" t="s">
        <v>293</v>
      </c>
      <c r="X8" s="62"/>
      <c r="Y8" s="62"/>
      <c r="Z8" s="54"/>
      <c r="AA8" s="55"/>
      <c r="AB8" s="55"/>
      <c r="AC8" s="54"/>
      <c r="AD8" s="55"/>
      <c r="AE8" s="55"/>
      <c r="AF8" s="55"/>
      <c r="AG8" s="54"/>
    </row>
    <row r="9" spans="1:33" ht="15" x14ac:dyDescent="0.2">
      <c r="A9" s="48">
        <v>21</v>
      </c>
      <c r="B9" s="50">
        <f t="shared" si="0"/>
        <v>1</v>
      </c>
      <c r="C9" s="56" t="s">
        <v>61</v>
      </c>
      <c r="D9" s="51" t="str">
        <f t="shared" si="1"/>
        <v xml:space="preserve">      Structures and Improvements</v>
      </c>
      <c r="E9" s="51"/>
      <c r="F9" s="51"/>
      <c r="G9" s="52"/>
      <c r="H9" s="51"/>
      <c r="I9" s="51"/>
      <c r="J9" s="78"/>
      <c r="K9" s="78"/>
      <c r="L9" s="79"/>
      <c r="M9" s="79"/>
      <c r="N9" s="79"/>
      <c r="O9" s="79"/>
      <c r="P9" s="81"/>
      <c r="Q9" s="81"/>
      <c r="R9" s="79"/>
      <c r="S9" s="82"/>
      <c r="T9" s="79"/>
      <c r="U9" s="79"/>
      <c r="V9" s="61"/>
      <c r="W9" s="54"/>
      <c r="X9" s="62"/>
      <c r="Y9" s="62"/>
      <c r="Z9" s="54"/>
      <c r="AA9" s="55"/>
      <c r="AB9" s="55"/>
      <c r="AC9" s="54"/>
      <c r="AD9" s="55"/>
      <c r="AE9" s="55"/>
      <c r="AF9" s="55"/>
      <c r="AG9" s="54"/>
    </row>
    <row r="10" spans="1:33" ht="15" x14ac:dyDescent="0.2">
      <c r="A10" s="65">
        <v>211</v>
      </c>
      <c r="B10" s="50">
        <f t="shared" si="0"/>
        <v>2</v>
      </c>
      <c r="C10" s="56" t="s">
        <v>62</v>
      </c>
      <c r="D10" s="51" t="str">
        <f>REPT("   ", B10*2) &amp; C10</f>
        <v xml:space="preserve">            Site Preparation/ Yard Work</v>
      </c>
      <c r="E10" s="51"/>
      <c r="F10" s="51"/>
      <c r="G10" s="52"/>
      <c r="H10" s="51"/>
      <c r="I10" s="51"/>
      <c r="J10" s="78"/>
      <c r="K10" s="78"/>
      <c r="L10" s="79"/>
      <c r="M10" s="79"/>
      <c r="N10" s="79"/>
      <c r="O10" s="79"/>
      <c r="P10" s="81"/>
      <c r="Q10" s="81"/>
      <c r="R10" s="79"/>
      <c r="S10" s="82"/>
      <c r="T10" s="79"/>
      <c r="U10" s="79"/>
      <c r="V10" s="61"/>
      <c r="W10" s="54"/>
      <c r="X10" s="62"/>
      <c r="Y10" s="62"/>
      <c r="Z10" s="54"/>
      <c r="AA10" s="55"/>
      <c r="AB10" s="55"/>
      <c r="AC10" s="54"/>
      <c r="AD10" s="55"/>
      <c r="AE10" s="55"/>
      <c r="AF10" s="55"/>
      <c r="AG10" s="54"/>
    </row>
    <row r="11" spans="1:33" ht="15" x14ac:dyDescent="0.2">
      <c r="A11" s="66">
        <v>211.1</v>
      </c>
      <c r="B11" s="50">
        <f t="shared" si="0"/>
        <v>3</v>
      </c>
      <c r="C11" s="56" t="s">
        <v>63</v>
      </c>
      <c r="D11" s="51" t="str">
        <f t="shared" si="1"/>
        <v xml:space="preserve">                  Cleaning and Grubbing</v>
      </c>
      <c r="E11" s="51" t="s">
        <v>33</v>
      </c>
      <c r="F11" s="51" t="s">
        <v>287</v>
      </c>
      <c r="G11" s="52">
        <v>1</v>
      </c>
      <c r="H11" s="51"/>
      <c r="I11" s="51"/>
      <c r="J11" s="78"/>
      <c r="K11" s="78">
        <f>4408.18*1.33</f>
        <v>5862.8794000000007</v>
      </c>
      <c r="L11" s="58" t="s">
        <v>34</v>
      </c>
      <c r="M11" s="58" t="s">
        <v>381</v>
      </c>
      <c r="N11" s="79"/>
      <c r="O11" s="58" t="s">
        <v>35</v>
      </c>
      <c r="P11" s="81"/>
      <c r="Q11" s="59">
        <v>2024</v>
      </c>
      <c r="R11" s="58" t="s">
        <v>64</v>
      </c>
      <c r="S11" s="172" t="s">
        <v>65</v>
      </c>
      <c r="T11" s="172" t="s">
        <v>66</v>
      </c>
      <c r="U11" s="174" t="s">
        <v>67</v>
      </c>
      <c r="V11" s="61"/>
      <c r="W11" s="54" t="s">
        <v>39</v>
      </c>
      <c r="X11" s="62">
        <f t="shared" si="4"/>
        <v>0</v>
      </c>
      <c r="Y11" s="62">
        <f t="shared" si="5"/>
        <v>0</v>
      </c>
      <c r="Z11" s="54" t="s">
        <v>40</v>
      </c>
      <c r="AA11" s="55">
        <f t="shared" si="2"/>
        <v>5276.5914600000006</v>
      </c>
      <c r="AB11" s="55">
        <f t="shared" si="3"/>
        <v>7621.7432200000012</v>
      </c>
      <c r="AC11" s="54" t="s">
        <v>40</v>
      </c>
      <c r="AD11" s="55" t="s">
        <v>41</v>
      </c>
      <c r="AE11" s="55" t="s">
        <v>42</v>
      </c>
      <c r="AF11" s="55" t="s">
        <v>43</v>
      </c>
      <c r="AG11" s="54" t="s">
        <v>44</v>
      </c>
    </row>
    <row r="12" spans="1:33" ht="15" x14ac:dyDescent="0.2">
      <c r="A12" s="65">
        <v>211.2</v>
      </c>
      <c r="B12" s="50">
        <f>IF(ISNUMBER(A12),
    IF(AND(A12=INT(A12), MOD(A12, 10) = 0), 0,
        IF(AND(A12=INT(A12), LEN(A12)=2), 1,
            IF(AND(A12=INT(A12), LEN(A12)=3), 2,
                LEN(A12) - FIND(".", A12) + 2)
        )
    ),
"")</f>
        <v>3</v>
      </c>
      <c r="C12" s="56" t="s">
        <v>69</v>
      </c>
      <c r="D12" s="51" t="str">
        <f t="shared" si="1"/>
        <v xml:space="preserve">                  Stripping Topsoil</v>
      </c>
      <c r="E12" s="51" t="s">
        <v>33</v>
      </c>
      <c r="F12" s="51" t="s">
        <v>287</v>
      </c>
      <c r="G12" s="52">
        <v>1</v>
      </c>
      <c r="H12" s="51"/>
      <c r="I12" s="51"/>
      <c r="J12" s="78"/>
      <c r="K12" s="78">
        <f>2565.2*1.33</f>
        <v>3411.7159999999999</v>
      </c>
      <c r="L12" s="58" t="s">
        <v>34</v>
      </c>
      <c r="M12" s="58" t="s">
        <v>381</v>
      </c>
      <c r="N12" s="79"/>
      <c r="O12" s="58" t="s">
        <v>35</v>
      </c>
      <c r="P12" s="81"/>
      <c r="Q12" s="59">
        <v>2024</v>
      </c>
      <c r="R12" s="58" t="s">
        <v>64</v>
      </c>
      <c r="S12" s="172"/>
      <c r="T12" s="172"/>
      <c r="U12" s="173"/>
      <c r="V12" s="61"/>
      <c r="W12" s="54" t="s">
        <v>39</v>
      </c>
      <c r="X12" s="62">
        <f t="shared" si="4"/>
        <v>0</v>
      </c>
      <c r="Y12" s="62">
        <f t="shared" si="5"/>
        <v>0</v>
      </c>
      <c r="Z12" s="54" t="s">
        <v>40</v>
      </c>
      <c r="AA12" s="55">
        <f t="shared" si="2"/>
        <v>3070.5443999999998</v>
      </c>
      <c r="AB12" s="55">
        <f t="shared" si="3"/>
        <v>4435.2308000000003</v>
      </c>
      <c r="AC12" s="54" t="s">
        <v>40</v>
      </c>
      <c r="AD12" s="55" t="s">
        <v>41</v>
      </c>
      <c r="AE12" s="55" t="s">
        <v>42</v>
      </c>
      <c r="AF12" s="55" t="s">
        <v>43</v>
      </c>
      <c r="AG12" s="54" t="s">
        <v>44</v>
      </c>
    </row>
    <row r="13" spans="1:33" ht="43" x14ac:dyDescent="0.2">
      <c r="A13" s="65">
        <v>211.4</v>
      </c>
      <c r="B13" s="50">
        <f t="shared" si="0"/>
        <v>3</v>
      </c>
      <c r="C13" s="56" t="s">
        <v>294</v>
      </c>
      <c r="D13" s="51" t="str">
        <f t="shared" si="1"/>
        <v xml:space="preserve">                  Roads</v>
      </c>
      <c r="E13" s="51" t="s">
        <v>33</v>
      </c>
      <c r="F13" s="51" t="s">
        <v>287</v>
      </c>
      <c r="G13" s="52">
        <v>1</v>
      </c>
      <c r="H13" s="51"/>
      <c r="I13" s="51"/>
      <c r="J13" s="78"/>
      <c r="K13" s="78">
        <f>0.7*7873200*1.609/1000</f>
        <v>8867.5851600000005</v>
      </c>
      <c r="L13" s="58" t="s">
        <v>295</v>
      </c>
      <c r="M13" s="83" t="s">
        <v>382</v>
      </c>
      <c r="N13" s="84">
        <v>1</v>
      </c>
      <c r="O13" s="85"/>
      <c r="P13" s="86">
        <v>1</v>
      </c>
      <c r="Q13" s="87">
        <v>2025</v>
      </c>
      <c r="R13" s="85" t="s">
        <v>36</v>
      </c>
      <c r="S13" s="88" t="s">
        <v>297</v>
      </c>
      <c r="T13" s="89"/>
      <c r="U13" s="80"/>
      <c r="V13" s="61"/>
      <c r="W13" s="54" t="s">
        <v>39</v>
      </c>
      <c r="X13" s="62">
        <f>0.9*$J13</f>
        <v>0</v>
      </c>
      <c r="Y13" s="62">
        <f>1.5*J13</f>
        <v>0</v>
      </c>
      <c r="Z13" s="54" t="s">
        <v>40</v>
      </c>
      <c r="AA13" s="55">
        <f t="shared" si="2"/>
        <v>7980.8266440000007</v>
      </c>
      <c r="AB13" s="55">
        <f t="shared" si="3"/>
        <v>11527.860708000002</v>
      </c>
      <c r="AC13" s="54" t="s">
        <v>40</v>
      </c>
      <c r="AD13" s="55" t="s">
        <v>41</v>
      </c>
      <c r="AE13" s="55" t="s">
        <v>42</v>
      </c>
      <c r="AF13" s="55" t="s">
        <v>43</v>
      </c>
      <c r="AG13" s="54" t="s">
        <v>44</v>
      </c>
    </row>
    <row r="14" spans="1:33" ht="15" x14ac:dyDescent="0.2">
      <c r="A14" s="65">
        <v>211.9</v>
      </c>
      <c r="B14" s="50">
        <f t="shared" si="0"/>
        <v>3</v>
      </c>
      <c r="C14" s="56" t="s">
        <v>298</v>
      </c>
      <c r="D14" s="51" t="str">
        <f t="shared" si="1"/>
        <v xml:space="preserve">                  Security Fencing</v>
      </c>
      <c r="E14" s="51"/>
      <c r="F14" s="51"/>
      <c r="G14" s="52"/>
      <c r="H14" s="51"/>
      <c r="I14" s="51"/>
      <c r="J14" s="78"/>
      <c r="K14" s="90"/>
      <c r="L14" s="91"/>
      <c r="M14" s="92"/>
      <c r="N14" s="93"/>
      <c r="O14" s="58"/>
      <c r="P14" s="94"/>
      <c r="Q14" s="95"/>
      <c r="R14" s="96"/>
      <c r="S14" s="97"/>
      <c r="T14" s="60"/>
      <c r="U14" s="80"/>
      <c r="V14" s="61"/>
      <c r="W14" s="54"/>
      <c r="X14" s="62"/>
      <c r="Y14" s="62"/>
      <c r="Z14" s="54"/>
      <c r="AA14" s="55"/>
      <c r="AB14" s="55"/>
      <c r="AC14" s="54"/>
      <c r="AD14" s="55"/>
      <c r="AE14" s="55"/>
      <c r="AF14" s="55"/>
      <c r="AG14" s="54"/>
    </row>
    <row r="15" spans="1:33" ht="43" x14ac:dyDescent="0.2">
      <c r="A15" s="65">
        <v>211.91</v>
      </c>
      <c r="B15" s="50">
        <f t="shared" si="0"/>
        <v>4</v>
      </c>
      <c r="C15" s="56" t="s">
        <v>299</v>
      </c>
      <c r="D15" s="51" t="str">
        <f t="shared" si="1"/>
        <v xml:space="preserve">                        Security Fencing Limited</v>
      </c>
      <c r="E15" s="51" t="s">
        <v>33</v>
      </c>
      <c r="F15" s="51" t="s">
        <v>287</v>
      </c>
      <c r="G15" s="52">
        <v>1</v>
      </c>
      <c r="H15" s="51"/>
      <c r="I15" s="51"/>
      <c r="J15" s="78"/>
      <c r="K15" s="78">
        <f>0.7*273</f>
        <v>191.1</v>
      </c>
      <c r="L15" s="58" t="s">
        <v>300</v>
      </c>
      <c r="M15" s="58" t="s">
        <v>383</v>
      </c>
      <c r="N15" s="79"/>
      <c r="O15" s="58"/>
      <c r="P15" s="81"/>
      <c r="Q15" s="59">
        <v>2025</v>
      </c>
      <c r="R15" s="58" t="s">
        <v>64</v>
      </c>
      <c r="S15" s="88" t="s">
        <v>297</v>
      </c>
      <c r="T15" s="60"/>
      <c r="U15" s="98"/>
      <c r="V15" s="61"/>
      <c r="W15" s="54" t="s">
        <v>39</v>
      </c>
      <c r="X15" s="62">
        <f t="shared" si="4"/>
        <v>0</v>
      </c>
      <c r="Y15" s="62">
        <f t="shared" ref="Y15:Y17" si="6">1.5*J15</f>
        <v>0</v>
      </c>
      <c r="Z15" s="54" t="s">
        <v>40</v>
      </c>
      <c r="AA15" s="55">
        <f t="shared" ref="AA15:AA17" si="7">0.9*K15</f>
        <v>171.99</v>
      </c>
      <c r="AB15" s="55">
        <f t="shared" ref="AB15:AB17" si="8">1.3*K15</f>
        <v>248.43</v>
      </c>
      <c r="AC15" s="54" t="s">
        <v>40</v>
      </c>
      <c r="AD15" s="55" t="s">
        <v>41</v>
      </c>
      <c r="AE15" s="55" t="s">
        <v>42</v>
      </c>
      <c r="AF15" s="55" t="s">
        <v>43</v>
      </c>
      <c r="AG15" s="54" t="s">
        <v>44</v>
      </c>
    </row>
    <row r="16" spans="1:33" ht="43" x14ac:dyDescent="0.2">
      <c r="A16" s="65">
        <v>211.92</v>
      </c>
      <c r="B16" s="50">
        <f t="shared" si="0"/>
        <v>4</v>
      </c>
      <c r="C16" s="56" t="s">
        <v>384</v>
      </c>
      <c r="D16" s="51" t="str">
        <f t="shared" si="1"/>
        <v xml:space="preserve">                        Security Fencing Controlled</v>
      </c>
      <c r="E16" s="51" t="s">
        <v>33</v>
      </c>
      <c r="F16" s="51" t="s">
        <v>287</v>
      </c>
      <c r="G16" s="52">
        <v>1</v>
      </c>
      <c r="H16" s="51"/>
      <c r="I16" s="51"/>
      <c r="J16" s="78"/>
      <c r="K16" s="78">
        <f>0.7*328</f>
        <v>229.6</v>
      </c>
      <c r="L16" s="58" t="s">
        <v>300</v>
      </c>
      <c r="M16" s="58" t="s">
        <v>385</v>
      </c>
      <c r="N16" s="79"/>
      <c r="O16" s="58"/>
      <c r="P16" s="81"/>
      <c r="Q16" s="59">
        <v>2025</v>
      </c>
      <c r="R16" s="58" t="s">
        <v>64</v>
      </c>
      <c r="S16" s="88" t="s">
        <v>297</v>
      </c>
      <c r="T16" s="60"/>
      <c r="U16" s="98"/>
      <c r="V16" s="61"/>
      <c r="W16" s="54" t="s">
        <v>39</v>
      </c>
      <c r="X16" s="62">
        <f t="shared" si="4"/>
        <v>0</v>
      </c>
      <c r="Y16" s="62">
        <f t="shared" si="6"/>
        <v>0</v>
      </c>
      <c r="Z16" s="54" t="s">
        <v>40</v>
      </c>
      <c r="AA16" s="55">
        <f t="shared" si="7"/>
        <v>206.64</v>
      </c>
      <c r="AB16" s="55">
        <f t="shared" si="8"/>
        <v>298.48</v>
      </c>
      <c r="AC16" s="54" t="s">
        <v>40</v>
      </c>
      <c r="AD16" s="55" t="s">
        <v>41</v>
      </c>
      <c r="AE16" s="55" t="s">
        <v>42</v>
      </c>
      <c r="AF16" s="55" t="s">
        <v>43</v>
      </c>
      <c r="AG16" s="54" t="s">
        <v>44</v>
      </c>
    </row>
    <row r="17" spans="1:33" ht="43" x14ac:dyDescent="0.2">
      <c r="A17" s="65">
        <v>211.93</v>
      </c>
      <c r="B17" s="50">
        <f t="shared" si="0"/>
        <v>4</v>
      </c>
      <c r="C17" s="56" t="s">
        <v>302</v>
      </c>
      <c r="D17" s="51" t="str">
        <f t="shared" si="1"/>
        <v xml:space="preserve">                        Security Fencing Protected</v>
      </c>
      <c r="E17" s="51" t="s">
        <v>33</v>
      </c>
      <c r="F17" s="51" t="s">
        <v>287</v>
      </c>
      <c r="G17" s="52">
        <v>1</v>
      </c>
      <c r="H17" s="51"/>
      <c r="I17" s="51"/>
      <c r="J17" s="78"/>
      <c r="K17" s="78">
        <f>0.7*15746</f>
        <v>11022.199999999999</v>
      </c>
      <c r="L17" s="58" t="s">
        <v>300</v>
      </c>
      <c r="M17" s="58" t="s">
        <v>386</v>
      </c>
      <c r="N17" s="79"/>
      <c r="O17" s="58"/>
      <c r="P17" s="81"/>
      <c r="Q17" s="59">
        <v>2025</v>
      </c>
      <c r="R17" s="58" t="s">
        <v>64</v>
      </c>
      <c r="S17" s="88" t="s">
        <v>297</v>
      </c>
      <c r="T17" s="60"/>
      <c r="U17" s="98"/>
      <c r="V17" s="61"/>
      <c r="W17" s="54" t="s">
        <v>39</v>
      </c>
      <c r="X17" s="62">
        <f t="shared" si="4"/>
        <v>0</v>
      </c>
      <c r="Y17" s="62">
        <f t="shared" si="6"/>
        <v>0</v>
      </c>
      <c r="Z17" s="54" t="s">
        <v>40</v>
      </c>
      <c r="AA17" s="55">
        <f t="shared" si="7"/>
        <v>9919.98</v>
      </c>
      <c r="AB17" s="55">
        <f t="shared" si="8"/>
        <v>14328.859999999999</v>
      </c>
      <c r="AC17" s="54" t="s">
        <v>40</v>
      </c>
      <c r="AD17" s="55" t="s">
        <v>41</v>
      </c>
      <c r="AE17" s="55" t="s">
        <v>42</v>
      </c>
      <c r="AF17" s="55" t="s">
        <v>43</v>
      </c>
      <c r="AG17" s="54" t="s">
        <v>44</v>
      </c>
    </row>
    <row r="18" spans="1:33" ht="15" x14ac:dyDescent="0.2">
      <c r="A18" s="65">
        <v>214</v>
      </c>
      <c r="B18" s="50">
        <f t="shared" si="0"/>
        <v>2</v>
      </c>
      <c r="C18" s="56" t="s">
        <v>304</v>
      </c>
      <c r="D18" s="51" t="str">
        <f t="shared" si="1"/>
        <v xml:space="preserve">            Servicing Facilities Structures</v>
      </c>
      <c r="E18" s="51"/>
      <c r="F18" s="51"/>
      <c r="G18" s="52"/>
      <c r="H18" s="51"/>
      <c r="I18" s="51"/>
      <c r="J18" s="78"/>
      <c r="K18" s="78"/>
      <c r="L18" s="79"/>
      <c r="M18" s="82"/>
      <c r="N18" s="79"/>
      <c r="O18" s="79"/>
      <c r="P18" s="81"/>
      <c r="Q18" s="81"/>
      <c r="R18" s="79"/>
      <c r="S18" s="82"/>
      <c r="T18" s="60"/>
      <c r="U18" s="80"/>
      <c r="V18" s="61"/>
      <c r="W18" s="54"/>
      <c r="X18" s="62"/>
      <c r="Y18" s="62"/>
      <c r="Z18" s="54"/>
      <c r="AA18" s="55"/>
      <c r="AB18" s="55"/>
      <c r="AC18" s="54"/>
      <c r="AD18" s="55"/>
      <c r="AE18" s="55"/>
      <c r="AF18" s="55"/>
      <c r="AG18" s="54"/>
    </row>
    <row r="19" spans="1:33" ht="15" x14ac:dyDescent="0.2">
      <c r="A19" s="65">
        <v>214.1</v>
      </c>
      <c r="B19" s="50">
        <f t="shared" si="0"/>
        <v>3</v>
      </c>
      <c r="C19" s="56" t="s">
        <v>387</v>
      </c>
      <c r="D19" s="51" t="str">
        <f t="shared" si="1"/>
        <v xml:space="preserve">                  Servicing Building</v>
      </c>
      <c r="E19" s="51"/>
      <c r="F19" s="51"/>
      <c r="G19" s="52"/>
      <c r="H19" s="51"/>
      <c r="I19" s="51"/>
      <c r="J19" s="152"/>
      <c r="K19" s="152"/>
      <c r="L19" s="79"/>
      <c r="M19" s="82"/>
      <c r="N19" s="79"/>
      <c r="O19" s="79"/>
      <c r="P19" s="81"/>
      <c r="Q19" s="81"/>
      <c r="R19" s="79"/>
      <c r="S19" s="82"/>
      <c r="T19" s="60"/>
      <c r="U19" s="80"/>
      <c r="V19" s="61"/>
      <c r="W19" s="54"/>
      <c r="X19" s="62"/>
      <c r="Y19" s="62"/>
      <c r="Z19" s="54"/>
      <c r="AA19" s="55"/>
      <c r="AB19" s="55"/>
      <c r="AC19" s="54"/>
      <c r="AD19" s="55"/>
      <c r="AE19" s="55"/>
      <c r="AF19" s="55"/>
      <c r="AG19" s="54"/>
    </row>
    <row r="20" spans="1:33" ht="43" x14ac:dyDescent="0.2">
      <c r="A20" s="106">
        <v>214.11</v>
      </c>
      <c r="B20" s="107">
        <f t="shared" si="0"/>
        <v>4</v>
      </c>
      <c r="C20" s="108" t="s">
        <v>388</v>
      </c>
      <c r="D20" s="109" t="str">
        <f t="shared" si="1"/>
        <v xml:space="preserve">                        Servicing Hot Cell Building Structure</v>
      </c>
      <c r="E20" s="109" t="s">
        <v>33</v>
      </c>
      <c r="F20" s="109" t="s">
        <v>287</v>
      </c>
      <c r="G20" s="111">
        <v>1</v>
      </c>
      <c r="H20" s="109"/>
      <c r="I20" s="109"/>
      <c r="J20" s="78"/>
      <c r="K20" s="112">
        <f>3476*3.2808^2</f>
        <v>37414.442672640005</v>
      </c>
      <c r="L20" s="100" t="s">
        <v>72</v>
      </c>
      <c r="M20" s="113" t="s">
        <v>389</v>
      </c>
      <c r="N20" s="100">
        <f>338988/(3.2808^2)</f>
        <v>31493.781647632819</v>
      </c>
      <c r="O20" s="100" t="s">
        <v>73</v>
      </c>
      <c r="P20" s="153">
        <v>0.95138500000000004</v>
      </c>
      <c r="Q20" s="59">
        <v>2025</v>
      </c>
      <c r="R20" s="79" t="s">
        <v>71</v>
      </c>
      <c r="S20" s="102" t="s">
        <v>390</v>
      </c>
      <c r="T20" s="128"/>
      <c r="U20" s="129"/>
      <c r="V20" s="103"/>
      <c r="W20" s="54" t="s">
        <v>39</v>
      </c>
      <c r="X20" s="62">
        <f t="shared" ref="X20" si="9">0.8*$I20</f>
        <v>0</v>
      </c>
      <c r="Y20" s="62">
        <f t="shared" ref="Y20" si="10">2*J20</f>
        <v>0</v>
      </c>
      <c r="Z20" s="54" t="s">
        <v>40</v>
      </c>
      <c r="AA20" s="55">
        <f t="shared" ref="AA20" si="11">0.8*K20</f>
        <v>29931.554138112006</v>
      </c>
      <c r="AB20" s="55">
        <f t="shared" ref="AB20" si="12">2*K20</f>
        <v>74828.88534528001</v>
      </c>
      <c r="AC20" s="54" t="s">
        <v>40</v>
      </c>
      <c r="AD20" s="55" t="s">
        <v>41</v>
      </c>
      <c r="AE20" s="55" t="s">
        <v>42</v>
      </c>
      <c r="AF20" s="55" t="s">
        <v>43</v>
      </c>
      <c r="AG20" s="54" t="s">
        <v>44</v>
      </c>
    </row>
    <row r="21" spans="1:33" ht="15" x14ac:dyDescent="0.2">
      <c r="A21" s="65">
        <v>214.2</v>
      </c>
      <c r="B21" s="50">
        <f t="shared" si="0"/>
        <v>3</v>
      </c>
      <c r="C21" s="56" t="s">
        <v>391</v>
      </c>
      <c r="D21" s="51"/>
      <c r="E21" s="51"/>
      <c r="F21" s="51"/>
      <c r="G21" s="52"/>
      <c r="H21" s="51"/>
      <c r="I21" s="51"/>
      <c r="J21" s="152"/>
      <c r="K21" s="78"/>
      <c r="L21" s="79"/>
      <c r="M21" s="82"/>
      <c r="N21" s="79"/>
      <c r="O21" s="79"/>
      <c r="P21" s="81"/>
      <c r="Q21" s="81"/>
      <c r="R21" s="79"/>
      <c r="S21" s="82"/>
      <c r="T21" s="60"/>
      <c r="U21" s="80"/>
      <c r="V21" s="61"/>
      <c r="W21" s="54"/>
      <c r="X21" s="62"/>
      <c r="Y21" s="62"/>
      <c r="Z21" s="54"/>
      <c r="AA21" s="55"/>
      <c r="AB21" s="55"/>
      <c r="AC21" s="54"/>
      <c r="AD21" s="55"/>
      <c r="AE21" s="55"/>
      <c r="AF21" s="55"/>
      <c r="AG21" s="54"/>
    </row>
    <row r="22" spans="1:33" ht="57" x14ac:dyDescent="0.2">
      <c r="A22" s="106">
        <v>214.21</v>
      </c>
      <c r="B22" s="107">
        <f t="shared" si="0"/>
        <v>4</v>
      </c>
      <c r="C22" s="108" t="s">
        <v>392</v>
      </c>
      <c r="D22" s="109" t="str">
        <f t="shared" ref="D22" si="13">REPT("   ", B22*2) &amp; C22</f>
        <v xml:space="preserve">                        Helium Purification and Storage Building Structure</v>
      </c>
      <c r="E22" s="109" t="s">
        <v>33</v>
      </c>
      <c r="F22" s="109" t="s">
        <v>287</v>
      </c>
      <c r="G22" s="111">
        <v>1</v>
      </c>
      <c r="H22" s="109"/>
      <c r="I22" s="109"/>
      <c r="J22" s="112"/>
      <c r="K22" s="112">
        <f>3031*(3.2808^2)</f>
        <v>32624.619027840003</v>
      </c>
      <c r="L22" s="100" t="s">
        <v>72</v>
      </c>
      <c r="M22" s="113" t="s">
        <v>393</v>
      </c>
      <c r="N22" s="100">
        <v>1</v>
      </c>
      <c r="O22" s="100" t="s">
        <v>73</v>
      </c>
      <c r="P22" s="101">
        <v>1</v>
      </c>
      <c r="Q22" s="59">
        <v>2025</v>
      </c>
      <c r="R22" s="79" t="s">
        <v>71</v>
      </c>
      <c r="S22" s="102" t="s">
        <v>394</v>
      </c>
      <c r="T22" s="128"/>
      <c r="U22" s="129"/>
      <c r="V22" s="103"/>
      <c r="W22" s="103" t="s">
        <v>39</v>
      </c>
      <c r="X22" s="104">
        <f t="shared" ref="X22:X31" si="14">0.9*$I22</f>
        <v>0</v>
      </c>
      <c r="Y22" s="104">
        <f t="shared" ref="Y22" si="15">1.5*J22</f>
        <v>0</v>
      </c>
      <c r="Z22" s="103" t="s">
        <v>40</v>
      </c>
      <c r="AA22" s="105">
        <f t="shared" ref="AA22" si="16">0.9*K22</f>
        <v>29362.157125056005</v>
      </c>
      <c r="AB22" s="105">
        <f t="shared" ref="AB22" si="17">1.3*K22</f>
        <v>42412.004736192008</v>
      </c>
      <c r="AC22" s="103" t="s">
        <v>40</v>
      </c>
      <c r="AD22" s="105" t="s">
        <v>41</v>
      </c>
      <c r="AE22" s="105" t="s">
        <v>42</v>
      </c>
      <c r="AF22" s="105" t="s">
        <v>43</v>
      </c>
      <c r="AG22" s="103" t="s">
        <v>44</v>
      </c>
    </row>
    <row r="23" spans="1:33" ht="15" x14ac:dyDescent="0.2">
      <c r="A23" s="65">
        <v>214.3</v>
      </c>
      <c r="B23" s="50">
        <f>IF(ISNUMBER(A23),
    IF(AND(A23=INT(A23), MOD(A23, 10) = 0), 0,
        IF(AND(A23=INT(A23), LEN(A23)=2), 1,
            IF(AND(A23=INT(A23), LEN(A23)=3), 2,
                LEN(A23) - FIND(".", A23) + 2)
        )
    ),
"")</f>
        <v>3</v>
      </c>
      <c r="C23" s="56" t="s">
        <v>305</v>
      </c>
      <c r="D23" s="51" t="str">
        <f>REPT("   ", B23*2) &amp; C23</f>
        <v xml:space="preserve">                  Control Buidlings</v>
      </c>
      <c r="E23" s="51"/>
      <c r="F23" s="51"/>
      <c r="G23" s="52"/>
      <c r="H23" s="51"/>
      <c r="I23" s="51"/>
      <c r="J23" s="99"/>
      <c r="K23" s="78"/>
      <c r="L23" s="58"/>
      <c r="M23" s="56"/>
      <c r="N23" s="79"/>
      <c r="O23" s="58"/>
      <c r="P23" s="81"/>
      <c r="Q23" s="59"/>
      <c r="R23" s="58"/>
      <c r="S23" s="60"/>
      <c r="T23" s="60"/>
      <c r="U23" s="80"/>
      <c r="V23" s="61"/>
      <c r="W23" s="54"/>
      <c r="X23" s="62"/>
      <c r="Y23" s="62"/>
      <c r="Z23" s="54"/>
      <c r="AA23" s="55"/>
      <c r="AB23" s="55"/>
      <c r="AC23" s="54"/>
      <c r="AD23" s="55"/>
      <c r="AE23" s="55"/>
      <c r="AF23" s="55"/>
      <c r="AG23" s="54"/>
    </row>
    <row r="24" spans="1:33" ht="57" x14ac:dyDescent="0.2">
      <c r="A24" s="65">
        <v>214.31</v>
      </c>
      <c r="B24" s="50">
        <v>4</v>
      </c>
      <c r="C24" s="56" t="s">
        <v>395</v>
      </c>
      <c r="D24" s="51" t="str">
        <f t="shared" ref="D24:D31" si="18">REPT("   ", B24*2) &amp; C24</f>
        <v xml:space="preserve">                        Local Control Building Structure</v>
      </c>
      <c r="E24" s="51" t="s">
        <v>33</v>
      </c>
      <c r="F24" s="51" t="s">
        <v>287</v>
      </c>
      <c r="G24" s="52">
        <v>1</v>
      </c>
      <c r="H24" s="51"/>
      <c r="I24" s="51"/>
      <c r="J24" s="99"/>
      <c r="K24" s="78">
        <f>0.7*2653*(3.2808^2)</f>
        <v>19989.171889344001</v>
      </c>
      <c r="L24" s="58" t="s">
        <v>72</v>
      </c>
      <c r="M24" s="56" t="s">
        <v>396</v>
      </c>
      <c r="N24" s="100">
        <v>1</v>
      </c>
      <c r="O24" s="100" t="s">
        <v>73</v>
      </c>
      <c r="P24" s="101">
        <v>1</v>
      </c>
      <c r="Q24" s="59">
        <v>2025</v>
      </c>
      <c r="R24" s="79" t="s">
        <v>71</v>
      </c>
      <c r="S24" s="102" t="s">
        <v>308</v>
      </c>
      <c r="T24" s="60"/>
      <c r="U24" s="80"/>
      <c r="V24" s="61"/>
      <c r="W24" s="103" t="s">
        <v>39</v>
      </c>
      <c r="X24" s="104">
        <f t="shared" si="14"/>
        <v>0</v>
      </c>
      <c r="Y24" s="104">
        <f t="shared" ref="Y24:Y25" si="19">1.5*J24</f>
        <v>0</v>
      </c>
      <c r="Z24" s="103" t="s">
        <v>40</v>
      </c>
      <c r="AA24" s="105">
        <f t="shared" ref="AA24:AA25" si="20">0.9*K24</f>
        <v>17990.254700409601</v>
      </c>
      <c r="AB24" s="105">
        <f t="shared" ref="AB24:AB25" si="21">1.3*K24</f>
        <v>25985.923456147204</v>
      </c>
      <c r="AC24" s="103" t="s">
        <v>40</v>
      </c>
      <c r="AD24" s="105" t="s">
        <v>41</v>
      </c>
      <c r="AE24" s="105" t="s">
        <v>42</v>
      </c>
      <c r="AF24" s="105" t="s">
        <v>43</v>
      </c>
      <c r="AG24" s="103" t="s">
        <v>44</v>
      </c>
    </row>
    <row r="25" spans="1:33" ht="57" x14ac:dyDescent="0.2">
      <c r="A25" s="65">
        <v>214.32</v>
      </c>
      <c r="B25" s="50">
        <v>4</v>
      </c>
      <c r="C25" s="56" t="s">
        <v>397</v>
      </c>
      <c r="D25" s="51" t="str">
        <f t="shared" si="18"/>
        <v xml:space="preserve">                        Remote Control Center Structure</v>
      </c>
      <c r="E25" s="51" t="s">
        <v>33</v>
      </c>
      <c r="F25" s="51" t="s">
        <v>287</v>
      </c>
      <c r="G25" s="52">
        <v>1</v>
      </c>
      <c r="H25" s="51"/>
      <c r="I25" s="51"/>
      <c r="J25" s="99"/>
      <c r="K25" s="78">
        <f>0.7*2307*(3.2808^2)</f>
        <v>17382.216188736002</v>
      </c>
      <c r="L25" s="58" t="s">
        <v>72</v>
      </c>
      <c r="M25" s="56" t="s">
        <v>398</v>
      </c>
      <c r="N25" s="100">
        <v>1</v>
      </c>
      <c r="O25" s="100" t="s">
        <v>73</v>
      </c>
      <c r="P25" s="101">
        <v>1</v>
      </c>
      <c r="Q25" s="59">
        <v>2025</v>
      </c>
      <c r="R25" s="79" t="s">
        <v>71</v>
      </c>
      <c r="S25" s="102" t="s">
        <v>308</v>
      </c>
      <c r="T25" s="60"/>
      <c r="U25" s="80"/>
      <c r="V25" s="61"/>
      <c r="W25" s="103" t="s">
        <v>39</v>
      </c>
      <c r="X25" s="104">
        <f t="shared" si="14"/>
        <v>0</v>
      </c>
      <c r="Y25" s="104">
        <f t="shared" si="19"/>
        <v>0</v>
      </c>
      <c r="Z25" s="103" t="s">
        <v>40</v>
      </c>
      <c r="AA25" s="105">
        <f t="shared" si="20"/>
        <v>15643.994569862401</v>
      </c>
      <c r="AB25" s="105">
        <f t="shared" si="21"/>
        <v>22596.881045356804</v>
      </c>
      <c r="AC25" s="103" t="s">
        <v>40</v>
      </c>
      <c r="AD25" s="105">
        <v>0.1</v>
      </c>
      <c r="AE25" s="105" t="s">
        <v>42</v>
      </c>
      <c r="AF25" s="105" t="s">
        <v>43</v>
      </c>
      <c r="AG25" s="103" t="s">
        <v>44</v>
      </c>
    </row>
    <row r="26" spans="1:33" ht="15" x14ac:dyDescent="0.2">
      <c r="A26" s="65">
        <v>214.4</v>
      </c>
      <c r="B26" s="50">
        <f t="shared" ref="B26:B31" si="22">IF(ISNUMBER(A26),
    IF(AND(A26=INT(A26), MOD(A26, 10) = 0), 0,
        IF(AND(A26=INT(A26), LEN(A26)=2), 1,
            IF(AND(A26=INT(A26), LEN(A26)=3), 2,
                LEN(A26) - FIND(".", A26) + 2)
        )
    ),
"")</f>
        <v>3</v>
      </c>
      <c r="C26" s="56" t="s">
        <v>399</v>
      </c>
      <c r="D26" s="51" t="str">
        <f t="shared" si="18"/>
        <v xml:space="preserve">                  Radioactive Waste Processing Building</v>
      </c>
      <c r="E26" s="51"/>
      <c r="F26" s="51"/>
      <c r="G26" s="52"/>
      <c r="H26" s="51"/>
      <c r="I26" s="51"/>
      <c r="J26" s="99"/>
      <c r="K26" s="78"/>
      <c r="L26" s="79"/>
      <c r="M26" s="82"/>
      <c r="N26" s="79"/>
      <c r="O26" s="79"/>
      <c r="P26" s="81"/>
      <c r="Q26" s="81"/>
      <c r="R26" s="79"/>
      <c r="S26" s="82"/>
      <c r="T26" s="60"/>
      <c r="U26" s="80"/>
      <c r="V26" s="61"/>
      <c r="W26" s="54"/>
      <c r="X26" s="62"/>
      <c r="Y26" s="62"/>
      <c r="Z26" s="54"/>
      <c r="AA26" s="55"/>
      <c r="AB26" s="55"/>
      <c r="AC26" s="54"/>
      <c r="AD26" s="55"/>
      <c r="AE26" s="55"/>
      <c r="AF26" s="55"/>
      <c r="AG26" s="54"/>
    </row>
    <row r="27" spans="1:33" ht="57" x14ac:dyDescent="0.2">
      <c r="A27" s="65">
        <v>214.41</v>
      </c>
      <c r="B27" s="50">
        <f t="shared" si="22"/>
        <v>4</v>
      </c>
      <c r="C27" s="56" t="s">
        <v>400</v>
      </c>
      <c r="D27" s="51" t="str">
        <f t="shared" si="18"/>
        <v xml:space="preserve">                        Radioactive Waste Processing Building Structure</v>
      </c>
      <c r="E27" s="109" t="s">
        <v>33</v>
      </c>
      <c r="F27" s="109" t="s">
        <v>287</v>
      </c>
      <c r="G27" s="111">
        <v>1</v>
      </c>
      <c r="H27" s="109"/>
      <c r="I27" s="109"/>
      <c r="J27" s="78"/>
      <c r="K27" s="112">
        <f>4354*(3.2808^2)</f>
        <v>46864.926178560003</v>
      </c>
      <c r="L27" s="100" t="s">
        <v>72</v>
      </c>
      <c r="M27" s="113" t="s">
        <v>401</v>
      </c>
      <c r="N27" s="100">
        <v>1</v>
      </c>
      <c r="O27" s="100" t="s">
        <v>73</v>
      </c>
      <c r="P27" s="101">
        <v>1</v>
      </c>
      <c r="Q27" s="59">
        <v>2025</v>
      </c>
      <c r="R27" s="79" t="s">
        <v>71</v>
      </c>
      <c r="S27" s="102" t="s">
        <v>394</v>
      </c>
      <c r="T27" s="60"/>
      <c r="U27" s="80"/>
      <c r="V27" s="61"/>
      <c r="W27" s="103" t="s">
        <v>39</v>
      </c>
      <c r="X27" s="104">
        <f t="shared" si="14"/>
        <v>0</v>
      </c>
      <c r="Y27" s="104">
        <f t="shared" ref="Y27:Y29" si="23">1.5*J27</f>
        <v>0</v>
      </c>
      <c r="Z27" s="103" t="s">
        <v>40</v>
      </c>
      <c r="AA27" s="105">
        <f t="shared" ref="AA27:AA29" si="24">0.9*K27</f>
        <v>42178.433560704005</v>
      </c>
      <c r="AB27" s="105">
        <f t="shared" ref="AB27:AB29" si="25">1.3*K27</f>
        <v>60924.404032128004</v>
      </c>
      <c r="AC27" s="103" t="s">
        <v>40</v>
      </c>
      <c r="AD27" s="105">
        <v>0.1</v>
      </c>
      <c r="AE27" s="105" t="s">
        <v>42</v>
      </c>
      <c r="AF27" s="105" t="s">
        <v>43</v>
      </c>
      <c r="AG27" s="103" t="s">
        <v>44</v>
      </c>
    </row>
    <row r="28" spans="1:33" ht="71" x14ac:dyDescent="0.2">
      <c r="A28" s="65">
        <v>214.6</v>
      </c>
      <c r="B28" s="50">
        <f t="shared" si="22"/>
        <v>3</v>
      </c>
      <c r="C28" s="56" t="s">
        <v>402</v>
      </c>
      <c r="D28" s="51" t="str">
        <f t="shared" si="18"/>
        <v xml:space="preserve">                  Used Fuel Storage Pads</v>
      </c>
      <c r="E28" s="51" t="s">
        <v>33</v>
      </c>
      <c r="F28" s="51"/>
      <c r="G28" s="52"/>
      <c r="H28" s="51"/>
      <c r="I28" s="51"/>
      <c r="J28" s="99"/>
      <c r="K28" s="78">
        <f>493700000/(40000*1000)</f>
        <v>12.342499999999999</v>
      </c>
      <c r="L28" s="58" t="s">
        <v>80</v>
      </c>
      <c r="M28" s="113" t="s">
        <v>403</v>
      </c>
      <c r="N28" s="79">
        <v>1</v>
      </c>
      <c r="O28" s="58" t="s">
        <v>81</v>
      </c>
      <c r="P28" s="81">
        <v>1</v>
      </c>
      <c r="Q28" s="59">
        <v>2009</v>
      </c>
      <c r="R28" s="58" t="s">
        <v>71</v>
      </c>
      <c r="S28" s="60" t="s">
        <v>404</v>
      </c>
      <c r="T28" s="60"/>
      <c r="U28" s="98" t="s">
        <v>405</v>
      </c>
      <c r="V28" s="61"/>
      <c r="W28" s="103" t="s">
        <v>39</v>
      </c>
      <c r="X28" s="104">
        <f t="shared" si="14"/>
        <v>0</v>
      </c>
      <c r="Y28" s="104">
        <f t="shared" si="23"/>
        <v>0</v>
      </c>
      <c r="Z28" s="103" t="s">
        <v>40</v>
      </c>
      <c r="AA28" s="105">
        <f t="shared" si="24"/>
        <v>11.10825</v>
      </c>
      <c r="AB28" s="105">
        <f t="shared" si="25"/>
        <v>16.045249999999999</v>
      </c>
      <c r="AC28" s="103" t="s">
        <v>40</v>
      </c>
      <c r="AD28" s="105">
        <v>0.1</v>
      </c>
      <c r="AE28" s="105" t="s">
        <v>42</v>
      </c>
      <c r="AF28" s="105" t="s">
        <v>43</v>
      </c>
      <c r="AG28" s="103" t="s">
        <v>44</v>
      </c>
    </row>
    <row r="29" spans="1:33" ht="57" x14ac:dyDescent="0.2">
      <c r="A29" s="65">
        <v>214.7</v>
      </c>
      <c r="B29" s="50">
        <f t="shared" si="22"/>
        <v>3</v>
      </c>
      <c r="C29" s="56" t="s">
        <v>406</v>
      </c>
      <c r="D29" s="51" t="str">
        <f t="shared" si="18"/>
        <v xml:space="preserve">                  Rad Waste Storage Warehouses</v>
      </c>
      <c r="E29" s="51" t="s">
        <v>33</v>
      </c>
      <c r="F29" s="51"/>
      <c r="G29" s="52"/>
      <c r="H29" s="51"/>
      <c r="I29" s="51"/>
      <c r="J29" s="99"/>
      <c r="K29" s="78">
        <f>1171*(3.2808^2)</f>
        <v>12604.232557440002</v>
      </c>
      <c r="L29" s="58" t="s">
        <v>72</v>
      </c>
      <c r="M29" s="113" t="s">
        <v>407</v>
      </c>
      <c r="N29" s="79">
        <v>1</v>
      </c>
      <c r="O29" s="58" t="s">
        <v>73</v>
      </c>
      <c r="P29" s="81">
        <v>1</v>
      </c>
      <c r="Q29" s="59">
        <v>2025</v>
      </c>
      <c r="R29" s="58" t="s">
        <v>71</v>
      </c>
      <c r="S29" s="102" t="s">
        <v>394</v>
      </c>
      <c r="T29" s="60"/>
      <c r="U29" s="80"/>
      <c r="V29" s="61"/>
      <c r="W29" s="103" t="s">
        <v>39</v>
      </c>
      <c r="X29" s="104">
        <f t="shared" si="14"/>
        <v>0</v>
      </c>
      <c r="Y29" s="104">
        <f t="shared" si="23"/>
        <v>0</v>
      </c>
      <c r="Z29" s="103" t="s">
        <v>40</v>
      </c>
      <c r="AA29" s="105">
        <f t="shared" si="24"/>
        <v>11343.809301696003</v>
      </c>
      <c r="AB29" s="105">
        <f t="shared" si="25"/>
        <v>16385.502324672005</v>
      </c>
      <c r="AC29" s="103" t="s">
        <v>40</v>
      </c>
      <c r="AD29" s="105">
        <v>0.1</v>
      </c>
      <c r="AE29" s="105" t="s">
        <v>42</v>
      </c>
      <c r="AF29" s="105" t="s">
        <v>43</v>
      </c>
      <c r="AG29" s="103" t="s">
        <v>44</v>
      </c>
    </row>
    <row r="30" spans="1:33" ht="15" x14ac:dyDescent="0.2">
      <c r="A30" s="65">
        <v>215</v>
      </c>
      <c r="B30" s="50">
        <f t="shared" si="22"/>
        <v>2</v>
      </c>
      <c r="C30" s="56" t="s">
        <v>408</v>
      </c>
      <c r="D30" s="51" t="str">
        <f t="shared" si="18"/>
        <v xml:space="preserve">            Air Tranport Hangar</v>
      </c>
      <c r="E30" s="51"/>
      <c r="F30" s="51"/>
      <c r="G30" s="52"/>
      <c r="H30" s="51"/>
      <c r="I30" s="51"/>
      <c r="J30" s="99"/>
      <c r="K30" s="78"/>
      <c r="L30" s="58"/>
      <c r="M30" s="113"/>
      <c r="N30" s="79"/>
      <c r="O30" s="58"/>
      <c r="P30" s="81"/>
      <c r="Q30" s="59"/>
      <c r="R30" s="58"/>
      <c r="S30" s="102"/>
      <c r="T30" s="60"/>
      <c r="U30" s="80"/>
      <c r="V30" s="61"/>
      <c r="W30" s="103"/>
      <c r="X30" s="104"/>
      <c r="Y30" s="104"/>
      <c r="Z30" s="103"/>
      <c r="AA30" s="105"/>
      <c r="AB30" s="105"/>
      <c r="AC30" s="103"/>
      <c r="AD30" s="105"/>
      <c r="AE30" s="105"/>
      <c r="AF30" s="105"/>
      <c r="AG30" s="103"/>
    </row>
    <row r="31" spans="1:33" ht="15" x14ac:dyDescent="0.2">
      <c r="A31" s="65">
        <v>215.1</v>
      </c>
      <c r="B31" s="50">
        <f t="shared" si="22"/>
        <v>3</v>
      </c>
      <c r="C31" s="56" t="s">
        <v>409</v>
      </c>
      <c r="D31" s="51" t="str">
        <f t="shared" si="18"/>
        <v xml:space="preserve">                  Air Transport Hangar</v>
      </c>
      <c r="E31" s="51" t="s">
        <v>33</v>
      </c>
      <c r="F31" s="51"/>
      <c r="G31" s="52"/>
      <c r="H31" s="51"/>
      <c r="I31" s="51"/>
      <c r="J31" s="154">
        <v>10000000</v>
      </c>
      <c r="K31" s="78"/>
      <c r="L31" s="58"/>
      <c r="M31" s="113"/>
      <c r="N31" s="79"/>
      <c r="O31" s="58"/>
      <c r="P31" s="81"/>
      <c r="Q31" s="59">
        <v>2024</v>
      </c>
      <c r="R31" s="58" t="s">
        <v>76</v>
      </c>
      <c r="S31" s="102" t="s">
        <v>410</v>
      </c>
      <c r="T31" s="60"/>
      <c r="U31" s="80"/>
      <c r="V31" s="61"/>
      <c r="W31" s="103" t="s">
        <v>39</v>
      </c>
      <c r="X31" s="104">
        <f t="shared" si="14"/>
        <v>0</v>
      </c>
      <c r="Y31" s="104">
        <f t="shared" ref="Y31" si="26">1.5*J31</f>
        <v>15000000</v>
      </c>
      <c r="Z31" s="103" t="s">
        <v>40</v>
      </c>
      <c r="AA31" s="105">
        <f t="shared" ref="AA31" si="27">0.9*K31</f>
        <v>0</v>
      </c>
      <c r="AB31" s="105">
        <f t="shared" ref="AB31" si="28">1.3*K31</f>
        <v>0</v>
      </c>
      <c r="AC31" s="103" t="s">
        <v>40</v>
      </c>
      <c r="AD31" s="105">
        <v>0.1</v>
      </c>
      <c r="AE31" s="105" t="s">
        <v>42</v>
      </c>
      <c r="AF31" s="105" t="s">
        <v>43</v>
      </c>
      <c r="AG31" s="103" t="s">
        <v>44</v>
      </c>
    </row>
    <row r="32" spans="1:33" ht="15" x14ac:dyDescent="0.2">
      <c r="A32" s="48">
        <v>22</v>
      </c>
      <c r="B32" s="50">
        <f t="shared" si="0"/>
        <v>1</v>
      </c>
      <c r="C32" s="67" t="s">
        <v>309</v>
      </c>
      <c r="D32" s="51" t="str">
        <f t="shared" si="1"/>
        <v xml:space="preserve">      Main Facilities Estimated As Wholes</v>
      </c>
      <c r="E32" s="51"/>
      <c r="F32" s="51"/>
      <c r="G32" s="52"/>
      <c r="H32" s="51"/>
      <c r="I32" s="51"/>
      <c r="J32" s="78"/>
      <c r="K32" s="78"/>
      <c r="L32" s="79"/>
      <c r="M32" s="51"/>
      <c r="N32" s="61"/>
      <c r="O32" s="61"/>
      <c r="P32" s="59"/>
      <c r="Q32" s="59"/>
      <c r="R32" s="61"/>
      <c r="S32" s="68"/>
      <c r="T32" s="61"/>
      <c r="U32" s="61"/>
      <c r="V32" s="61"/>
      <c r="W32" s="54"/>
      <c r="X32" s="62"/>
      <c r="Y32" s="62"/>
      <c r="Z32" s="54"/>
      <c r="AA32" s="55"/>
      <c r="AB32" s="55"/>
      <c r="AC32" s="54"/>
      <c r="AD32" s="55"/>
      <c r="AE32" s="55"/>
      <c r="AF32" s="55"/>
      <c r="AG32" s="54"/>
    </row>
    <row r="33" spans="1:33" ht="57" x14ac:dyDescent="0.2">
      <c r="A33" s="106">
        <v>221</v>
      </c>
      <c r="B33" s="107">
        <v>2</v>
      </c>
      <c r="C33" s="108" t="s">
        <v>411</v>
      </c>
      <c r="D33" s="109" t="str">
        <f>REPT("   ", B33*2) &amp; C33</f>
        <v xml:space="preserve">            Reactor Cask Management Yard and Inspection Shop</v>
      </c>
      <c r="E33" s="109" t="s">
        <v>33</v>
      </c>
      <c r="F33" s="109"/>
      <c r="G33" s="111"/>
      <c r="H33" s="109"/>
      <c r="I33" s="109"/>
      <c r="J33" s="78"/>
      <c r="K33" s="112">
        <f>0.7*17946522/N33</f>
        <v>41875.217999999993</v>
      </c>
      <c r="L33" s="100"/>
      <c r="M33" s="113" t="s">
        <v>412</v>
      </c>
      <c r="N33" s="100">
        <v>300</v>
      </c>
      <c r="O33" s="100" t="s">
        <v>312</v>
      </c>
      <c r="P33" s="153">
        <v>0.25047999999999998</v>
      </c>
      <c r="Q33" s="59">
        <v>2025</v>
      </c>
      <c r="R33" s="79" t="s">
        <v>71</v>
      </c>
      <c r="S33" s="102" t="s">
        <v>331</v>
      </c>
      <c r="T33" s="60"/>
      <c r="U33" s="80"/>
      <c r="V33" s="61"/>
      <c r="W33" s="103" t="s">
        <v>39</v>
      </c>
      <c r="X33" s="104">
        <f>0.9*$I33</f>
        <v>0</v>
      </c>
      <c r="Y33" s="104">
        <f>1.5*J33</f>
        <v>0</v>
      </c>
      <c r="Z33" s="103" t="s">
        <v>40</v>
      </c>
      <c r="AA33" s="105">
        <f>0.9*K33</f>
        <v>37687.696199999998</v>
      </c>
      <c r="AB33" s="105">
        <f>1.3*K33</f>
        <v>54437.783399999993</v>
      </c>
      <c r="AC33" s="103" t="s">
        <v>40</v>
      </c>
      <c r="AD33" s="105" t="s">
        <v>41</v>
      </c>
      <c r="AE33" s="105" t="s">
        <v>42</v>
      </c>
      <c r="AF33" s="105" t="s">
        <v>43</v>
      </c>
      <c r="AG33" s="103" t="s">
        <v>44</v>
      </c>
    </row>
    <row r="34" spans="1:33" ht="57" x14ac:dyDescent="0.2">
      <c r="A34" s="106">
        <v>222</v>
      </c>
      <c r="B34" s="107">
        <f>IF(ISNUMBER(A34),
    IF(AND(A34=INT(A34), MOD(A34, 10) = 0), 0,
        IF(AND(A34=INT(A34), LEN(A34)=2), 1,
            IF(AND(A34=INT(A34), LEN(A34)=3), 2,
                LEN(A34) - FIND(".", A34) + 2)
        )
    ),
"")</f>
        <v>2</v>
      </c>
      <c r="C34" s="108" t="s">
        <v>413</v>
      </c>
      <c r="D34" s="109" t="str">
        <f>REPT("   ", B34*2) &amp; C34</f>
        <v xml:space="preserve">            Vehicle Depot and Mechanic Shop</v>
      </c>
      <c r="E34" s="109" t="s">
        <v>33</v>
      </c>
      <c r="F34" s="109"/>
      <c r="G34" s="111"/>
      <c r="H34" s="109"/>
      <c r="I34" s="109"/>
      <c r="J34" s="78"/>
      <c r="K34" s="112">
        <f>0.7*58097655/N34</f>
        <v>135561.19500000001</v>
      </c>
      <c r="L34" s="100"/>
      <c r="M34" s="113" t="s">
        <v>412</v>
      </c>
      <c r="N34" s="100">
        <v>300</v>
      </c>
      <c r="O34" s="100" t="s">
        <v>73</v>
      </c>
      <c r="P34" s="114">
        <v>0.26666499999999999</v>
      </c>
      <c r="Q34" s="59">
        <v>2025</v>
      </c>
      <c r="R34" s="79" t="s">
        <v>71</v>
      </c>
      <c r="S34" s="102" t="s">
        <v>331</v>
      </c>
      <c r="T34" s="60"/>
      <c r="U34" s="80"/>
      <c r="V34" s="61"/>
      <c r="W34" s="103" t="s">
        <v>39</v>
      </c>
      <c r="X34" s="104">
        <f>0.9*$I34</f>
        <v>0</v>
      </c>
      <c r="Y34" s="104">
        <f>1.5*J34</f>
        <v>0</v>
      </c>
      <c r="Z34" s="103" t="s">
        <v>40</v>
      </c>
      <c r="AA34" s="105">
        <f>0.9*K34</f>
        <v>122005.07550000001</v>
      </c>
      <c r="AB34" s="105">
        <f>1.3*K34</f>
        <v>176229.55350000001</v>
      </c>
      <c r="AC34" s="103" t="s">
        <v>40</v>
      </c>
      <c r="AD34" s="105" t="s">
        <v>41</v>
      </c>
      <c r="AE34" s="105" t="s">
        <v>42</v>
      </c>
      <c r="AF34" s="105" t="s">
        <v>43</v>
      </c>
      <c r="AG34" s="103" t="s">
        <v>44</v>
      </c>
    </row>
    <row r="35" spans="1:33" ht="43" x14ac:dyDescent="0.2">
      <c r="A35" s="106">
        <v>224</v>
      </c>
      <c r="B35" s="107">
        <f>IF(ISNUMBER(A35),
    IF(AND(A35=INT(A35), MOD(A35, 10) = 0), 0,
        IF(AND(A35=INT(A35), LEN(A35)=2), 1,
            IF(AND(A35=INT(A35), LEN(A35)=3), 2,
                LEN(A35) - FIND(".", A35) + 2)
        )
    ),
"")</f>
        <v>2</v>
      </c>
      <c r="C35" s="108" t="s">
        <v>414</v>
      </c>
      <c r="D35" s="109" t="str">
        <f>REPT("   ", B35*2) &amp; C35</f>
        <v xml:space="preserve">            Parts Service Center and Warehouse</v>
      </c>
      <c r="E35" s="109" t="s">
        <v>33</v>
      </c>
      <c r="F35" s="109"/>
      <c r="G35" s="111"/>
      <c r="H35" s="109"/>
      <c r="I35" s="109"/>
      <c r="J35" s="120"/>
      <c r="K35" s="112">
        <v>3842.71</v>
      </c>
      <c r="L35" s="121" t="s">
        <v>72</v>
      </c>
      <c r="M35" s="113" t="s">
        <v>415</v>
      </c>
      <c r="N35" s="100">
        <v>1</v>
      </c>
      <c r="O35" s="100" t="s">
        <v>73</v>
      </c>
      <c r="P35" s="101">
        <v>1</v>
      </c>
      <c r="Q35" s="59">
        <v>2025</v>
      </c>
      <c r="R35" s="79" t="s">
        <v>71</v>
      </c>
      <c r="S35" s="102"/>
      <c r="T35" s="60"/>
      <c r="U35" s="80"/>
      <c r="V35" s="61"/>
      <c r="W35" s="103" t="s">
        <v>39</v>
      </c>
      <c r="X35" s="104">
        <f t="shared" ref="X35:X36" si="29">0.9*$I35</f>
        <v>0</v>
      </c>
      <c r="Y35" s="104">
        <f t="shared" ref="Y35:Y36" si="30">1.5*J35</f>
        <v>0</v>
      </c>
      <c r="Z35" s="103" t="s">
        <v>40</v>
      </c>
      <c r="AA35" s="105">
        <f t="shared" ref="AA35:AA36" si="31">0.9*K35</f>
        <v>3458.4390000000003</v>
      </c>
      <c r="AB35" s="105">
        <f t="shared" ref="AB35:AB36" si="32">1.3*K35</f>
        <v>4995.5230000000001</v>
      </c>
      <c r="AC35" s="103" t="s">
        <v>40</v>
      </c>
      <c r="AD35" s="105" t="s">
        <v>41</v>
      </c>
      <c r="AE35" s="105" t="s">
        <v>42</v>
      </c>
      <c r="AF35" s="105" t="s">
        <v>43</v>
      </c>
      <c r="AG35" s="103" t="s">
        <v>44</v>
      </c>
    </row>
    <row r="36" spans="1:33" ht="57" x14ac:dyDescent="0.2">
      <c r="A36" s="106">
        <v>225</v>
      </c>
      <c r="B36" s="107">
        <f t="shared" ref="B36" si="33">IF(ISNUMBER(A36),
    IF(AND(A36=INT(A36), MOD(A36, 10) = 0), 0,
        IF(AND(A36=INT(A36), LEN(A36)=2), 1,
            IF(AND(A36=INT(A36), LEN(A36)=3), 2,
                LEN(A36) - FIND(".", A36) + 2)
        )
    ),
"")</f>
        <v>2</v>
      </c>
      <c r="C36" s="108" t="s">
        <v>317</v>
      </c>
      <c r="D36" s="109" t="str">
        <f t="shared" ref="D36" si="34">REPT("   ", B36*2) &amp; C36</f>
        <v xml:space="preserve">            Administrative Building</v>
      </c>
      <c r="E36" s="109" t="s">
        <v>33</v>
      </c>
      <c r="F36" s="109"/>
      <c r="G36" s="111"/>
      <c r="H36" s="109"/>
      <c r="I36" s="109"/>
      <c r="J36" s="78"/>
      <c r="K36" s="112">
        <f>0.7*1968*(3.2808^2)</f>
        <v>14828.002366464001</v>
      </c>
      <c r="L36" s="100" t="s">
        <v>72</v>
      </c>
      <c r="M36" s="113" t="s">
        <v>416</v>
      </c>
      <c r="N36" s="100">
        <v>1</v>
      </c>
      <c r="O36" s="100" t="s">
        <v>73</v>
      </c>
      <c r="P36" s="101">
        <v>1</v>
      </c>
      <c r="Q36" s="59">
        <v>2025</v>
      </c>
      <c r="R36" s="79" t="s">
        <v>71</v>
      </c>
      <c r="S36" s="102" t="s">
        <v>308</v>
      </c>
      <c r="T36" s="60"/>
      <c r="U36" s="80"/>
      <c r="V36" s="61"/>
      <c r="W36" s="103" t="s">
        <v>39</v>
      </c>
      <c r="X36" s="104">
        <f t="shared" si="29"/>
        <v>0</v>
      </c>
      <c r="Y36" s="104">
        <f t="shared" si="30"/>
        <v>0</v>
      </c>
      <c r="Z36" s="103" t="s">
        <v>40</v>
      </c>
      <c r="AA36" s="105">
        <f t="shared" si="31"/>
        <v>13345.202129817601</v>
      </c>
      <c r="AB36" s="105">
        <f t="shared" si="32"/>
        <v>19276.403076403203</v>
      </c>
      <c r="AC36" s="103" t="s">
        <v>40</v>
      </c>
      <c r="AD36" s="105" t="s">
        <v>41</v>
      </c>
      <c r="AE36" s="105" t="s">
        <v>42</v>
      </c>
      <c r="AF36" s="105" t="s">
        <v>43</v>
      </c>
      <c r="AG36" s="103" t="s">
        <v>44</v>
      </c>
    </row>
    <row r="37" spans="1:33" ht="15" x14ac:dyDescent="0.2">
      <c r="A37" s="106">
        <v>23</v>
      </c>
      <c r="B37" s="107">
        <f t="shared" si="0"/>
        <v>1</v>
      </c>
      <c r="C37" s="122" t="s">
        <v>76</v>
      </c>
      <c r="D37" s="109" t="str">
        <f t="shared" si="1"/>
        <v xml:space="preserve">      Equipment</v>
      </c>
      <c r="E37" s="109"/>
      <c r="F37" s="109"/>
      <c r="G37" s="111"/>
      <c r="H37" s="109"/>
      <c r="I37" s="121"/>
      <c r="J37" s="112"/>
      <c r="K37" s="123"/>
      <c r="L37" s="103"/>
      <c r="M37" s="124"/>
      <c r="N37" s="103"/>
      <c r="O37" s="103"/>
      <c r="P37" s="105"/>
      <c r="Q37" s="105"/>
      <c r="R37" s="103"/>
      <c r="S37" s="124"/>
      <c r="T37" s="103"/>
      <c r="U37" s="103"/>
      <c r="V37" s="103"/>
      <c r="W37" s="103"/>
      <c r="X37" s="104"/>
      <c r="Y37" s="104"/>
      <c r="Z37" s="103"/>
      <c r="AA37" s="105"/>
      <c r="AB37" s="105"/>
      <c r="AC37" s="103"/>
      <c r="AD37" s="105"/>
      <c r="AE37" s="105"/>
      <c r="AF37" s="105"/>
      <c r="AG37" s="103"/>
    </row>
    <row r="38" spans="1:33" ht="29" x14ac:dyDescent="0.2">
      <c r="A38" s="65">
        <v>23.1</v>
      </c>
      <c r="B38" s="50">
        <v>2</v>
      </c>
      <c r="C38" s="56" t="s">
        <v>417</v>
      </c>
      <c r="D38" s="51" t="str">
        <f>REPT("   ", B38*2) &amp; C38</f>
        <v xml:space="preserve">            Servicing Hot Cell</v>
      </c>
      <c r="E38" s="51" t="s">
        <v>33</v>
      </c>
      <c r="F38" s="51" t="s">
        <v>418</v>
      </c>
      <c r="G38" s="52">
        <v>1</v>
      </c>
      <c r="H38" s="51"/>
      <c r="I38" s="51"/>
      <c r="J38" s="78">
        <v>1000000000</v>
      </c>
      <c r="K38" s="78"/>
      <c r="L38" s="79"/>
      <c r="M38" s="82"/>
      <c r="N38" s="79"/>
      <c r="O38" s="79"/>
      <c r="P38" s="81"/>
      <c r="Q38" s="59">
        <v>2024</v>
      </c>
      <c r="R38" s="79" t="s">
        <v>71</v>
      </c>
      <c r="S38" s="82" t="s">
        <v>339</v>
      </c>
      <c r="T38" s="60"/>
      <c r="U38" s="80"/>
      <c r="V38" s="61"/>
      <c r="W38" s="54" t="s">
        <v>39</v>
      </c>
      <c r="X38" s="62">
        <f>0.8*$I38</f>
        <v>0</v>
      </c>
      <c r="Y38" s="62">
        <f>2*J38</f>
        <v>2000000000</v>
      </c>
      <c r="Z38" s="54" t="s">
        <v>40</v>
      </c>
      <c r="AA38" s="55">
        <f>0.8*K38</f>
        <v>0</v>
      </c>
      <c r="AB38" s="55">
        <f>2*K38</f>
        <v>0</v>
      </c>
      <c r="AC38" s="54" t="s">
        <v>40</v>
      </c>
      <c r="AD38" s="55" t="s">
        <v>41</v>
      </c>
      <c r="AE38" s="55" t="s">
        <v>42</v>
      </c>
      <c r="AF38" s="55" t="s">
        <v>43</v>
      </c>
      <c r="AG38" s="54" t="s">
        <v>44</v>
      </c>
    </row>
    <row r="39" spans="1:33" ht="71" x14ac:dyDescent="0.2">
      <c r="A39" s="106">
        <v>23.2</v>
      </c>
      <c r="B39" s="155">
        <v>2</v>
      </c>
      <c r="C39" s="108" t="s">
        <v>419</v>
      </c>
      <c r="D39" s="109" t="str">
        <f t="shared" ref="D39" si="35">REPT("   ", B39*2) &amp; C39</f>
        <v xml:space="preserve">            Helium Purification Equipment</v>
      </c>
      <c r="E39" s="109" t="s">
        <v>33</v>
      </c>
      <c r="F39" s="109" t="s">
        <v>287</v>
      </c>
      <c r="G39" s="111">
        <v>1</v>
      </c>
      <c r="H39" s="109"/>
      <c r="I39" s="109"/>
      <c r="J39" s="112"/>
      <c r="K39" s="112">
        <f>((4700000+6000000)/2)/N39</f>
        <v>96300000</v>
      </c>
      <c r="L39" s="100"/>
      <c r="M39" s="113" t="s">
        <v>420</v>
      </c>
      <c r="N39" s="156">
        <f>200/3600</f>
        <v>5.5555555555555552E-2</v>
      </c>
      <c r="O39" s="100" t="s">
        <v>103</v>
      </c>
      <c r="P39" s="157">
        <v>0.6</v>
      </c>
      <c r="Q39" s="59">
        <v>2024</v>
      </c>
      <c r="R39" s="100" t="s">
        <v>71</v>
      </c>
      <c r="S39" s="102" t="s">
        <v>421</v>
      </c>
      <c r="T39" s="128" t="s">
        <v>422</v>
      </c>
      <c r="U39" s="129" t="s">
        <v>100</v>
      </c>
      <c r="V39" s="103"/>
      <c r="W39" s="103" t="s">
        <v>39</v>
      </c>
      <c r="X39" s="104">
        <f>0.9*$I39</f>
        <v>0</v>
      </c>
      <c r="Y39" s="104">
        <f t="shared" ref="Y39" si="36">1.5*J39</f>
        <v>0</v>
      </c>
      <c r="Z39" s="103" t="s">
        <v>40</v>
      </c>
      <c r="AA39" s="105">
        <f t="shared" ref="AA39" si="37">0.9*K39</f>
        <v>86670000</v>
      </c>
      <c r="AB39" s="105">
        <f t="shared" ref="AB39" si="38">1.3*K39</f>
        <v>125190000</v>
      </c>
      <c r="AC39" s="103" t="s">
        <v>40</v>
      </c>
      <c r="AD39" s="105" t="s">
        <v>41</v>
      </c>
      <c r="AE39" s="105" t="s">
        <v>42</v>
      </c>
      <c r="AF39" s="105" t="s">
        <v>43</v>
      </c>
      <c r="AG39" s="103" t="s">
        <v>44</v>
      </c>
    </row>
    <row r="40" spans="1:33" ht="43" x14ac:dyDescent="0.2">
      <c r="A40" s="65">
        <v>23.4</v>
      </c>
      <c r="B40" s="50">
        <v>2</v>
      </c>
      <c r="C40" s="56" t="s">
        <v>423</v>
      </c>
      <c r="D40" s="51" t="str">
        <f>REPT("   ", B40*2) &amp; C40</f>
        <v xml:space="preserve">            Radioactive Waste Processing Hot Cell</v>
      </c>
      <c r="E40" s="51" t="s">
        <v>33</v>
      </c>
      <c r="F40" s="51" t="s">
        <v>424</v>
      </c>
      <c r="G40" s="52">
        <v>1</v>
      </c>
      <c r="H40" s="51"/>
      <c r="I40" s="51"/>
      <c r="J40" s="78">
        <v>1000000000</v>
      </c>
      <c r="K40" s="78"/>
      <c r="L40" s="58"/>
      <c r="M40" s="56"/>
      <c r="N40" s="79"/>
      <c r="O40" s="58"/>
      <c r="P40" s="81"/>
      <c r="Q40" s="59">
        <v>2024</v>
      </c>
      <c r="R40" s="58" t="s">
        <v>76</v>
      </c>
      <c r="S40" s="60" t="s">
        <v>339</v>
      </c>
      <c r="T40" s="60"/>
      <c r="U40" s="80"/>
      <c r="V40" s="61" t="s">
        <v>425</v>
      </c>
      <c r="W40" s="54" t="s">
        <v>39</v>
      </c>
      <c r="X40" s="62">
        <f>0.8*$I40</f>
        <v>0</v>
      </c>
      <c r="Y40" s="62">
        <f>2*J40</f>
        <v>2000000000</v>
      </c>
      <c r="Z40" s="54" t="s">
        <v>40</v>
      </c>
      <c r="AA40" s="55">
        <f>0.8*K40</f>
        <v>0</v>
      </c>
      <c r="AB40" s="55">
        <f>2*K40</f>
        <v>0</v>
      </c>
      <c r="AC40" s="54" t="s">
        <v>40</v>
      </c>
      <c r="AD40" s="55" t="s">
        <v>41</v>
      </c>
      <c r="AE40" s="55" t="s">
        <v>42</v>
      </c>
      <c r="AF40" s="55" t="s">
        <v>43</v>
      </c>
      <c r="AG40" s="54" t="s">
        <v>44</v>
      </c>
    </row>
    <row r="41" spans="1:33" ht="43" x14ac:dyDescent="0.2">
      <c r="A41" s="65">
        <v>23.5</v>
      </c>
      <c r="B41" s="50">
        <v>2</v>
      </c>
      <c r="C41" s="56" t="s">
        <v>319</v>
      </c>
      <c r="D41" s="51" t="str">
        <f>REPT("   ", B41*2) &amp; C41</f>
        <v xml:space="preserve">            Local Integrated Control Rooms</v>
      </c>
      <c r="E41" s="51" t="s">
        <v>33</v>
      </c>
      <c r="F41" s="51" t="s">
        <v>418</v>
      </c>
      <c r="G41" s="52">
        <v>1</v>
      </c>
      <c r="H41" s="51"/>
      <c r="I41" s="51"/>
      <c r="J41" s="78">
        <f>21555270/2</f>
        <v>10777635</v>
      </c>
      <c r="K41" s="78"/>
      <c r="L41" s="58"/>
      <c r="M41" s="56"/>
      <c r="N41" s="79"/>
      <c r="O41" s="58"/>
      <c r="P41" s="81"/>
      <c r="Q41" s="59">
        <v>1987</v>
      </c>
      <c r="R41" s="58" t="s">
        <v>71</v>
      </c>
      <c r="S41" s="60" t="s">
        <v>426</v>
      </c>
      <c r="T41" s="60" t="s">
        <v>427</v>
      </c>
      <c r="U41" s="98" t="s">
        <v>428</v>
      </c>
      <c r="V41" s="61"/>
      <c r="W41" s="103" t="s">
        <v>39</v>
      </c>
      <c r="X41" s="104">
        <f t="shared" ref="X41:X43" si="39">0.9*$I41</f>
        <v>0</v>
      </c>
      <c r="Y41" s="104">
        <f t="shared" ref="Y41:Y43" si="40">1.5*J41</f>
        <v>16166452.5</v>
      </c>
      <c r="Z41" s="103" t="s">
        <v>40</v>
      </c>
      <c r="AA41" s="105">
        <f t="shared" ref="AA41:AA43" si="41">0.9*K41</f>
        <v>0</v>
      </c>
      <c r="AB41" s="105">
        <f t="shared" ref="AB41:AB43" si="42">1.3*K41</f>
        <v>0</v>
      </c>
      <c r="AC41" s="103" t="s">
        <v>40</v>
      </c>
      <c r="AD41" s="105" t="s">
        <v>41</v>
      </c>
      <c r="AE41" s="105" t="s">
        <v>42</v>
      </c>
      <c r="AF41" s="105" t="s">
        <v>43</v>
      </c>
      <c r="AG41" s="103" t="s">
        <v>44</v>
      </c>
    </row>
    <row r="42" spans="1:33" ht="43" x14ac:dyDescent="0.2">
      <c r="A42" s="65">
        <v>23.6</v>
      </c>
      <c r="B42" s="50">
        <v>2</v>
      </c>
      <c r="C42" s="56" t="s">
        <v>429</v>
      </c>
      <c r="D42" s="51" t="str">
        <f>REPT("   ", B42*2) &amp; C42</f>
        <v xml:space="preserve">            Remote Control Rooms</v>
      </c>
      <c r="E42" s="51" t="s">
        <v>33</v>
      </c>
      <c r="F42" s="51" t="s">
        <v>287</v>
      </c>
      <c r="G42" s="52">
        <v>1</v>
      </c>
      <c r="H42" s="51"/>
      <c r="I42" s="51"/>
      <c r="J42" s="78"/>
      <c r="K42" s="78">
        <v>100000</v>
      </c>
      <c r="L42" s="58"/>
      <c r="M42" s="51" t="s">
        <v>430</v>
      </c>
      <c r="N42" s="79"/>
      <c r="O42" s="58"/>
      <c r="P42" s="81"/>
      <c r="Q42" s="59">
        <v>2024</v>
      </c>
      <c r="R42" s="58" t="s">
        <v>71</v>
      </c>
      <c r="S42" s="60" t="s">
        <v>431</v>
      </c>
      <c r="T42" s="60"/>
      <c r="U42" s="80"/>
      <c r="V42" s="61"/>
      <c r="W42" s="103" t="s">
        <v>39</v>
      </c>
      <c r="X42" s="104">
        <f t="shared" si="39"/>
        <v>0</v>
      </c>
      <c r="Y42" s="104">
        <f t="shared" si="40"/>
        <v>0</v>
      </c>
      <c r="Z42" s="103" t="s">
        <v>40</v>
      </c>
      <c r="AA42" s="105">
        <f t="shared" si="41"/>
        <v>90000</v>
      </c>
      <c r="AB42" s="105">
        <f t="shared" si="42"/>
        <v>130000</v>
      </c>
      <c r="AC42" s="103" t="s">
        <v>40</v>
      </c>
      <c r="AD42" s="105" t="s">
        <v>41</v>
      </c>
      <c r="AE42" s="105" t="s">
        <v>42</v>
      </c>
      <c r="AF42" s="105" t="s">
        <v>43</v>
      </c>
      <c r="AG42" s="103" t="s">
        <v>44</v>
      </c>
    </row>
    <row r="43" spans="1:33" ht="29" x14ac:dyDescent="0.2">
      <c r="A43" s="65">
        <v>23.8</v>
      </c>
      <c r="B43" s="50">
        <v>2</v>
      </c>
      <c r="C43" s="56" t="s">
        <v>432</v>
      </c>
      <c r="D43" s="51" t="str">
        <f>REPT("   ", B43*2) &amp; C43</f>
        <v xml:space="preserve">            Reactor Transport Casks</v>
      </c>
      <c r="E43" s="51" t="s">
        <v>33</v>
      </c>
      <c r="F43" s="51" t="s">
        <v>287</v>
      </c>
      <c r="G43" s="52">
        <v>1</v>
      </c>
      <c r="H43" s="51"/>
      <c r="I43" s="51"/>
      <c r="J43" s="154">
        <v>10000000</v>
      </c>
      <c r="K43" s="78"/>
      <c r="L43" s="58"/>
      <c r="M43" s="51" t="s">
        <v>433</v>
      </c>
      <c r="N43" s="79"/>
      <c r="O43" s="58"/>
      <c r="P43" s="81"/>
      <c r="Q43" s="59">
        <v>2024</v>
      </c>
      <c r="R43" s="58" t="s">
        <v>71</v>
      </c>
      <c r="S43" s="60" t="s">
        <v>339</v>
      </c>
      <c r="T43" s="60"/>
      <c r="U43" s="80"/>
      <c r="V43" s="61"/>
      <c r="W43" s="103" t="s">
        <v>39</v>
      </c>
      <c r="X43" s="104">
        <f t="shared" si="39"/>
        <v>0</v>
      </c>
      <c r="Y43" s="104">
        <f t="shared" si="40"/>
        <v>15000000</v>
      </c>
      <c r="Z43" s="103" t="s">
        <v>40</v>
      </c>
      <c r="AA43" s="105">
        <f t="shared" si="41"/>
        <v>0</v>
      </c>
      <c r="AB43" s="105">
        <f t="shared" si="42"/>
        <v>0</v>
      </c>
      <c r="AC43" s="103" t="s">
        <v>40</v>
      </c>
      <c r="AD43" s="105" t="s">
        <v>41</v>
      </c>
      <c r="AE43" s="105" t="s">
        <v>42</v>
      </c>
      <c r="AF43" s="105" t="s">
        <v>43</v>
      </c>
      <c r="AG43" s="103" t="s">
        <v>44</v>
      </c>
    </row>
    <row r="44" spans="1:33" ht="15" x14ac:dyDescent="0.2">
      <c r="A44" s="48">
        <v>28</v>
      </c>
      <c r="B44" s="50">
        <f t="shared" ref="B44:B99" si="43">IF(ISNUMBER(A44),
    IF(AND(A44=INT(A44), MOD(A44, 10) = 0), 0,
        IF(AND(A44=INT(A44), LEN(A44)=2), 1,
            IF(AND(A44=INT(A44), LEN(A44)=3), 2,
                LEN(A44) - FIND(".", A44) + 2)
        )
    ),
"")</f>
        <v>1</v>
      </c>
      <c r="C44" s="126" t="s">
        <v>321</v>
      </c>
      <c r="D44" s="51" t="str">
        <f t="shared" ref="D44:D99" si="44">REPT("   ", B44*2) &amp; C44</f>
        <v xml:space="preserve">      Auxiliary Infrastructure Equipment</v>
      </c>
      <c r="E44" s="51"/>
      <c r="F44" s="51"/>
      <c r="G44" s="52"/>
      <c r="H44" s="51"/>
      <c r="I44" s="51"/>
      <c r="J44" s="127"/>
      <c r="K44" s="57"/>
      <c r="L44" s="61"/>
      <c r="M44" s="58"/>
      <c r="N44" s="61"/>
      <c r="O44" s="61"/>
      <c r="P44" s="59"/>
      <c r="Q44" s="59"/>
      <c r="R44" s="61"/>
      <c r="S44" s="68"/>
      <c r="T44" s="68"/>
      <c r="U44" s="61"/>
      <c r="V44" s="61"/>
      <c r="W44" s="54"/>
      <c r="X44" s="62"/>
      <c r="Y44" s="62"/>
      <c r="Z44" s="54"/>
      <c r="AA44" s="55"/>
      <c r="AB44" s="55"/>
      <c r="AC44" s="54"/>
      <c r="AD44" s="55"/>
      <c r="AE44" s="55"/>
      <c r="AF44" s="55"/>
      <c r="AG44" s="54"/>
    </row>
    <row r="45" spans="1:33" ht="71" x14ac:dyDescent="0.2">
      <c r="A45" s="106">
        <v>281</v>
      </c>
      <c r="B45" s="107">
        <f>IF(ISNUMBER(A45),
    IF(AND(A45=INT(A45), MOD(A45, 10) = 0), 0,
        IF(AND(A45=INT(A45), LEN(A45)=2), 1,
            IF(AND(A45=INT(A45), LEN(A45)=3), 2,
                LEN(A45) - FIND(".", A45) + 2)
        )
    ),
"")</f>
        <v>2</v>
      </c>
      <c r="C45" s="108" t="s">
        <v>322</v>
      </c>
      <c r="D45" s="109" t="str">
        <f>REPT("   ", B45*2) &amp; C45</f>
        <v xml:space="preserve">            Emergency Power</v>
      </c>
      <c r="E45" s="109" t="s">
        <v>33</v>
      </c>
      <c r="F45" s="109"/>
      <c r="G45" s="111"/>
      <c r="H45" s="109"/>
      <c r="I45" s="109"/>
      <c r="J45" s="78"/>
      <c r="K45" s="112">
        <f>(1450000*5+1500000)/2.5</f>
        <v>3500000</v>
      </c>
      <c r="L45" s="100" t="s">
        <v>46</v>
      </c>
      <c r="M45" s="113" t="s">
        <v>434</v>
      </c>
      <c r="N45" s="100">
        <v>1</v>
      </c>
      <c r="O45" s="100" t="s">
        <v>47</v>
      </c>
      <c r="P45" s="101">
        <v>1</v>
      </c>
      <c r="Q45" s="59">
        <v>2025</v>
      </c>
      <c r="R45" s="79" t="s">
        <v>76</v>
      </c>
      <c r="S45" s="128" t="s">
        <v>324</v>
      </c>
      <c r="T45" s="128"/>
      <c r="U45" s="129"/>
      <c r="V45" s="103"/>
      <c r="W45" s="103" t="s">
        <v>39</v>
      </c>
      <c r="X45" s="104">
        <f>0.9*$I45</f>
        <v>0</v>
      </c>
      <c r="Y45" s="104">
        <f t="shared" ref="Y45:Y48" si="45">1.5*J45</f>
        <v>0</v>
      </c>
      <c r="Z45" s="103" t="s">
        <v>40</v>
      </c>
      <c r="AA45" s="105">
        <f t="shared" ref="AA45:AA48" si="46">0.9*K45</f>
        <v>3150000</v>
      </c>
      <c r="AB45" s="105">
        <f t="shared" ref="AB45:AB48" si="47">1.3*K45</f>
        <v>4550000</v>
      </c>
      <c r="AC45" s="103" t="s">
        <v>40</v>
      </c>
      <c r="AD45" s="105" t="s">
        <v>41</v>
      </c>
      <c r="AE45" s="105" t="s">
        <v>42</v>
      </c>
      <c r="AF45" s="105" t="s">
        <v>43</v>
      </c>
      <c r="AG45" s="103" t="s">
        <v>44</v>
      </c>
    </row>
    <row r="46" spans="1:33" ht="57" x14ac:dyDescent="0.2">
      <c r="A46" s="106">
        <v>282</v>
      </c>
      <c r="B46" s="107">
        <f>IF(ISNUMBER(A46),
    IF(AND(A46=INT(A46), MOD(A46, 10) = 0), 0,
        IF(AND(A46=INT(A46), LEN(A46)=2), 1,
            IF(AND(A46=INT(A46), LEN(A46)=3), 2,
                LEN(A46) - FIND(".", A46) + 2)
        )
    ),
"")</f>
        <v>2</v>
      </c>
      <c r="C46" s="108" t="s">
        <v>435</v>
      </c>
      <c r="D46" s="109" t="str">
        <f>REPT("   ", B46*2) &amp; C46</f>
        <v xml:space="preserve">            Service Air Water Building</v>
      </c>
      <c r="E46" s="109" t="s">
        <v>33</v>
      </c>
      <c r="F46" s="109" t="s">
        <v>436</v>
      </c>
      <c r="G46" s="111">
        <v>1</v>
      </c>
      <c r="H46" s="109"/>
      <c r="I46" s="109"/>
      <c r="J46" s="78">
        <v>15090300</v>
      </c>
      <c r="K46" s="112"/>
      <c r="L46" s="100"/>
      <c r="M46" s="113"/>
      <c r="N46" s="100"/>
      <c r="O46" s="100"/>
      <c r="P46" s="101"/>
      <c r="Q46" s="59">
        <v>2025</v>
      </c>
      <c r="R46" s="79" t="s">
        <v>71</v>
      </c>
      <c r="S46" s="102" t="s">
        <v>394</v>
      </c>
      <c r="T46" s="60"/>
      <c r="U46" s="80"/>
      <c r="V46" s="61"/>
      <c r="W46" s="103" t="s">
        <v>39</v>
      </c>
      <c r="X46" s="104">
        <f>0.9*$I46</f>
        <v>0</v>
      </c>
      <c r="Y46" s="104">
        <f t="shared" si="45"/>
        <v>22635450</v>
      </c>
      <c r="Z46" s="103" t="s">
        <v>40</v>
      </c>
      <c r="AA46" s="105">
        <f t="shared" si="46"/>
        <v>0</v>
      </c>
      <c r="AB46" s="105">
        <f t="shared" si="47"/>
        <v>0</v>
      </c>
      <c r="AC46" s="103" t="s">
        <v>40</v>
      </c>
      <c r="AD46" s="105" t="s">
        <v>41</v>
      </c>
      <c r="AE46" s="105" t="s">
        <v>42</v>
      </c>
      <c r="AF46" s="105" t="s">
        <v>43</v>
      </c>
      <c r="AG46" s="103" t="s">
        <v>44</v>
      </c>
    </row>
    <row r="47" spans="1:33" ht="57" x14ac:dyDescent="0.2">
      <c r="A47" s="106">
        <v>283</v>
      </c>
      <c r="B47" s="107">
        <f t="shared" ref="B47:B48" si="48">IF(ISNUMBER(A47),
    IF(AND(A47=INT(A47), MOD(A47, 10) = 0), 0,
        IF(AND(A47=INT(A47), LEN(A47)=2), 1,
            IF(AND(A47=INT(A47), LEN(A47)=3), 2,
                LEN(A47) - FIND(".", A47) + 2)
        )
    ),
"")</f>
        <v>2</v>
      </c>
      <c r="C47" s="108" t="s">
        <v>325</v>
      </c>
      <c r="D47" s="109" t="str">
        <f t="shared" ref="D47:D48" si="49">REPT("   ", B47*2) &amp; C47</f>
        <v xml:space="preserve">            Fire Station</v>
      </c>
      <c r="E47" s="109" t="s">
        <v>33</v>
      </c>
      <c r="F47" s="109" t="s">
        <v>437</v>
      </c>
      <c r="G47" s="111">
        <v>1</v>
      </c>
      <c r="H47" s="109"/>
      <c r="I47" s="109"/>
      <c r="J47" s="78">
        <f>0.7*20776500</f>
        <v>14543550</v>
      </c>
      <c r="K47" s="112"/>
      <c r="L47" s="100"/>
      <c r="M47" s="113"/>
      <c r="N47" s="100"/>
      <c r="O47" s="100"/>
      <c r="P47" s="101"/>
      <c r="Q47" s="59">
        <v>2025</v>
      </c>
      <c r="R47" s="79" t="s">
        <v>71</v>
      </c>
      <c r="S47" s="102" t="s">
        <v>308</v>
      </c>
      <c r="T47" s="60"/>
      <c r="U47" s="80"/>
      <c r="V47" s="61"/>
      <c r="W47" s="103" t="s">
        <v>39</v>
      </c>
      <c r="X47" s="104">
        <f>0.9*$I47</f>
        <v>0</v>
      </c>
      <c r="Y47" s="104">
        <f>1.5*J47</f>
        <v>21815325</v>
      </c>
      <c r="Z47" s="103" t="s">
        <v>40</v>
      </c>
      <c r="AA47" s="105">
        <f>0.9*K47</f>
        <v>0</v>
      </c>
      <c r="AB47" s="105">
        <f>1.3*K47</f>
        <v>0</v>
      </c>
      <c r="AC47" s="103" t="s">
        <v>40</v>
      </c>
      <c r="AD47" s="105" t="s">
        <v>41</v>
      </c>
      <c r="AE47" s="105" t="s">
        <v>42</v>
      </c>
      <c r="AF47" s="105" t="s">
        <v>43</v>
      </c>
      <c r="AG47" s="103" t="s">
        <v>44</v>
      </c>
    </row>
    <row r="48" spans="1:33" ht="57" x14ac:dyDescent="0.2">
      <c r="A48" s="106">
        <v>284</v>
      </c>
      <c r="B48" s="107">
        <f t="shared" si="48"/>
        <v>2</v>
      </c>
      <c r="C48" s="108" t="s">
        <v>327</v>
      </c>
      <c r="D48" s="109" t="str">
        <f t="shared" si="49"/>
        <v xml:space="preserve">            Security Building</v>
      </c>
      <c r="E48" s="109" t="s">
        <v>33</v>
      </c>
      <c r="F48" s="109"/>
      <c r="G48" s="111"/>
      <c r="H48" s="109"/>
      <c r="I48" s="109"/>
      <c r="J48" s="78"/>
      <c r="K48" s="112">
        <f>0.7*2548*(3.2808^2)</f>
        <v>19198.043714304</v>
      </c>
      <c r="L48" s="100" t="s">
        <v>72</v>
      </c>
      <c r="M48" s="113" t="s">
        <v>438</v>
      </c>
      <c r="N48" s="100">
        <v>1</v>
      </c>
      <c r="O48" s="100" t="s">
        <v>73</v>
      </c>
      <c r="P48" s="101">
        <v>1</v>
      </c>
      <c r="Q48" s="59">
        <v>2025</v>
      </c>
      <c r="R48" s="79" t="s">
        <v>71</v>
      </c>
      <c r="S48" s="102" t="s">
        <v>308</v>
      </c>
      <c r="T48" s="60"/>
      <c r="U48" s="80"/>
      <c r="V48" s="61"/>
      <c r="W48" s="103" t="s">
        <v>39</v>
      </c>
      <c r="X48" s="104">
        <f>0.9*$I48</f>
        <v>0</v>
      </c>
      <c r="Y48" s="104">
        <f t="shared" si="45"/>
        <v>0</v>
      </c>
      <c r="Z48" s="103" t="s">
        <v>40</v>
      </c>
      <c r="AA48" s="105">
        <f t="shared" si="46"/>
        <v>17278.2393428736</v>
      </c>
      <c r="AB48" s="105">
        <f t="shared" si="47"/>
        <v>24957.456828595201</v>
      </c>
      <c r="AC48" s="103" t="s">
        <v>40</v>
      </c>
      <c r="AD48" s="105" t="s">
        <v>41</v>
      </c>
      <c r="AE48" s="105" t="s">
        <v>42</v>
      </c>
      <c r="AF48" s="105" t="s">
        <v>43</v>
      </c>
      <c r="AG48" s="103" t="s">
        <v>44</v>
      </c>
    </row>
    <row r="49" spans="1:33" ht="57" x14ac:dyDescent="0.2">
      <c r="A49" s="106">
        <v>285</v>
      </c>
      <c r="B49" s="107">
        <f>IF(ISNUMBER(A49),
    IF(AND(A49=INT(A49), MOD(A49, 10) = 0), 0,
        IF(AND(A49=INT(A49), LEN(A49)=2), 1,
            IF(AND(A49=INT(A49), LEN(A49)=3), 2,
                LEN(A49) - FIND(".", A49) + 2)
        )
    ),
"")</f>
        <v>2</v>
      </c>
      <c r="C49" s="108" t="s">
        <v>329</v>
      </c>
      <c r="D49" s="109" t="str">
        <f>REPT("   ", B49*2) &amp; C49</f>
        <v xml:space="preserve">            Switchyard</v>
      </c>
      <c r="E49" s="109" t="s">
        <v>33</v>
      </c>
      <c r="F49" s="109"/>
      <c r="G49" s="111"/>
      <c r="H49" s="109"/>
      <c r="I49" s="109"/>
      <c r="J49" s="78"/>
      <c r="K49" s="112">
        <f>0.7*221450153/N49</f>
        <v>516717.02366666665</v>
      </c>
      <c r="L49" s="100" t="s">
        <v>46</v>
      </c>
      <c r="M49" s="113" t="s">
        <v>380</v>
      </c>
      <c r="N49" s="100">
        <v>300</v>
      </c>
      <c r="O49" s="100" t="s">
        <v>47</v>
      </c>
      <c r="P49" s="114">
        <v>0.99680000000000002</v>
      </c>
      <c r="Q49" s="59">
        <v>2025</v>
      </c>
      <c r="R49" s="79" t="s">
        <v>71</v>
      </c>
      <c r="S49" s="102" t="s">
        <v>331</v>
      </c>
      <c r="T49" s="60"/>
      <c r="U49" s="80"/>
      <c r="V49" s="61"/>
      <c r="W49" s="103" t="s">
        <v>39</v>
      </c>
      <c r="X49" s="104">
        <f>0.9*$I49</f>
        <v>0</v>
      </c>
      <c r="Y49" s="104">
        <f>1.5*J49</f>
        <v>0</v>
      </c>
      <c r="Z49" s="103" t="s">
        <v>40</v>
      </c>
      <c r="AA49" s="105">
        <f>0.9*K49</f>
        <v>465045.32130000001</v>
      </c>
      <c r="AB49" s="105">
        <f>1.3*K49</f>
        <v>671732.13076666661</v>
      </c>
      <c r="AC49" s="103" t="s">
        <v>40</v>
      </c>
      <c r="AD49" s="105" t="s">
        <v>41</v>
      </c>
      <c r="AE49" s="105" t="s">
        <v>42</v>
      </c>
      <c r="AF49" s="105" t="s">
        <v>43</v>
      </c>
      <c r="AG49" s="103" t="s">
        <v>44</v>
      </c>
    </row>
    <row r="50" spans="1:33" ht="15" x14ac:dyDescent="0.2">
      <c r="A50" s="48">
        <v>286</v>
      </c>
      <c r="B50" s="50">
        <f t="shared" si="43"/>
        <v>2</v>
      </c>
      <c r="C50" s="126" t="s">
        <v>332</v>
      </c>
      <c r="D50" s="51" t="str">
        <f t="shared" si="44"/>
        <v xml:space="preserve">            Onsite Transport Equipment</v>
      </c>
      <c r="E50" s="51"/>
      <c r="F50" s="51"/>
      <c r="G50" s="52"/>
      <c r="H50" s="51"/>
      <c r="I50" s="51"/>
      <c r="J50" s="127"/>
      <c r="K50" s="57"/>
      <c r="L50" s="61"/>
      <c r="M50" s="58"/>
      <c r="N50" s="61"/>
      <c r="O50" s="61"/>
      <c r="P50" s="59"/>
      <c r="Q50" s="59"/>
      <c r="R50" s="61"/>
      <c r="S50" s="68"/>
      <c r="T50" s="68"/>
      <c r="U50" s="61"/>
      <c r="V50" s="61"/>
      <c r="W50" s="54"/>
      <c r="X50" s="62"/>
      <c r="Y50" s="62"/>
      <c r="Z50" s="54"/>
      <c r="AA50" s="55"/>
      <c r="AB50" s="55"/>
      <c r="AC50" s="54"/>
      <c r="AD50" s="55"/>
      <c r="AE50" s="55"/>
      <c r="AF50" s="55"/>
      <c r="AG50" s="54"/>
    </row>
    <row r="51" spans="1:33" ht="43" x14ac:dyDescent="0.2">
      <c r="A51" s="48">
        <v>286.10000000000002</v>
      </c>
      <c r="B51" s="50">
        <f t="shared" si="43"/>
        <v>3</v>
      </c>
      <c r="C51" s="126" t="s">
        <v>333</v>
      </c>
      <c r="D51" s="51" t="str">
        <f t="shared" si="44"/>
        <v xml:space="preserve">                  Local Reactor Transport Vehicles</v>
      </c>
      <c r="E51" s="51" t="s">
        <v>33</v>
      </c>
      <c r="F51" s="51" t="s">
        <v>439</v>
      </c>
      <c r="G51" s="52">
        <v>1</v>
      </c>
      <c r="H51" s="51"/>
      <c r="I51" s="51"/>
      <c r="J51" s="127">
        <v>938000</v>
      </c>
      <c r="K51" s="57"/>
      <c r="L51" s="61"/>
      <c r="M51" s="58"/>
      <c r="N51" s="61"/>
      <c r="O51" s="61"/>
      <c r="P51" s="59"/>
      <c r="Q51" s="59">
        <v>2023</v>
      </c>
      <c r="R51" s="61" t="s">
        <v>76</v>
      </c>
      <c r="S51" s="68" t="s">
        <v>335</v>
      </c>
      <c r="T51" s="68" t="s">
        <v>336</v>
      </c>
      <c r="U51" s="61"/>
      <c r="V51" s="61"/>
      <c r="W51" s="54" t="s">
        <v>39</v>
      </c>
      <c r="X51" s="62">
        <f t="shared" ref="X51:X57" si="50">0.9*$J51</f>
        <v>844200</v>
      </c>
      <c r="Y51" s="62">
        <f t="shared" ref="Y51:Y52" si="51">1.5*J51</f>
        <v>1407000</v>
      </c>
      <c r="Z51" s="54" t="s">
        <v>40</v>
      </c>
      <c r="AA51" s="55">
        <f t="shared" ref="AA51:AA52" si="52">0.9*K51</f>
        <v>0</v>
      </c>
      <c r="AB51" s="55">
        <f t="shared" ref="AB51:AB52" si="53">1.3*K51</f>
        <v>0</v>
      </c>
      <c r="AC51" s="54" t="s">
        <v>40</v>
      </c>
      <c r="AD51" s="55" t="s">
        <v>41</v>
      </c>
      <c r="AE51" s="55" t="s">
        <v>42</v>
      </c>
      <c r="AF51" s="55" t="s">
        <v>43</v>
      </c>
      <c r="AG51" s="54" t="s">
        <v>44</v>
      </c>
    </row>
    <row r="52" spans="1:33" ht="29" x14ac:dyDescent="0.2">
      <c r="A52" s="48">
        <v>286.2</v>
      </c>
      <c r="B52" s="50">
        <f t="shared" si="43"/>
        <v>3</v>
      </c>
      <c r="C52" s="126" t="s">
        <v>337</v>
      </c>
      <c r="D52" s="51" t="str">
        <f t="shared" si="44"/>
        <v xml:space="preserve">                  Utility Vehicles</v>
      </c>
      <c r="E52" s="51" t="s">
        <v>33</v>
      </c>
      <c r="F52" s="51" t="s">
        <v>440</v>
      </c>
      <c r="G52" s="52">
        <v>1</v>
      </c>
      <c r="H52" s="51"/>
      <c r="I52" s="51"/>
      <c r="J52" s="127">
        <v>50000</v>
      </c>
      <c r="K52" s="57"/>
      <c r="L52" s="61"/>
      <c r="M52" s="58"/>
      <c r="N52" s="61"/>
      <c r="O52" s="61"/>
      <c r="P52" s="59"/>
      <c r="Q52" s="59">
        <v>2024</v>
      </c>
      <c r="R52" s="61" t="s">
        <v>76</v>
      </c>
      <c r="S52" s="68" t="s">
        <v>339</v>
      </c>
      <c r="T52" s="68"/>
      <c r="U52" s="61"/>
      <c r="V52" s="61"/>
      <c r="W52" s="54" t="s">
        <v>39</v>
      </c>
      <c r="X52" s="62">
        <f t="shared" si="50"/>
        <v>45000</v>
      </c>
      <c r="Y52" s="62">
        <f t="shared" si="51"/>
        <v>75000</v>
      </c>
      <c r="Z52" s="54" t="s">
        <v>40</v>
      </c>
      <c r="AA52" s="55">
        <f t="shared" si="52"/>
        <v>0</v>
      </c>
      <c r="AB52" s="55">
        <f t="shared" si="53"/>
        <v>0</v>
      </c>
      <c r="AC52" s="54" t="s">
        <v>40</v>
      </c>
      <c r="AD52" s="55" t="s">
        <v>41</v>
      </c>
      <c r="AE52" s="55" t="s">
        <v>42</v>
      </c>
      <c r="AF52" s="55" t="s">
        <v>43</v>
      </c>
      <c r="AG52" s="54" t="s">
        <v>44</v>
      </c>
    </row>
    <row r="53" spans="1:33" ht="15" x14ac:dyDescent="0.2">
      <c r="A53" s="48">
        <v>287</v>
      </c>
      <c r="B53" s="50">
        <f t="shared" si="43"/>
        <v>2</v>
      </c>
      <c r="C53" s="126" t="s">
        <v>441</v>
      </c>
      <c r="D53" s="51" t="str">
        <f t="shared" si="44"/>
        <v xml:space="preserve">            Offsite Transport Equipment</v>
      </c>
      <c r="E53" s="51"/>
      <c r="F53" s="51"/>
      <c r="G53" s="52"/>
      <c r="H53" s="51"/>
      <c r="I53" s="51"/>
      <c r="J53" s="127"/>
      <c r="K53" s="57"/>
      <c r="L53" s="61"/>
      <c r="M53" s="58"/>
      <c r="N53" s="61"/>
      <c r="O53" s="61"/>
      <c r="P53" s="59"/>
      <c r="Q53" s="59"/>
      <c r="R53" s="61"/>
      <c r="S53" s="68"/>
      <c r="T53" s="68"/>
      <c r="U53" s="158"/>
      <c r="V53" s="61"/>
      <c r="W53" s="54"/>
      <c r="X53" s="62"/>
      <c r="Y53" s="62"/>
      <c r="Z53" s="54"/>
      <c r="AA53" s="55"/>
      <c r="AB53" s="55"/>
      <c r="AC53" s="54"/>
      <c r="AD53" s="55"/>
      <c r="AE53" s="55"/>
      <c r="AF53" s="55"/>
      <c r="AG53" s="54"/>
    </row>
    <row r="54" spans="1:33" ht="29" x14ac:dyDescent="0.2">
      <c r="A54" s="48">
        <v>287.10000000000002</v>
      </c>
      <c r="B54" s="50">
        <f t="shared" si="43"/>
        <v>3</v>
      </c>
      <c r="C54" s="126" t="s">
        <v>442</v>
      </c>
      <c r="D54" s="51" t="str">
        <f t="shared" si="44"/>
        <v xml:space="preserve">                  Reactor Transport Vehicles</v>
      </c>
      <c r="E54" s="51" t="s">
        <v>33</v>
      </c>
      <c r="F54" s="51" t="s">
        <v>443</v>
      </c>
      <c r="G54" s="52">
        <v>1</v>
      </c>
      <c r="H54" s="51"/>
      <c r="I54" s="51"/>
      <c r="J54" s="127">
        <v>1000000</v>
      </c>
      <c r="K54" s="57"/>
      <c r="L54" s="61"/>
      <c r="M54" s="58"/>
      <c r="N54" s="61"/>
      <c r="O54" s="61"/>
      <c r="P54" s="59"/>
      <c r="Q54" s="59">
        <v>2024</v>
      </c>
      <c r="R54" s="61" t="s">
        <v>76</v>
      </c>
      <c r="S54" s="68" t="s">
        <v>339</v>
      </c>
      <c r="T54" s="68"/>
      <c r="U54" s="158"/>
      <c r="V54" s="61"/>
      <c r="W54" s="54" t="s">
        <v>39</v>
      </c>
      <c r="X54" s="62">
        <f t="shared" si="50"/>
        <v>900000</v>
      </c>
      <c r="Y54" s="62">
        <f t="shared" ref="Y54:Y57" si="54">1.5*J54</f>
        <v>1500000</v>
      </c>
      <c r="Z54" s="54" t="s">
        <v>40</v>
      </c>
      <c r="AA54" s="55">
        <f t="shared" ref="AA54:AA57" si="55">0.9*K54</f>
        <v>0</v>
      </c>
      <c r="AB54" s="55">
        <f t="shared" ref="AB54:AB57" si="56">1.3*K54</f>
        <v>0</v>
      </c>
      <c r="AC54" s="54" t="s">
        <v>40</v>
      </c>
      <c r="AD54" s="55" t="s">
        <v>41</v>
      </c>
      <c r="AE54" s="55" t="s">
        <v>42</v>
      </c>
      <c r="AF54" s="55" t="s">
        <v>43</v>
      </c>
      <c r="AG54" s="54" t="s">
        <v>44</v>
      </c>
    </row>
    <row r="55" spans="1:33" ht="29" x14ac:dyDescent="0.2">
      <c r="A55" s="48">
        <v>287.2</v>
      </c>
      <c r="B55" s="50">
        <f t="shared" si="43"/>
        <v>3</v>
      </c>
      <c r="C55" s="126" t="s">
        <v>444</v>
      </c>
      <c r="D55" s="51" t="str">
        <f t="shared" si="44"/>
        <v xml:space="preserve">                  Helium Transport Trucks</v>
      </c>
      <c r="E55" s="51" t="s">
        <v>33</v>
      </c>
      <c r="F55" s="51" t="s">
        <v>445</v>
      </c>
      <c r="G55" s="52">
        <v>1</v>
      </c>
      <c r="H55" s="51"/>
      <c r="I55" s="51"/>
      <c r="J55" s="127">
        <v>500000</v>
      </c>
      <c r="K55" s="57"/>
      <c r="L55" s="61"/>
      <c r="M55" s="58"/>
      <c r="N55" s="61"/>
      <c r="O55" s="61"/>
      <c r="P55" s="59"/>
      <c r="Q55" s="59">
        <v>2024</v>
      </c>
      <c r="R55" s="61" t="s">
        <v>76</v>
      </c>
      <c r="S55" s="68" t="s">
        <v>339</v>
      </c>
      <c r="T55" s="68"/>
      <c r="U55" s="158"/>
      <c r="V55" s="61"/>
      <c r="W55" s="54" t="s">
        <v>39</v>
      </c>
      <c r="X55" s="62">
        <f t="shared" si="50"/>
        <v>450000</v>
      </c>
      <c r="Y55" s="62">
        <f t="shared" si="54"/>
        <v>750000</v>
      </c>
      <c r="Z55" s="54" t="s">
        <v>40</v>
      </c>
      <c r="AA55" s="55">
        <f t="shared" si="55"/>
        <v>0</v>
      </c>
      <c r="AB55" s="55">
        <f t="shared" si="56"/>
        <v>0</v>
      </c>
      <c r="AC55" s="54" t="s">
        <v>40</v>
      </c>
      <c r="AD55" s="55" t="s">
        <v>41</v>
      </c>
      <c r="AE55" s="55" t="s">
        <v>42</v>
      </c>
      <c r="AF55" s="55" t="s">
        <v>43</v>
      </c>
      <c r="AG55" s="54" t="s">
        <v>44</v>
      </c>
    </row>
    <row r="56" spans="1:33" ht="29" x14ac:dyDescent="0.2">
      <c r="A56" s="48">
        <v>287.3</v>
      </c>
      <c r="B56" s="50">
        <f t="shared" si="43"/>
        <v>3</v>
      </c>
      <c r="C56" s="126" t="s">
        <v>446</v>
      </c>
      <c r="D56" s="51" t="str">
        <f t="shared" si="44"/>
        <v xml:space="preserve">                  Water Tanker Trucks</v>
      </c>
      <c r="E56" s="51" t="s">
        <v>33</v>
      </c>
      <c r="F56" s="51" t="s">
        <v>447</v>
      </c>
      <c r="G56" s="52">
        <v>1</v>
      </c>
      <c r="H56" s="51"/>
      <c r="I56" s="51"/>
      <c r="J56" s="127">
        <v>300000</v>
      </c>
      <c r="K56" s="57"/>
      <c r="L56" s="61"/>
      <c r="M56" s="58"/>
      <c r="N56" s="61"/>
      <c r="O56" s="61"/>
      <c r="P56" s="59"/>
      <c r="Q56" s="59">
        <v>2024</v>
      </c>
      <c r="R56" s="61" t="s">
        <v>76</v>
      </c>
      <c r="S56" s="68" t="s">
        <v>339</v>
      </c>
      <c r="T56" s="68"/>
      <c r="U56" s="158"/>
      <c r="V56" s="61"/>
      <c r="W56" s="54" t="s">
        <v>39</v>
      </c>
      <c r="X56" s="62">
        <f t="shared" si="50"/>
        <v>270000</v>
      </c>
      <c r="Y56" s="62">
        <f t="shared" si="54"/>
        <v>450000</v>
      </c>
      <c r="Z56" s="54" t="s">
        <v>40</v>
      </c>
      <c r="AA56" s="55">
        <f t="shared" si="55"/>
        <v>0</v>
      </c>
      <c r="AB56" s="55">
        <f t="shared" si="56"/>
        <v>0</v>
      </c>
      <c r="AC56" s="54" t="s">
        <v>40</v>
      </c>
      <c r="AD56" s="55" t="s">
        <v>41</v>
      </c>
      <c r="AE56" s="55" t="s">
        <v>42</v>
      </c>
      <c r="AF56" s="55" t="s">
        <v>43</v>
      </c>
      <c r="AG56" s="54" t="s">
        <v>44</v>
      </c>
    </row>
    <row r="57" spans="1:33" ht="29" x14ac:dyDescent="0.2">
      <c r="A57" s="48">
        <v>287.39999999999998</v>
      </c>
      <c r="B57" s="50">
        <f t="shared" si="43"/>
        <v>3</v>
      </c>
      <c r="C57" s="126" t="s">
        <v>448</v>
      </c>
      <c r="D57" s="51" t="str">
        <f t="shared" si="44"/>
        <v xml:space="preserve">                  Maintenance Trucks</v>
      </c>
      <c r="E57" s="51" t="s">
        <v>33</v>
      </c>
      <c r="F57" s="51" t="s">
        <v>449</v>
      </c>
      <c r="G57" s="52">
        <v>1</v>
      </c>
      <c r="H57" s="51"/>
      <c r="I57" s="51"/>
      <c r="J57" s="127">
        <v>500000</v>
      </c>
      <c r="K57" s="57"/>
      <c r="L57" s="61"/>
      <c r="M57" s="58"/>
      <c r="N57" s="61"/>
      <c r="O57" s="61"/>
      <c r="P57" s="59"/>
      <c r="Q57" s="59">
        <v>2024</v>
      </c>
      <c r="R57" s="61" t="s">
        <v>76</v>
      </c>
      <c r="S57" s="68" t="s">
        <v>339</v>
      </c>
      <c r="T57" s="68"/>
      <c r="U57" s="158"/>
      <c r="V57" s="61"/>
      <c r="W57" s="54" t="s">
        <v>39</v>
      </c>
      <c r="X57" s="62">
        <f t="shared" si="50"/>
        <v>450000</v>
      </c>
      <c r="Y57" s="62">
        <f t="shared" si="54"/>
        <v>750000</v>
      </c>
      <c r="Z57" s="54" t="s">
        <v>40</v>
      </c>
      <c r="AA57" s="55">
        <f t="shared" si="55"/>
        <v>0</v>
      </c>
      <c r="AB57" s="55">
        <f t="shared" si="56"/>
        <v>0</v>
      </c>
      <c r="AC57" s="54" t="s">
        <v>40</v>
      </c>
      <c r="AD57" s="55" t="s">
        <v>41</v>
      </c>
      <c r="AE57" s="55" t="s">
        <v>42</v>
      </c>
      <c r="AF57" s="55" t="s">
        <v>43</v>
      </c>
      <c r="AG57" s="54" t="s">
        <v>44</v>
      </c>
    </row>
    <row r="58" spans="1:33" ht="15" x14ac:dyDescent="0.2">
      <c r="A58" s="48">
        <v>287.5</v>
      </c>
      <c r="B58" s="50">
        <f t="shared" si="43"/>
        <v>3</v>
      </c>
      <c r="C58" s="126" t="s">
        <v>450</v>
      </c>
      <c r="D58" s="51" t="str">
        <f t="shared" si="44"/>
        <v xml:space="preserve">                  Air Transport Equipment</v>
      </c>
      <c r="E58" s="51"/>
      <c r="F58" s="51"/>
      <c r="G58" s="52"/>
      <c r="H58" s="51"/>
      <c r="I58" s="51"/>
      <c r="J58" s="127"/>
      <c r="K58" s="57"/>
      <c r="L58" s="61"/>
      <c r="M58" s="58"/>
      <c r="N58" s="61"/>
      <c r="O58" s="61"/>
      <c r="P58" s="59"/>
      <c r="Q58" s="59"/>
      <c r="R58" s="61"/>
      <c r="S58" s="68"/>
      <c r="T58" s="68"/>
      <c r="U58" s="158"/>
      <c r="V58" s="61"/>
      <c r="W58" s="54"/>
      <c r="X58" s="62"/>
      <c r="Y58" s="62"/>
      <c r="Z58" s="54"/>
      <c r="AA58" s="55"/>
      <c r="AB58" s="55"/>
      <c r="AC58" s="54"/>
      <c r="AD58" s="55"/>
      <c r="AE58" s="55"/>
      <c r="AF58" s="55"/>
      <c r="AG58" s="54"/>
    </row>
    <row r="59" spans="1:33" ht="15" x14ac:dyDescent="0.2">
      <c r="A59" s="48">
        <v>287.51</v>
      </c>
      <c r="B59" s="50">
        <f t="shared" si="43"/>
        <v>4</v>
      </c>
      <c r="C59" s="126" t="s">
        <v>451</v>
      </c>
      <c r="D59" s="51" t="str">
        <f t="shared" si="44"/>
        <v xml:space="preserve">                        Heavy Lift Helicopters</v>
      </c>
      <c r="E59" s="51" t="s">
        <v>33</v>
      </c>
      <c r="F59" s="51" t="s">
        <v>452</v>
      </c>
      <c r="G59" s="52">
        <v>1</v>
      </c>
      <c r="H59" s="51"/>
      <c r="I59" s="51"/>
      <c r="J59" s="127">
        <v>50000000</v>
      </c>
      <c r="K59" s="57"/>
      <c r="L59" s="61"/>
      <c r="M59" s="58"/>
      <c r="N59" s="61"/>
      <c r="O59" s="61"/>
      <c r="P59" s="59"/>
      <c r="Q59" s="59">
        <v>2024</v>
      </c>
      <c r="R59" s="61" t="s">
        <v>76</v>
      </c>
      <c r="S59" s="68" t="s">
        <v>410</v>
      </c>
      <c r="T59" s="68"/>
      <c r="U59" s="158"/>
      <c r="V59" s="61"/>
      <c r="W59" s="54" t="s">
        <v>39</v>
      </c>
      <c r="X59" s="62">
        <f t="shared" ref="X59:X60" si="57">0.9*$J59</f>
        <v>45000000</v>
      </c>
      <c r="Y59" s="62">
        <f t="shared" ref="Y59:Y60" si="58">1.5*J59</f>
        <v>75000000</v>
      </c>
      <c r="Z59" s="54" t="s">
        <v>40</v>
      </c>
      <c r="AA59" s="55">
        <f t="shared" ref="AA59:AA60" si="59">0.9*K59</f>
        <v>0</v>
      </c>
      <c r="AB59" s="55">
        <f t="shared" ref="AB59:AB60" si="60">1.3*K59</f>
        <v>0</v>
      </c>
      <c r="AC59" s="54" t="s">
        <v>40</v>
      </c>
      <c r="AD59" s="55" t="s">
        <v>41</v>
      </c>
      <c r="AE59" s="55" t="s">
        <v>42</v>
      </c>
      <c r="AF59" s="55" t="s">
        <v>43</v>
      </c>
      <c r="AG59" s="54" t="s">
        <v>44</v>
      </c>
    </row>
    <row r="60" spans="1:33" ht="15" x14ac:dyDescent="0.2">
      <c r="A60" s="48">
        <v>287.52</v>
      </c>
      <c r="B60" s="50">
        <f t="shared" si="43"/>
        <v>4</v>
      </c>
      <c r="C60" s="126" t="s">
        <v>453</v>
      </c>
      <c r="D60" s="51" t="str">
        <f t="shared" si="44"/>
        <v xml:space="preserve">                        Aircraft Maintenance Equipment</v>
      </c>
      <c r="E60" s="51" t="s">
        <v>33</v>
      </c>
      <c r="F60" s="51" t="s">
        <v>287</v>
      </c>
      <c r="G60" s="52">
        <v>1</v>
      </c>
      <c r="H60" s="51"/>
      <c r="I60" s="51"/>
      <c r="J60" s="127">
        <v>1000000</v>
      </c>
      <c r="K60" s="57"/>
      <c r="L60" s="61"/>
      <c r="M60" s="58"/>
      <c r="N60" s="61"/>
      <c r="O60" s="61"/>
      <c r="P60" s="59"/>
      <c r="Q60" s="59">
        <v>2024</v>
      </c>
      <c r="R60" s="61" t="s">
        <v>76</v>
      </c>
      <c r="S60" s="68" t="s">
        <v>410</v>
      </c>
      <c r="T60" s="68"/>
      <c r="U60" s="158"/>
      <c r="V60" s="61"/>
      <c r="W60" s="54" t="s">
        <v>39</v>
      </c>
      <c r="X60" s="62">
        <f t="shared" si="57"/>
        <v>900000</v>
      </c>
      <c r="Y60" s="62">
        <f t="shared" si="58"/>
        <v>1500000</v>
      </c>
      <c r="Z60" s="54" t="s">
        <v>40</v>
      </c>
      <c r="AA60" s="55">
        <f t="shared" si="59"/>
        <v>0</v>
      </c>
      <c r="AB60" s="55">
        <f t="shared" si="60"/>
        <v>0</v>
      </c>
      <c r="AC60" s="54" t="s">
        <v>40</v>
      </c>
      <c r="AD60" s="55" t="s">
        <v>41</v>
      </c>
      <c r="AE60" s="55" t="s">
        <v>42</v>
      </c>
      <c r="AF60" s="55" t="s">
        <v>43</v>
      </c>
      <c r="AG60" s="54" t="s">
        <v>44</v>
      </c>
    </row>
    <row r="61" spans="1:33" ht="15" x14ac:dyDescent="0.2">
      <c r="A61" s="48">
        <v>288</v>
      </c>
      <c r="B61" s="50">
        <f t="shared" si="43"/>
        <v>2</v>
      </c>
      <c r="C61" s="126" t="s">
        <v>340</v>
      </c>
      <c r="D61" s="51" t="str">
        <f t="shared" si="44"/>
        <v xml:space="preserve">            Dispered Infrastructure</v>
      </c>
      <c r="E61" s="51"/>
      <c r="F61" s="51"/>
      <c r="G61" s="52"/>
      <c r="H61" s="51"/>
      <c r="I61" s="51"/>
      <c r="J61" s="130"/>
      <c r="K61" s="57"/>
      <c r="L61" s="131"/>
      <c r="M61" s="58"/>
      <c r="N61" s="61"/>
      <c r="O61" s="61"/>
      <c r="P61" s="59"/>
      <c r="Q61" s="59"/>
      <c r="R61" s="61"/>
      <c r="S61" s="132" t="s">
        <v>341</v>
      </c>
      <c r="T61" s="68"/>
      <c r="U61" s="133"/>
      <c r="V61" s="134"/>
      <c r="W61" s="54"/>
      <c r="X61" s="62"/>
      <c r="Y61" s="62"/>
      <c r="Z61" s="54"/>
      <c r="AA61" s="55"/>
      <c r="AB61" s="55"/>
      <c r="AC61" s="54"/>
      <c r="AD61" s="55"/>
      <c r="AE61" s="55"/>
      <c r="AF61" s="55"/>
      <c r="AG61" s="54"/>
    </row>
    <row r="62" spans="1:33" ht="43" x14ac:dyDescent="0.2">
      <c r="A62" s="48">
        <v>288.10000000000002</v>
      </c>
      <c r="B62" s="50">
        <v>3</v>
      </c>
      <c r="C62" s="126" t="s">
        <v>342</v>
      </c>
      <c r="D62" s="51" t="str">
        <f t="shared" si="44"/>
        <v xml:space="preserve">                  Communication</v>
      </c>
      <c r="E62" s="51" t="s">
        <v>33</v>
      </c>
      <c r="F62" s="51"/>
      <c r="G62" s="52"/>
      <c r="H62" s="51"/>
      <c r="I62" s="51"/>
      <c r="J62" s="127"/>
      <c r="K62" s="135">
        <f>12575250/N62</f>
        <v>11774.578651685393</v>
      </c>
      <c r="L62" s="61" t="s">
        <v>34</v>
      </c>
      <c r="M62" s="136" t="s">
        <v>381</v>
      </c>
      <c r="N62" s="61">
        <v>1068</v>
      </c>
      <c r="O62" s="61" t="s">
        <v>35</v>
      </c>
      <c r="P62" s="59"/>
      <c r="Q62" s="59">
        <v>2025</v>
      </c>
      <c r="R62" s="61" t="s">
        <v>76</v>
      </c>
      <c r="S62" s="88" t="s">
        <v>344</v>
      </c>
      <c r="T62" s="68"/>
      <c r="U62" s="133"/>
      <c r="V62" s="134"/>
      <c r="W62" s="54" t="s">
        <v>39</v>
      </c>
      <c r="X62" s="62">
        <f t="shared" ref="X62:X66" si="61">0.9*$J62</f>
        <v>0</v>
      </c>
      <c r="Y62" s="62">
        <f t="shared" ref="Y62:Y66" si="62">1.5*J62</f>
        <v>0</v>
      </c>
      <c r="Z62" s="54" t="s">
        <v>40</v>
      </c>
      <c r="AA62" s="55">
        <f t="shared" ref="AA62:AA66" si="63">0.9*K62</f>
        <v>10597.120786516854</v>
      </c>
      <c r="AB62" s="55">
        <f t="shared" ref="AB62:AB66" si="64">1.3*K62</f>
        <v>15306.952247191011</v>
      </c>
      <c r="AC62" s="54" t="s">
        <v>40</v>
      </c>
      <c r="AD62" s="55" t="s">
        <v>41</v>
      </c>
      <c r="AE62" s="55" t="s">
        <v>42</v>
      </c>
      <c r="AF62" s="55" t="s">
        <v>43</v>
      </c>
      <c r="AG62" s="54" t="s">
        <v>44</v>
      </c>
    </row>
    <row r="63" spans="1:33" ht="29" x14ac:dyDescent="0.2">
      <c r="A63" s="48">
        <v>288.2</v>
      </c>
      <c r="B63" s="50">
        <v>3</v>
      </c>
      <c r="C63" s="126" t="s">
        <v>345</v>
      </c>
      <c r="D63" s="51" t="str">
        <f t="shared" si="44"/>
        <v xml:space="preserve">                  Security Cameras</v>
      </c>
      <c r="E63" s="51" t="s">
        <v>33</v>
      </c>
      <c r="F63" s="51" t="s">
        <v>454</v>
      </c>
      <c r="G63" s="52">
        <v>1</v>
      </c>
      <c r="H63" s="51"/>
      <c r="I63" s="51"/>
      <c r="J63" s="137">
        <v>28431</v>
      </c>
      <c r="K63" s="57"/>
      <c r="L63" s="61"/>
      <c r="M63" s="58"/>
      <c r="N63" s="61"/>
      <c r="O63" s="61"/>
      <c r="P63" s="59"/>
      <c r="Q63" s="59">
        <v>2025</v>
      </c>
      <c r="R63" s="61" t="s">
        <v>76</v>
      </c>
      <c r="S63" s="88" t="s">
        <v>347</v>
      </c>
      <c r="T63" s="68"/>
      <c r="U63" s="133"/>
      <c r="V63" s="134"/>
      <c r="W63" s="54" t="s">
        <v>39</v>
      </c>
      <c r="X63" s="62">
        <f t="shared" si="61"/>
        <v>25587.9</v>
      </c>
      <c r="Y63" s="62">
        <f t="shared" si="62"/>
        <v>42646.5</v>
      </c>
      <c r="Z63" s="54" t="s">
        <v>40</v>
      </c>
      <c r="AA63" s="55">
        <f t="shared" si="63"/>
        <v>0</v>
      </c>
      <c r="AB63" s="55">
        <f t="shared" si="64"/>
        <v>0</v>
      </c>
      <c r="AC63" s="54" t="s">
        <v>40</v>
      </c>
      <c r="AD63" s="55" t="s">
        <v>41</v>
      </c>
      <c r="AE63" s="55" t="s">
        <v>42</v>
      </c>
      <c r="AF63" s="55" t="s">
        <v>43</v>
      </c>
      <c r="AG63" s="54" t="s">
        <v>44</v>
      </c>
    </row>
    <row r="64" spans="1:33" ht="29" x14ac:dyDescent="0.2">
      <c r="A64" s="48">
        <v>288.3</v>
      </c>
      <c r="B64" s="50">
        <v>3</v>
      </c>
      <c r="C64" s="126" t="s">
        <v>348</v>
      </c>
      <c r="D64" s="51" t="str">
        <f t="shared" si="44"/>
        <v xml:space="preserve">                  Motion Detectors</v>
      </c>
      <c r="E64" s="51" t="s">
        <v>33</v>
      </c>
      <c r="F64" s="51" t="s">
        <v>455</v>
      </c>
      <c r="G64" s="52">
        <v>1</v>
      </c>
      <c r="H64" s="51"/>
      <c r="I64" s="51"/>
      <c r="J64" s="137">
        <v>24057</v>
      </c>
      <c r="K64" s="57"/>
      <c r="L64" s="61"/>
      <c r="M64" s="58"/>
      <c r="N64" s="61"/>
      <c r="O64" s="61"/>
      <c r="P64" s="59"/>
      <c r="Q64" s="59">
        <v>2025</v>
      </c>
      <c r="R64" s="61" t="s">
        <v>76</v>
      </c>
      <c r="S64" s="88" t="s">
        <v>347</v>
      </c>
      <c r="T64" s="68"/>
      <c r="U64" s="133"/>
      <c r="V64" s="134"/>
      <c r="W64" s="54" t="s">
        <v>39</v>
      </c>
      <c r="X64" s="62">
        <f t="shared" si="61"/>
        <v>21651.3</v>
      </c>
      <c r="Y64" s="62">
        <f t="shared" si="62"/>
        <v>36085.5</v>
      </c>
      <c r="Z64" s="54" t="s">
        <v>40</v>
      </c>
      <c r="AA64" s="55">
        <f t="shared" si="63"/>
        <v>0</v>
      </c>
      <c r="AB64" s="55">
        <f t="shared" si="64"/>
        <v>0</v>
      </c>
      <c r="AC64" s="54" t="s">
        <v>40</v>
      </c>
      <c r="AD64" s="55" t="s">
        <v>41</v>
      </c>
      <c r="AE64" s="55" t="s">
        <v>42</v>
      </c>
      <c r="AF64" s="55" t="s">
        <v>43</v>
      </c>
      <c r="AG64" s="54" t="s">
        <v>44</v>
      </c>
    </row>
    <row r="65" spans="1:33" ht="29" x14ac:dyDescent="0.2">
      <c r="A65" s="48">
        <v>288.39999999999998</v>
      </c>
      <c r="B65" s="50">
        <v>3</v>
      </c>
      <c r="C65" s="126" t="s">
        <v>350</v>
      </c>
      <c r="D65" s="51" t="str">
        <f t="shared" si="44"/>
        <v xml:space="preserve">                  Guard Station</v>
      </c>
      <c r="E65" s="51" t="s">
        <v>33</v>
      </c>
      <c r="F65" s="51" t="s">
        <v>456</v>
      </c>
      <c r="G65" s="52">
        <v>1</v>
      </c>
      <c r="H65" s="51"/>
      <c r="I65" s="51"/>
      <c r="J65" s="138">
        <v>6774250</v>
      </c>
      <c r="K65" s="57"/>
      <c r="L65" s="61"/>
      <c r="M65" s="58"/>
      <c r="N65" s="61"/>
      <c r="O65" s="61"/>
      <c r="P65" s="59"/>
      <c r="Q65" s="59">
        <v>2025</v>
      </c>
      <c r="R65" s="61" t="s">
        <v>76</v>
      </c>
      <c r="S65" s="88" t="s">
        <v>347</v>
      </c>
      <c r="T65" s="68"/>
      <c r="U65" s="133"/>
      <c r="V65" s="134"/>
      <c r="W65" s="54" t="s">
        <v>39</v>
      </c>
      <c r="X65" s="62">
        <f t="shared" si="61"/>
        <v>6096825</v>
      </c>
      <c r="Y65" s="62">
        <f t="shared" si="62"/>
        <v>10161375</v>
      </c>
      <c r="Z65" s="54" t="s">
        <v>40</v>
      </c>
      <c r="AA65" s="55">
        <f t="shared" si="63"/>
        <v>0</v>
      </c>
      <c r="AB65" s="55">
        <f t="shared" si="64"/>
        <v>0</v>
      </c>
      <c r="AC65" s="54" t="s">
        <v>40</v>
      </c>
      <c r="AD65" s="55" t="s">
        <v>41</v>
      </c>
      <c r="AE65" s="55" t="s">
        <v>42</v>
      </c>
      <c r="AF65" s="55" t="s">
        <v>43</v>
      </c>
      <c r="AG65" s="54" t="s">
        <v>44</v>
      </c>
    </row>
    <row r="66" spans="1:33" ht="29" x14ac:dyDescent="0.2">
      <c r="A66" s="48">
        <v>288.5</v>
      </c>
      <c r="B66" s="50">
        <v>3</v>
      </c>
      <c r="C66" s="126" t="s">
        <v>457</v>
      </c>
      <c r="D66" s="51" t="str">
        <f>REPT("   ", B66*2) &amp; C66</f>
        <v xml:space="preserve">                  Radiation Monitors</v>
      </c>
      <c r="E66" s="51" t="s">
        <v>33</v>
      </c>
      <c r="F66" s="51" t="s">
        <v>458</v>
      </c>
      <c r="G66" s="52">
        <v>1</v>
      </c>
      <c r="H66" s="51"/>
      <c r="I66" s="51"/>
      <c r="J66" s="127">
        <v>656100</v>
      </c>
      <c r="K66" s="57"/>
      <c r="L66" s="61"/>
      <c r="M66" s="58"/>
      <c r="N66" s="61"/>
      <c r="O66" s="61"/>
      <c r="P66" s="59"/>
      <c r="Q66" s="59">
        <v>2025</v>
      </c>
      <c r="R66" s="61" t="s">
        <v>76</v>
      </c>
      <c r="S66" s="88" t="s">
        <v>347</v>
      </c>
      <c r="T66" s="68"/>
      <c r="U66" s="133"/>
      <c r="V66" s="134"/>
      <c r="W66" s="54" t="s">
        <v>39</v>
      </c>
      <c r="X66" s="62">
        <f t="shared" si="61"/>
        <v>590490</v>
      </c>
      <c r="Y66" s="62">
        <f t="shared" si="62"/>
        <v>984150</v>
      </c>
      <c r="Z66" s="54" t="s">
        <v>40</v>
      </c>
      <c r="AA66" s="55">
        <f t="shared" si="63"/>
        <v>0</v>
      </c>
      <c r="AB66" s="55">
        <f t="shared" si="64"/>
        <v>0</v>
      </c>
      <c r="AC66" s="54" t="s">
        <v>40</v>
      </c>
      <c r="AD66" s="55" t="s">
        <v>41</v>
      </c>
      <c r="AE66" s="55" t="s">
        <v>42</v>
      </c>
      <c r="AF66" s="55" t="s">
        <v>43</v>
      </c>
      <c r="AG66" s="54" t="s">
        <v>44</v>
      </c>
    </row>
    <row r="67" spans="1:33" ht="15" x14ac:dyDescent="0.2">
      <c r="A67" s="45">
        <v>30</v>
      </c>
      <c r="B67" s="50">
        <f>IF(ISNUMBER(A67),
    IF(AND(A67=INT(A67), MOD(A67, 10) = 0), 0,
        IF(AND(A67=INT(A67), LEN(A67)=2), 1,
            IF(AND(A67=INT(A67), LEN(A67)=3), 2,
                LEN(A67) - FIND(".", A67) + 2)
        )
    ),
"")</f>
        <v>0</v>
      </c>
      <c r="C67" s="67" t="s">
        <v>117</v>
      </c>
      <c r="D67" s="51" t="str">
        <f t="shared" si="44"/>
        <v>Capitalized Indirect Services Cost</v>
      </c>
      <c r="E67" s="51"/>
      <c r="F67" s="51"/>
      <c r="G67" s="52"/>
      <c r="H67" s="51"/>
      <c r="I67" s="51"/>
      <c r="J67" s="139"/>
      <c r="K67" s="63"/>
      <c r="L67" s="45"/>
      <c r="M67" s="45"/>
      <c r="N67" s="45"/>
      <c r="O67" s="45"/>
      <c r="P67" s="64"/>
      <c r="Q67" s="59"/>
      <c r="R67" s="61"/>
      <c r="S67" s="45"/>
      <c r="T67" s="45"/>
      <c r="U67" s="45"/>
      <c r="V67" s="45"/>
      <c r="W67" s="54"/>
      <c r="X67" s="62"/>
      <c r="Y67" s="62"/>
      <c r="Z67" s="54"/>
      <c r="AA67" s="55"/>
      <c r="AB67" s="55"/>
      <c r="AC67" s="54"/>
      <c r="AD67" s="55"/>
      <c r="AE67" s="55"/>
      <c r="AF67" s="55"/>
      <c r="AG67" s="54"/>
    </row>
    <row r="68" spans="1:33" ht="15" x14ac:dyDescent="0.2">
      <c r="A68" s="48">
        <v>40</v>
      </c>
      <c r="B68" s="50">
        <f t="shared" si="43"/>
        <v>0</v>
      </c>
      <c r="C68" s="67" t="s">
        <v>122</v>
      </c>
      <c r="D68" s="51" t="str">
        <f t="shared" si="44"/>
        <v>Capitalized training costs</v>
      </c>
      <c r="E68" s="51"/>
      <c r="F68" s="51"/>
      <c r="G68" s="52"/>
      <c r="H68" s="51"/>
      <c r="I68" s="51"/>
      <c r="J68" s="127"/>
      <c r="K68" s="63"/>
      <c r="L68" s="45"/>
      <c r="M68" s="45"/>
      <c r="N68" s="45"/>
      <c r="O68" s="45"/>
      <c r="P68" s="64"/>
      <c r="Q68" s="64"/>
      <c r="R68" s="45"/>
      <c r="S68" s="45"/>
      <c r="T68" s="45"/>
      <c r="U68" s="45"/>
      <c r="V68" s="45"/>
      <c r="W68" s="54"/>
      <c r="X68" s="62"/>
      <c r="Y68" s="62"/>
      <c r="Z68" s="54"/>
      <c r="AA68" s="55"/>
      <c r="AB68" s="55"/>
      <c r="AC68" s="54"/>
      <c r="AD68" s="55"/>
      <c r="AE68" s="55"/>
      <c r="AF68" s="55"/>
      <c r="AG68" s="54"/>
    </row>
    <row r="69" spans="1:33" ht="15" x14ac:dyDescent="0.2">
      <c r="A69" s="48">
        <v>41</v>
      </c>
      <c r="B69" s="50">
        <f t="shared" si="43"/>
        <v>1</v>
      </c>
      <c r="C69" s="67" t="s">
        <v>123</v>
      </c>
      <c r="D69" s="51" t="str">
        <f t="shared" si="44"/>
        <v xml:space="preserve">      staff recruitment and training</v>
      </c>
      <c r="E69" s="51" t="s">
        <v>33</v>
      </c>
      <c r="F69" s="51" t="s">
        <v>287</v>
      </c>
      <c r="G69" s="52">
        <v>1</v>
      </c>
      <c r="H69" s="51"/>
      <c r="I69" s="51"/>
      <c r="J69" s="78">
        <v>300000</v>
      </c>
      <c r="K69" s="57"/>
      <c r="L69" s="61"/>
      <c r="M69" s="68"/>
      <c r="N69" s="61"/>
      <c r="O69" s="61"/>
      <c r="P69" s="59"/>
      <c r="Q69" s="59">
        <v>2024</v>
      </c>
      <c r="R69" s="61" t="s">
        <v>48</v>
      </c>
      <c r="S69" s="68"/>
      <c r="T69" s="61"/>
      <c r="U69" s="61"/>
      <c r="V69" s="61"/>
      <c r="W69" s="54" t="s">
        <v>39</v>
      </c>
      <c r="X69" s="62">
        <f t="shared" ref="X69" si="65">0.9*$J69</f>
        <v>270000</v>
      </c>
      <c r="Y69" s="62">
        <f t="shared" ref="Y69" si="66">1.5*J69</f>
        <v>450000</v>
      </c>
      <c r="Z69" s="54" t="s">
        <v>40</v>
      </c>
      <c r="AA69" s="55">
        <f t="shared" ref="AA69" si="67">0.9*K69</f>
        <v>0</v>
      </c>
      <c r="AB69" s="55">
        <f t="shared" ref="AB69" si="68">1.3*K69</f>
        <v>0</v>
      </c>
      <c r="AC69" s="54" t="s">
        <v>40</v>
      </c>
      <c r="AD69" s="55" t="s">
        <v>41</v>
      </c>
      <c r="AE69" s="55" t="s">
        <v>42</v>
      </c>
      <c r="AF69" s="55" t="s">
        <v>43</v>
      </c>
      <c r="AG69" s="54" t="s">
        <v>44</v>
      </c>
    </row>
    <row r="70" spans="1:33" ht="15" x14ac:dyDescent="0.2">
      <c r="A70" s="45">
        <v>60</v>
      </c>
      <c r="B70" s="50">
        <f t="shared" si="43"/>
        <v>0</v>
      </c>
      <c r="C70" s="67" t="s">
        <v>124</v>
      </c>
      <c r="D70" s="51" t="str">
        <f t="shared" si="44"/>
        <v xml:space="preserve">Capitalized Financial Costs </v>
      </c>
      <c r="E70" s="51"/>
      <c r="F70" s="51"/>
      <c r="G70" s="52"/>
      <c r="H70" s="51"/>
      <c r="I70" s="51"/>
      <c r="J70" s="77"/>
      <c r="K70" s="53"/>
      <c r="L70" s="50"/>
      <c r="M70" s="46"/>
      <c r="N70" s="50"/>
      <c r="O70" s="50"/>
      <c r="P70" s="53"/>
      <c r="Q70" s="53"/>
      <c r="R70" s="50"/>
      <c r="S70" s="46"/>
      <c r="T70" s="50"/>
      <c r="U70" s="50"/>
      <c r="V70" s="50"/>
      <c r="W70" s="54"/>
      <c r="X70" s="62"/>
      <c r="Y70" s="62"/>
      <c r="Z70" s="54"/>
      <c r="AA70" s="55"/>
      <c r="AB70" s="55"/>
      <c r="AC70" s="54"/>
      <c r="AD70" s="55"/>
      <c r="AE70" s="55"/>
      <c r="AF70" s="55"/>
      <c r="AG70" s="54"/>
    </row>
    <row r="71" spans="1:33" ht="15" x14ac:dyDescent="0.2">
      <c r="A71" s="48">
        <v>62</v>
      </c>
      <c r="B71" s="50">
        <f t="shared" si="43"/>
        <v>1</v>
      </c>
      <c r="C71" s="67" t="s">
        <v>125</v>
      </c>
      <c r="D71" s="51" t="str">
        <f t="shared" si="44"/>
        <v xml:space="preserve">      Interest</v>
      </c>
      <c r="E71" s="51"/>
      <c r="F71" s="51"/>
      <c r="G71" s="52"/>
      <c r="H71" s="51"/>
      <c r="I71" s="51"/>
      <c r="J71" s="78"/>
      <c r="K71" s="57"/>
      <c r="L71" s="61"/>
      <c r="M71" s="68"/>
      <c r="N71" s="61"/>
      <c r="O71" s="61"/>
      <c r="P71" s="59"/>
      <c r="Q71" s="59"/>
      <c r="R71" s="61"/>
      <c r="S71" s="68"/>
      <c r="T71" s="61"/>
      <c r="U71" s="61"/>
      <c r="V71" s="61"/>
      <c r="W71" s="54"/>
      <c r="X71" s="62"/>
      <c r="Y71" s="62"/>
      <c r="Z71" s="54"/>
      <c r="AA71" s="55"/>
      <c r="AB71" s="55"/>
      <c r="AC71" s="54"/>
      <c r="AD71" s="55"/>
      <c r="AE71" s="55"/>
      <c r="AF71" s="55"/>
      <c r="AG71" s="54"/>
    </row>
    <row r="72" spans="1:33" ht="15" x14ac:dyDescent="0.2">
      <c r="A72" s="48">
        <v>70</v>
      </c>
      <c r="B72" s="50">
        <f t="shared" si="43"/>
        <v>0</v>
      </c>
      <c r="C72" s="70" t="s">
        <v>126</v>
      </c>
      <c r="D72" s="51" t="str">
        <f t="shared" si="44"/>
        <v xml:space="preserve">Annualized O&amp;M Cost </v>
      </c>
      <c r="E72" s="51"/>
      <c r="F72" s="51"/>
      <c r="G72" s="52"/>
      <c r="H72" s="51"/>
      <c r="I72" s="51"/>
      <c r="J72" s="78"/>
      <c r="K72" s="57"/>
      <c r="L72" s="61"/>
      <c r="M72" s="68"/>
      <c r="N72" s="61"/>
      <c r="O72" s="61"/>
      <c r="P72" s="59"/>
      <c r="Q72" s="59"/>
      <c r="R72" s="61"/>
      <c r="S72" s="68"/>
      <c r="T72" s="68"/>
      <c r="U72" s="61"/>
      <c r="V72" s="61"/>
      <c r="W72" s="54"/>
      <c r="X72" s="62"/>
      <c r="Y72" s="62"/>
      <c r="Z72" s="54"/>
      <c r="AA72" s="55"/>
      <c r="AB72" s="55"/>
      <c r="AC72" s="54"/>
      <c r="AD72" s="55"/>
      <c r="AE72" s="55"/>
      <c r="AF72" s="55"/>
      <c r="AG72" s="54"/>
    </row>
    <row r="73" spans="1:33" ht="15" x14ac:dyDescent="0.2">
      <c r="A73" s="48">
        <v>71</v>
      </c>
      <c r="B73" s="50">
        <f t="shared" si="43"/>
        <v>1</v>
      </c>
      <c r="C73" s="67" t="s">
        <v>127</v>
      </c>
      <c r="D73" s="51" t="str">
        <f t="shared" si="44"/>
        <v xml:space="preserve">      O&amp;M Staff</v>
      </c>
      <c r="E73" s="51"/>
      <c r="F73" s="51"/>
      <c r="G73" s="52"/>
      <c r="H73" s="51"/>
      <c r="I73" s="51"/>
      <c r="J73" s="78"/>
      <c r="K73" s="57"/>
      <c r="L73" s="61"/>
      <c r="M73" s="68"/>
      <c r="N73" s="61"/>
      <c r="O73" s="61"/>
      <c r="P73" s="59"/>
      <c r="Q73" s="59"/>
      <c r="R73" s="61"/>
      <c r="S73" s="68"/>
      <c r="T73" s="68"/>
      <c r="U73" s="61"/>
      <c r="V73" s="61"/>
      <c r="W73" s="54"/>
      <c r="X73" s="62"/>
      <c r="Y73" s="62"/>
      <c r="Z73" s="54"/>
      <c r="AA73" s="55"/>
      <c r="AB73" s="55"/>
      <c r="AC73" s="54"/>
      <c r="AD73" s="55"/>
      <c r="AE73" s="55"/>
      <c r="AF73" s="55"/>
      <c r="AG73" s="54"/>
    </row>
    <row r="74" spans="1:33" ht="85" x14ac:dyDescent="0.2">
      <c r="A74" s="65">
        <v>711</v>
      </c>
      <c r="B74" s="50">
        <f t="shared" si="43"/>
        <v>2</v>
      </c>
      <c r="C74" s="67" t="s">
        <v>128</v>
      </c>
      <c r="D74" s="51" t="str">
        <f t="shared" si="44"/>
        <v xml:space="preserve">            Operators </v>
      </c>
      <c r="E74" s="51" t="s">
        <v>96</v>
      </c>
      <c r="F74" s="51"/>
      <c r="G74" s="52">
        <v>1</v>
      </c>
      <c r="H74" s="51"/>
      <c r="I74" s="51"/>
      <c r="J74" s="78"/>
      <c r="K74" s="57">
        <v>178500</v>
      </c>
      <c r="L74" s="35" t="s">
        <v>511</v>
      </c>
      <c r="M74" s="51" t="s">
        <v>510</v>
      </c>
      <c r="N74" s="61"/>
      <c r="O74" s="61"/>
      <c r="P74" s="59">
        <v>1</v>
      </c>
      <c r="Q74" s="59">
        <v>2024</v>
      </c>
      <c r="R74" s="61" t="s">
        <v>48</v>
      </c>
      <c r="S74" s="68"/>
      <c r="T74" s="68" t="s">
        <v>130</v>
      </c>
      <c r="U74" s="61"/>
      <c r="V74" s="61"/>
      <c r="W74" s="54" t="s">
        <v>39</v>
      </c>
      <c r="X74" s="62">
        <f t="shared" ref="X74:X85" si="69">0.9*$J74</f>
        <v>0</v>
      </c>
      <c r="Y74" s="62">
        <f t="shared" ref="Y74:Y80" si="70">1.5*J74</f>
        <v>0</v>
      </c>
      <c r="Z74" s="54" t="s">
        <v>40</v>
      </c>
      <c r="AA74" s="55">
        <f t="shared" ref="AA74:AA80" si="71">0.9*K74</f>
        <v>160650</v>
      </c>
      <c r="AB74" s="55">
        <f t="shared" ref="AB74:AB80" si="72">1.3*K74</f>
        <v>232050</v>
      </c>
      <c r="AC74" s="54" t="s">
        <v>40</v>
      </c>
      <c r="AD74" s="55" t="s">
        <v>41</v>
      </c>
      <c r="AE74" s="55" t="s">
        <v>42</v>
      </c>
      <c r="AF74" s="55" t="s">
        <v>43</v>
      </c>
      <c r="AG74" s="54" t="s">
        <v>44</v>
      </c>
    </row>
    <row r="75" spans="1:33" ht="85" x14ac:dyDescent="0.2">
      <c r="A75" s="65">
        <v>712</v>
      </c>
      <c r="B75" s="50">
        <f t="shared" si="43"/>
        <v>2</v>
      </c>
      <c r="C75" s="67" t="s">
        <v>131</v>
      </c>
      <c r="D75" s="51" t="str">
        <f t="shared" si="44"/>
        <v xml:space="preserve">            Remote Monitoring Technicians </v>
      </c>
      <c r="E75" s="51" t="s">
        <v>96</v>
      </c>
      <c r="F75" s="51" t="s">
        <v>132</v>
      </c>
      <c r="G75" s="52">
        <v>1</v>
      </c>
      <c r="H75" s="51"/>
      <c r="I75" s="51"/>
      <c r="J75" s="78"/>
      <c r="K75" s="37">
        <v>178500</v>
      </c>
      <c r="L75" s="35" t="s">
        <v>129</v>
      </c>
      <c r="M75" s="51" t="s">
        <v>430</v>
      </c>
      <c r="N75" s="61"/>
      <c r="O75" s="61"/>
      <c r="P75" s="35">
        <v>1</v>
      </c>
      <c r="Q75" s="38">
        <v>2024</v>
      </c>
      <c r="R75" s="35" t="s">
        <v>48</v>
      </c>
      <c r="S75" s="36"/>
      <c r="T75" s="36" t="s">
        <v>130</v>
      </c>
      <c r="U75" s="61"/>
      <c r="V75" s="61"/>
      <c r="W75" s="54" t="s">
        <v>39</v>
      </c>
      <c r="X75" s="62">
        <f t="shared" si="69"/>
        <v>0</v>
      </c>
      <c r="Y75" s="62">
        <f t="shared" si="70"/>
        <v>0</v>
      </c>
      <c r="Z75" s="54" t="s">
        <v>40</v>
      </c>
      <c r="AA75" s="55">
        <f t="shared" si="71"/>
        <v>160650</v>
      </c>
      <c r="AB75" s="55">
        <f t="shared" si="72"/>
        <v>232050</v>
      </c>
      <c r="AC75" s="54" t="s">
        <v>40</v>
      </c>
      <c r="AD75" s="55" t="s">
        <v>41</v>
      </c>
      <c r="AE75" s="55" t="s">
        <v>42</v>
      </c>
      <c r="AF75" s="55" t="s">
        <v>43</v>
      </c>
      <c r="AG75" s="54" t="s">
        <v>44</v>
      </c>
    </row>
    <row r="76" spans="1:33" ht="85" x14ac:dyDescent="0.2">
      <c r="A76" s="65">
        <v>713</v>
      </c>
      <c r="B76" s="50">
        <f t="shared" si="43"/>
        <v>2</v>
      </c>
      <c r="C76" s="67" t="s">
        <v>133</v>
      </c>
      <c r="D76" s="51" t="str">
        <f t="shared" si="44"/>
        <v xml:space="preserve">            Security Staff </v>
      </c>
      <c r="E76" s="51" t="s">
        <v>96</v>
      </c>
      <c r="F76" s="51" t="s">
        <v>459</v>
      </c>
      <c r="G76" s="52">
        <v>1</v>
      </c>
      <c r="H76" s="51"/>
      <c r="I76" s="51"/>
      <c r="J76" s="78"/>
      <c r="K76" s="37">
        <v>178500</v>
      </c>
      <c r="L76" s="35" t="s">
        <v>129</v>
      </c>
      <c r="M76" s="36" t="s">
        <v>460</v>
      </c>
      <c r="N76" s="61"/>
      <c r="O76" s="61"/>
      <c r="P76" s="35">
        <v>1</v>
      </c>
      <c r="Q76" s="38">
        <v>2024</v>
      </c>
      <c r="R76" s="35" t="s">
        <v>48</v>
      </c>
      <c r="S76" s="36"/>
      <c r="T76" s="36" t="s">
        <v>130</v>
      </c>
      <c r="U76" s="140"/>
      <c r="V76" s="61"/>
      <c r="W76" s="54" t="s">
        <v>39</v>
      </c>
      <c r="X76" s="62">
        <f t="shared" si="69"/>
        <v>0</v>
      </c>
      <c r="Y76" s="62">
        <f t="shared" si="70"/>
        <v>0</v>
      </c>
      <c r="Z76" s="54" t="s">
        <v>40</v>
      </c>
      <c r="AA76" s="55">
        <f t="shared" si="71"/>
        <v>160650</v>
      </c>
      <c r="AB76" s="55">
        <f t="shared" si="72"/>
        <v>232050</v>
      </c>
      <c r="AC76" s="54" t="s">
        <v>40</v>
      </c>
      <c r="AD76" s="55" t="s">
        <v>41</v>
      </c>
      <c r="AE76" s="55" t="s">
        <v>42</v>
      </c>
      <c r="AF76" s="55" t="s">
        <v>43</v>
      </c>
      <c r="AG76" s="54" t="s">
        <v>44</v>
      </c>
    </row>
    <row r="77" spans="1:33" ht="85" x14ac:dyDescent="0.2">
      <c r="A77" s="65">
        <v>714</v>
      </c>
      <c r="B77" s="50">
        <f t="shared" si="43"/>
        <v>2</v>
      </c>
      <c r="C77" s="67" t="s">
        <v>359</v>
      </c>
      <c r="D77" s="51" t="str">
        <f t="shared" si="44"/>
        <v xml:space="preserve">            Maintenance Staff</v>
      </c>
      <c r="E77" s="51" t="s">
        <v>96</v>
      </c>
      <c r="F77" s="51" t="s">
        <v>459</v>
      </c>
      <c r="G77" s="52">
        <v>1</v>
      </c>
      <c r="H77" s="51"/>
      <c r="I77" s="51"/>
      <c r="J77" s="78"/>
      <c r="K77" s="37">
        <v>178500</v>
      </c>
      <c r="L77" s="35" t="s">
        <v>129</v>
      </c>
      <c r="M77" s="36" t="s">
        <v>508</v>
      </c>
      <c r="N77" s="61"/>
      <c r="O77" s="61"/>
      <c r="P77" s="35">
        <v>1</v>
      </c>
      <c r="Q77" s="38">
        <v>2024</v>
      </c>
      <c r="R77" s="35" t="s">
        <v>48</v>
      </c>
      <c r="S77" s="36"/>
      <c r="T77" s="36" t="s">
        <v>130</v>
      </c>
      <c r="U77" s="140"/>
      <c r="V77" s="61"/>
      <c r="W77" s="54" t="s">
        <v>39</v>
      </c>
      <c r="X77" s="62">
        <f t="shared" si="69"/>
        <v>0</v>
      </c>
      <c r="Y77" s="62">
        <f t="shared" si="70"/>
        <v>0</v>
      </c>
      <c r="Z77" s="54" t="s">
        <v>40</v>
      </c>
      <c r="AA77" s="55">
        <f t="shared" si="71"/>
        <v>160650</v>
      </c>
      <c r="AB77" s="55">
        <f t="shared" si="72"/>
        <v>232050</v>
      </c>
      <c r="AC77" s="54" t="s">
        <v>40</v>
      </c>
      <c r="AD77" s="55" t="s">
        <v>41</v>
      </c>
      <c r="AE77" s="55" t="s">
        <v>42</v>
      </c>
      <c r="AF77" s="55" t="s">
        <v>43</v>
      </c>
      <c r="AG77" s="54" t="s">
        <v>44</v>
      </c>
    </row>
    <row r="78" spans="1:33" ht="29" x14ac:dyDescent="0.2">
      <c r="A78" s="65">
        <v>715</v>
      </c>
      <c r="B78" s="50">
        <f t="shared" si="43"/>
        <v>2</v>
      </c>
      <c r="C78" s="67" t="s">
        <v>461</v>
      </c>
      <c r="D78" s="51" t="str">
        <f t="shared" si="44"/>
        <v xml:space="preserve">            Engineering Staff</v>
      </c>
      <c r="E78" s="51" t="s">
        <v>96</v>
      </c>
      <c r="F78" s="51"/>
      <c r="G78" s="52"/>
      <c r="H78" s="51"/>
      <c r="I78" s="51"/>
      <c r="J78" s="78"/>
      <c r="K78" s="37">
        <v>200000</v>
      </c>
      <c r="L78" s="35" t="s">
        <v>129</v>
      </c>
      <c r="M78" s="141" t="s">
        <v>462</v>
      </c>
      <c r="N78" s="61"/>
      <c r="O78" s="61"/>
      <c r="P78" s="35"/>
      <c r="Q78" s="38">
        <v>2024</v>
      </c>
      <c r="R78" s="35" t="s">
        <v>48</v>
      </c>
      <c r="S78" s="36"/>
      <c r="T78" s="36"/>
      <c r="U78" s="140"/>
      <c r="V78" s="61"/>
      <c r="W78" s="54" t="s">
        <v>39</v>
      </c>
      <c r="X78" s="62">
        <f t="shared" si="69"/>
        <v>0</v>
      </c>
      <c r="Y78" s="62">
        <f t="shared" si="70"/>
        <v>0</v>
      </c>
      <c r="Z78" s="54" t="s">
        <v>40</v>
      </c>
      <c r="AA78" s="55">
        <f t="shared" si="71"/>
        <v>180000</v>
      </c>
      <c r="AB78" s="55">
        <f t="shared" si="72"/>
        <v>260000</v>
      </c>
      <c r="AC78" s="54" t="s">
        <v>40</v>
      </c>
      <c r="AD78" s="55" t="s">
        <v>41</v>
      </c>
      <c r="AE78" s="55" t="s">
        <v>42</v>
      </c>
      <c r="AF78" s="55" t="s">
        <v>43</v>
      </c>
      <c r="AG78" s="54" t="s">
        <v>44</v>
      </c>
    </row>
    <row r="79" spans="1:33" ht="15" x14ac:dyDescent="0.2">
      <c r="A79" s="65">
        <v>716</v>
      </c>
      <c r="B79" s="50">
        <f t="shared" si="43"/>
        <v>2</v>
      </c>
      <c r="C79" s="67" t="s">
        <v>363</v>
      </c>
      <c r="D79" s="51" t="str">
        <f t="shared" si="44"/>
        <v xml:space="preserve">            Continuing Education and Staff Retraining</v>
      </c>
      <c r="E79" s="51"/>
      <c r="F79" s="51"/>
      <c r="G79" s="52"/>
      <c r="H79" s="51"/>
      <c r="I79" s="51"/>
      <c r="J79" s="139"/>
      <c r="K79" s="37"/>
      <c r="L79" s="35"/>
      <c r="M79" s="36"/>
      <c r="N79" s="61"/>
      <c r="O79" s="61"/>
      <c r="P79" s="35"/>
      <c r="Q79" s="38"/>
      <c r="R79" s="35" t="s">
        <v>48</v>
      </c>
      <c r="S79" s="36"/>
      <c r="T79" s="36"/>
      <c r="U79" s="140"/>
      <c r="V79" s="61"/>
      <c r="W79" s="54" t="s">
        <v>39</v>
      </c>
      <c r="X79" s="62">
        <f t="shared" si="69"/>
        <v>0</v>
      </c>
      <c r="Y79" s="62">
        <f t="shared" si="70"/>
        <v>0</v>
      </c>
      <c r="Z79" s="54"/>
      <c r="AA79" s="55">
        <f t="shared" si="71"/>
        <v>0</v>
      </c>
      <c r="AB79" s="55">
        <f t="shared" si="72"/>
        <v>0</v>
      </c>
      <c r="AC79" s="54"/>
      <c r="AD79" s="55"/>
      <c r="AE79" s="55"/>
      <c r="AF79" s="55"/>
      <c r="AG79" s="54"/>
    </row>
    <row r="80" spans="1:33" ht="15" x14ac:dyDescent="0.2">
      <c r="A80" s="65">
        <v>717</v>
      </c>
      <c r="B80" s="50">
        <f t="shared" si="43"/>
        <v>2</v>
      </c>
      <c r="C80" s="67" t="s">
        <v>364</v>
      </c>
      <c r="D80" s="51" t="str">
        <f t="shared" si="44"/>
        <v xml:space="preserve">            Management Staff</v>
      </c>
      <c r="E80" s="51"/>
      <c r="F80" s="51"/>
      <c r="G80" s="52"/>
      <c r="H80" s="51"/>
      <c r="I80" s="51"/>
      <c r="J80" s="139"/>
      <c r="K80" s="37"/>
      <c r="L80" s="35"/>
      <c r="M80" s="36"/>
      <c r="N80" s="61"/>
      <c r="O80" s="61"/>
      <c r="P80" s="35"/>
      <c r="Q80" s="38"/>
      <c r="R80" s="35" t="s">
        <v>48</v>
      </c>
      <c r="S80" s="36"/>
      <c r="T80" s="36"/>
      <c r="U80" s="140"/>
      <c r="V80" s="61"/>
      <c r="W80" s="54" t="s">
        <v>39</v>
      </c>
      <c r="X80" s="62">
        <f t="shared" si="69"/>
        <v>0</v>
      </c>
      <c r="Y80" s="62">
        <f t="shared" si="70"/>
        <v>0</v>
      </c>
      <c r="Z80" s="54"/>
      <c r="AA80" s="55">
        <f t="shared" si="71"/>
        <v>0</v>
      </c>
      <c r="AB80" s="55">
        <f t="shared" si="72"/>
        <v>0</v>
      </c>
      <c r="AC80" s="54"/>
      <c r="AD80" s="55"/>
      <c r="AE80" s="55"/>
      <c r="AF80" s="55"/>
      <c r="AG80" s="54"/>
    </row>
    <row r="81" spans="1:33" ht="15" x14ac:dyDescent="0.2">
      <c r="A81" s="48">
        <v>74</v>
      </c>
      <c r="B81" s="50">
        <f t="shared" si="43"/>
        <v>1</v>
      </c>
      <c r="C81" s="67" t="s">
        <v>367</v>
      </c>
      <c r="D81" s="51" t="str">
        <f t="shared" si="44"/>
        <v xml:space="preserve">      Fixed O&amp;M Utilities and Materials </v>
      </c>
      <c r="E81" s="51"/>
      <c r="F81" s="51"/>
      <c r="G81" s="52"/>
      <c r="H81" s="51"/>
      <c r="I81" s="51"/>
      <c r="J81" s="78"/>
      <c r="K81" s="57"/>
      <c r="L81" s="61"/>
      <c r="M81" s="68"/>
      <c r="N81" s="61"/>
      <c r="O81" s="61"/>
      <c r="P81" s="59"/>
      <c r="Q81" s="59"/>
      <c r="R81" s="61"/>
      <c r="S81" s="68"/>
      <c r="T81" s="69"/>
      <c r="U81" s="140"/>
      <c r="V81" s="61"/>
      <c r="W81" s="54"/>
      <c r="X81" s="62"/>
      <c r="Y81" s="62"/>
      <c r="Z81" s="54"/>
      <c r="AA81" s="55"/>
      <c r="AB81" s="55"/>
      <c r="AC81" s="54"/>
      <c r="AD81" s="55"/>
      <c r="AE81" s="55"/>
      <c r="AF81" s="55"/>
      <c r="AG81" s="54"/>
    </row>
    <row r="82" spans="1:33" ht="15" x14ac:dyDescent="0.2">
      <c r="A82" s="48">
        <v>741</v>
      </c>
      <c r="B82" s="50">
        <f t="shared" si="43"/>
        <v>2</v>
      </c>
      <c r="C82" s="67" t="s">
        <v>463</v>
      </c>
      <c r="D82" s="51" t="str">
        <f t="shared" si="44"/>
        <v xml:space="preserve">            Operating Chemicals and Lubricants</v>
      </c>
      <c r="E82" s="51"/>
      <c r="F82" s="51"/>
      <c r="G82" s="52"/>
      <c r="H82" s="51"/>
      <c r="I82" s="51"/>
      <c r="J82" s="139"/>
      <c r="K82" s="57"/>
      <c r="L82" s="61"/>
      <c r="M82" s="68"/>
      <c r="N82" s="61"/>
      <c r="O82" s="61"/>
      <c r="P82" s="59"/>
      <c r="Q82" s="59"/>
      <c r="R82" s="61"/>
      <c r="S82" s="68"/>
      <c r="T82" s="69"/>
      <c r="U82" s="140"/>
      <c r="V82" s="61"/>
      <c r="W82" s="54" t="s">
        <v>39</v>
      </c>
      <c r="X82" s="62">
        <f t="shared" si="69"/>
        <v>0</v>
      </c>
      <c r="Y82" s="62">
        <f t="shared" ref="Y82:Y85" si="73">1.5*J82</f>
        <v>0</v>
      </c>
      <c r="Z82" s="54"/>
      <c r="AA82" s="55">
        <f t="shared" ref="AA82:AA85" si="74">0.9*K82</f>
        <v>0</v>
      </c>
      <c r="AB82" s="55">
        <f t="shared" ref="AB82:AB85" si="75">1.3*K82</f>
        <v>0</v>
      </c>
      <c r="AC82" s="54"/>
      <c r="AD82" s="55"/>
      <c r="AE82" s="55"/>
      <c r="AF82" s="55"/>
      <c r="AG82" s="54"/>
    </row>
    <row r="83" spans="1:33" ht="15" x14ac:dyDescent="0.2">
      <c r="A83" s="48">
        <v>742</v>
      </c>
      <c r="B83" s="50">
        <f t="shared" si="43"/>
        <v>2</v>
      </c>
      <c r="C83" s="67" t="s">
        <v>464</v>
      </c>
      <c r="D83" s="51" t="str">
        <f t="shared" si="44"/>
        <v xml:space="preserve">            Spare Parts</v>
      </c>
      <c r="E83" s="51"/>
      <c r="F83" s="51"/>
      <c r="G83" s="52"/>
      <c r="H83" s="51"/>
      <c r="I83" s="51"/>
      <c r="J83" s="139"/>
      <c r="K83" s="57"/>
      <c r="L83" s="61"/>
      <c r="M83" s="68"/>
      <c r="N83" s="61"/>
      <c r="O83" s="61"/>
      <c r="P83" s="59"/>
      <c r="Q83" s="59"/>
      <c r="R83" s="61"/>
      <c r="S83" s="68"/>
      <c r="T83" s="69"/>
      <c r="U83" s="140"/>
      <c r="V83" s="61"/>
      <c r="W83" s="54" t="s">
        <v>39</v>
      </c>
      <c r="X83" s="62">
        <f t="shared" si="69"/>
        <v>0</v>
      </c>
      <c r="Y83" s="62">
        <f t="shared" si="73"/>
        <v>0</v>
      </c>
      <c r="Z83" s="54"/>
      <c r="AA83" s="55">
        <f t="shared" si="74"/>
        <v>0</v>
      </c>
      <c r="AB83" s="55">
        <f t="shared" si="75"/>
        <v>0</v>
      </c>
      <c r="AC83" s="54"/>
      <c r="AD83" s="55"/>
      <c r="AE83" s="55"/>
      <c r="AF83" s="55"/>
      <c r="AG83" s="54"/>
    </row>
    <row r="84" spans="1:33" ht="29" x14ac:dyDescent="0.2">
      <c r="A84" s="48">
        <v>743</v>
      </c>
      <c r="B84" s="50">
        <f t="shared" si="43"/>
        <v>2</v>
      </c>
      <c r="C84" s="67" t="s">
        <v>370</v>
      </c>
      <c r="D84" s="51" t="str">
        <f t="shared" si="44"/>
        <v xml:space="preserve">            Utilities except electricity, Supplies, and Consumables</v>
      </c>
      <c r="E84" s="51"/>
      <c r="F84" s="51"/>
      <c r="G84" s="52"/>
      <c r="H84" s="51"/>
      <c r="I84" s="51"/>
      <c r="J84" s="139"/>
      <c r="K84" s="57"/>
      <c r="L84" s="61"/>
      <c r="M84" s="68"/>
      <c r="N84" s="61"/>
      <c r="O84" s="61"/>
      <c r="P84" s="59"/>
      <c r="Q84" s="59"/>
      <c r="R84" s="61"/>
      <c r="S84" s="68"/>
      <c r="T84" s="69"/>
      <c r="U84" s="140"/>
      <c r="V84" s="61"/>
      <c r="W84" s="54" t="s">
        <v>39</v>
      </c>
      <c r="X84" s="62">
        <f t="shared" si="69"/>
        <v>0</v>
      </c>
      <c r="Y84" s="62">
        <f t="shared" si="73"/>
        <v>0</v>
      </c>
      <c r="Z84" s="54"/>
      <c r="AA84" s="55">
        <f t="shared" si="74"/>
        <v>0</v>
      </c>
      <c r="AB84" s="55">
        <f t="shared" si="75"/>
        <v>0</v>
      </c>
      <c r="AC84" s="54"/>
      <c r="AD84" s="55"/>
      <c r="AE84" s="55"/>
      <c r="AF84" s="55"/>
      <c r="AG84" s="54"/>
    </row>
    <row r="85" spans="1:33" ht="29" x14ac:dyDescent="0.2">
      <c r="A85" s="48">
        <v>744</v>
      </c>
      <c r="B85" s="50">
        <f t="shared" si="43"/>
        <v>2</v>
      </c>
      <c r="C85" s="67" t="s">
        <v>371</v>
      </c>
      <c r="D85" s="51" t="str">
        <f t="shared" si="44"/>
        <v xml:space="preserve">            Electricity</v>
      </c>
      <c r="E85" s="51" t="s">
        <v>96</v>
      </c>
      <c r="F85" s="51" t="s">
        <v>287</v>
      </c>
      <c r="G85" s="52">
        <v>1</v>
      </c>
      <c r="H85" s="51"/>
      <c r="I85" s="51"/>
      <c r="J85" s="78"/>
      <c r="K85" s="57">
        <v>90</v>
      </c>
      <c r="L85" s="61" t="s">
        <v>136</v>
      </c>
      <c r="M85" s="51" t="s">
        <v>465</v>
      </c>
      <c r="N85" s="61"/>
      <c r="O85" s="61"/>
      <c r="P85" s="59">
        <v>1</v>
      </c>
      <c r="Q85" s="59">
        <v>2025</v>
      </c>
      <c r="R85" s="61" t="s">
        <v>36</v>
      </c>
      <c r="S85" s="68"/>
      <c r="T85" s="69"/>
      <c r="U85" s="140"/>
      <c r="V85" s="61"/>
      <c r="W85" s="54" t="s">
        <v>39</v>
      </c>
      <c r="X85" s="62">
        <f t="shared" si="69"/>
        <v>0</v>
      </c>
      <c r="Y85" s="62">
        <f t="shared" si="73"/>
        <v>0</v>
      </c>
      <c r="Z85" s="54" t="s">
        <v>40</v>
      </c>
      <c r="AA85" s="55">
        <f t="shared" si="74"/>
        <v>81</v>
      </c>
      <c r="AB85" s="55">
        <f t="shared" si="75"/>
        <v>117</v>
      </c>
      <c r="AC85" s="54" t="s">
        <v>40</v>
      </c>
      <c r="AD85" s="55" t="s">
        <v>41</v>
      </c>
      <c r="AE85" s="55" t="s">
        <v>42</v>
      </c>
      <c r="AF85" s="55" t="s">
        <v>43</v>
      </c>
      <c r="AG85" s="54" t="s">
        <v>44</v>
      </c>
    </row>
    <row r="86" spans="1:33" ht="15" x14ac:dyDescent="0.2">
      <c r="A86" s="48">
        <v>747.1</v>
      </c>
      <c r="B86" s="50">
        <f t="shared" si="43"/>
        <v>3</v>
      </c>
      <c r="C86" s="67" t="s">
        <v>375</v>
      </c>
      <c r="D86" s="51" t="str">
        <f t="shared" si="44"/>
        <v xml:space="preserve">                  Annualized Transportation Costs</v>
      </c>
      <c r="E86" s="51"/>
      <c r="F86" s="51"/>
      <c r="G86" s="52"/>
      <c r="H86" s="51"/>
      <c r="I86" s="51"/>
      <c r="J86" s="139"/>
      <c r="K86" s="57"/>
      <c r="L86" s="61"/>
      <c r="M86" s="68"/>
      <c r="N86" s="61"/>
      <c r="O86" s="61"/>
      <c r="P86" s="59"/>
      <c r="Q86" s="59"/>
      <c r="R86" s="61"/>
      <c r="S86" s="68"/>
      <c r="T86" s="69"/>
      <c r="U86" s="140"/>
      <c r="V86" s="61"/>
      <c r="W86" s="54" t="s">
        <v>39</v>
      </c>
      <c r="X86" s="62">
        <f t="shared" ref="X86" si="76">0.8*$I86</f>
        <v>0</v>
      </c>
      <c r="Y86" s="62">
        <f t="shared" ref="Y86" si="77">2*J86</f>
        <v>0</v>
      </c>
      <c r="Z86" s="54"/>
      <c r="AA86" s="55">
        <f t="shared" ref="AA86" si="78">0.8*K86</f>
        <v>0</v>
      </c>
      <c r="AB86" s="55">
        <f t="shared" ref="AB86" si="79">2*K86</f>
        <v>0</v>
      </c>
      <c r="AC86" s="54"/>
      <c r="AD86" s="55"/>
      <c r="AE86" s="55"/>
      <c r="AF86" s="55"/>
      <c r="AG86" s="54"/>
    </row>
    <row r="87" spans="1:33" ht="15" x14ac:dyDescent="0.2">
      <c r="A87" s="48">
        <v>747.2</v>
      </c>
      <c r="B87" s="50">
        <f t="shared" si="43"/>
        <v>3</v>
      </c>
      <c r="C87" s="67" t="s">
        <v>466</v>
      </c>
      <c r="D87" s="51" t="str">
        <f t="shared" si="44"/>
        <v xml:space="preserve">                  Annualized Cask Replacements</v>
      </c>
      <c r="E87" s="51"/>
      <c r="F87" s="51"/>
      <c r="G87" s="52"/>
      <c r="H87" s="51"/>
      <c r="I87" s="51"/>
      <c r="J87" s="78"/>
      <c r="K87" s="57"/>
      <c r="L87" s="61"/>
      <c r="M87" s="68"/>
      <c r="N87" s="61"/>
      <c r="O87" s="61"/>
      <c r="P87" s="59"/>
      <c r="Q87" s="59"/>
      <c r="R87" s="61"/>
      <c r="S87" s="68"/>
      <c r="T87" s="69"/>
      <c r="U87" s="140"/>
      <c r="V87" s="61"/>
      <c r="W87" s="54"/>
      <c r="X87" s="62"/>
      <c r="Y87" s="62"/>
      <c r="Z87" s="54"/>
      <c r="AA87" s="55"/>
      <c r="AB87" s="55"/>
      <c r="AC87" s="54"/>
      <c r="AD87" s="55"/>
      <c r="AE87" s="55"/>
      <c r="AF87" s="55"/>
      <c r="AG87" s="54"/>
    </row>
    <row r="88" spans="1:33" ht="43" x14ac:dyDescent="0.2">
      <c r="A88" s="48">
        <v>747.21</v>
      </c>
      <c r="B88" s="50">
        <f t="shared" si="43"/>
        <v>4</v>
      </c>
      <c r="C88" s="67" t="s">
        <v>467</v>
      </c>
      <c r="D88" s="51" t="str">
        <f t="shared" si="44"/>
        <v xml:space="preserve">                        Used Fuel Cask</v>
      </c>
      <c r="E88" s="51" t="s">
        <v>33</v>
      </c>
      <c r="F88" s="51" t="s">
        <v>468</v>
      </c>
      <c r="G88" s="52">
        <v>1</v>
      </c>
      <c r="H88" s="51"/>
      <c r="I88" s="51"/>
      <c r="J88" s="78">
        <v>1159000</v>
      </c>
      <c r="K88" s="57"/>
      <c r="L88" s="61"/>
      <c r="M88" s="68"/>
      <c r="N88" s="61"/>
      <c r="O88" s="61"/>
      <c r="P88" s="59"/>
      <c r="Q88" s="59">
        <v>2023</v>
      </c>
      <c r="R88" s="61" t="s">
        <v>76</v>
      </c>
      <c r="S88" s="68" t="s">
        <v>469</v>
      </c>
      <c r="T88" s="69"/>
      <c r="U88" s="140"/>
      <c r="V88" s="61" t="s">
        <v>470</v>
      </c>
      <c r="W88" s="54" t="s">
        <v>39</v>
      </c>
      <c r="X88" s="62">
        <v>1008000</v>
      </c>
      <c r="Y88" s="62">
        <v>1310000</v>
      </c>
      <c r="Z88" s="54" t="s">
        <v>40</v>
      </c>
      <c r="AA88" s="55">
        <f t="shared" ref="AA88:AA90" si="80">0.8*K88</f>
        <v>0</v>
      </c>
      <c r="AB88" s="55">
        <f t="shared" ref="AB88:AB90" si="81">2*K88</f>
        <v>0</v>
      </c>
      <c r="AC88" s="54" t="s">
        <v>40</v>
      </c>
      <c r="AD88" s="55" t="s">
        <v>41</v>
      </c>
      <c r="AE88" s="55" t="s">
        <v>42</v>
      </c>
      <c r="AF88" s="55" t="s">
        <v>43</v>
      </c>
      <c r="AG88" s="54" t="s">
        <v>44</v>
      </c>
    </row>
    <row r="89" spans="1:33" ht="29" x14ac:dyDescent="0.2">
      <c r="A89" s="48">
        <v>747.22</v>
      </c>
      <c r="B89" s="50">
        <f t="shared" si="43"/>
        <v>4</v>
      </c>
      <c r="C89" s="67" t="s">
        <v>471</v>
      </c>
      <c r="D89" s="51" t="str">
        <f t="shared" si="44"/>
        <v xml:space="preserve">                        Reactor Transport Cask</v>
      </c>
      <c r="E89" s="51" t="s">
        <v>33</v>
      </c>
      <c r="F89" s="51" t="s">
        <v>472</v>
      </c>
      <c r="G89" s="52">
        <v>1</v>
      </c>
      <c r="H89" s="51"/>
      <c r="I89" s="51"/>
      <c r="J89" s="78">
        <f>J43</f>
        <v>10000000</v>
      </c>
      <c r="K89" s="57"/>
      <c r="L89" s="61"/>
      <c r="M89" s="68"/>
      <c r="N89" s="61"/>
      <c r="O89" s="61"/>
      <c r="P89" s="59"/>
      <c r="Q89" s="59">
        <f t="shared" ref="Q89:AG89" si="82">Q43</f>
        <v>2024</v>
      </c>
      <c r="R89" s="59" t="str">
        <f t="shared" si="82"/>
        <v>Lab and Mat and Equip</v>
      </c>
      <c r="S89" s="59" t="str">
        <f t="shared" si="82"/>
        <v>assumption</v>
      </c>
      <c r="T89" s="59">
        <f t="shared" si="82"/>
        <v>0</v>
      </c>
      <c r="U89" s="59">
        <f t="shared" si="82"/>
        <v>0</v>
      </c>
      <c r="V89" s="59">
        <f t="shared" si="82"/>
        <v>0</v>
      </c>
      <c r="W89" s="59" t="str">
        <f t="shared" si="82"/>
        <v>No Learning</v>
      </c>
      <c r="X89" s="59">
        <f t="shared" si="82"/>
        <v>0</v>
      </c>
      <c r="Y89" s="59">
        <f t="shared" si="82"/>
        <v>15000000</v>
      </c>
      <c r="Z89" s="59" t="str">
        <f t="shared" si="82"/>
        <v>Lognormal</v>
      </c>
      <c r="AA89" s="59">
        <f t="shared" si="82"/>
        <v>0</v>
      </c>
      <c r="AB89" s="59">
        <f t="shared" si="82"/>
        <v>0</v>
      </c>
      <c r="AC89" s="59" t="str">
        <f t="shared" si="82"/>
        <v>Lognormal</v>
      </c>
      <c r="AD89" s="59" t="str">
        <f t="shared" si="82"/>
        <v>0.1</v>
      </c>
      <c r="AE89" s="59" t="str">
        <f t="shared" si="82"/>
        <v>1</v>
      </c>
      <c r="AF89" s="59" t="str">
        <f t="shared" si="82"/>
        <v>0</v>
      </c>
      <c r="AG89" s="59" t="str">
        <f t="shared" si="82"/>
        <v>Truncated Normal</v>
      </c>
    </row>
    <row r="90" spans="1:33" ht="43" x14ac:dyDescent="0.2">
      <c r="A90" s="48">
        <v>747.23</v>
      </c>
      <c r="B90" s="50">
        <f t="shared" si="43"/>
        <v>4</v>
      </c>
      <c r="C90" s="67" t="s">
        <v>473</v>
      </c>
      <c r="D90" s="51" t="str">
        <f t="shared" si="44"/>
        <v xml:space="preserve">                        Radwaste Storage Cask</v>
      </c>
      <c r="E90" s="51" t="s">
        <v>33</v>
      </c>
      <c r="F90" s="51" t="s">
        <v>474</v>
      </c>
      <c r="G90" s="52">
        <v>1</v>
      </c>
      <c r="H90" s="51"/>
      <c r="I90" s="51"/>
      <c r="J90" s="78">
        <v>1159000</v>
      </c>
      <c r="K90" s="57"/>
      <c r="L90" s="61"/>
      <c r="M90" s="68"/>
      <c r="N90" s="61"/>
      <c r="O90" s="61"/>
      <c r="P90" s="59"/>
      <c r="Q90" s="59">
        <v>2023</v>
      </c>
      <c r="R90" s="61" t="s">
        <v>76</v>
      </c>
      <c r="S90" s="68" t="s">
        <v>469</v>
      </c>
      <c r="T90" s="69"/>
      <c r="U90" s="140"/>
      <c r="V90" s="61" t="s">
        <v>470</v>
      </c>
      <c r="W90" s="54" t="s">
        <v>39</v>
      </c>
      <c r="X90" s="62">
        <v>1008000</v>
      </c>
      <c r="Y90" s="62">
        <v>1310000</v>
      </c>
      <c r="Z90" s="54" t="s">
        <v>40</v>
      </c>
      <c r="AA90" s="55">
        <f t="shared" si="80"/>
        <v>0</v>
      </c>
      <c r="AB90" s="55">
        <f t="shared" si="81"/>
        <v>0</v>
      </c>
      <c r="AC90" s="54" t="s">
        <v>40</v>
      </c>
      <c r="AD90" s="55" t="s">
        <v>41</v>
      </c>
      <c r="AE90" s="55" t="s">
        <v>42</v>
      </c>
      <c r="AF90" s="55" t="s">
        <v>43</v>
      </c>
      <c r="AG90" s="54" t="s">
        <v>44</v>
      </c>
    </row>
    <row r="91" spans="1:33" ht="57" x14ac:dyDescent="0.2">
      <c r="A91" s="48">
        <v>747.3</v>
      </c>
      <c r="B91" s="50">
        <f t="shared" si="43"/>
        <v>3</v>
      </c>
      <c r="C91" s="67" t="s">
        <v>376</v>
      </c>
      <c r="D91" s="51" t="str">
        <f t="shared" si="44"/>
        <v xml:space="preserve">                  Annualized Helium Replenishment</v>
      </c>
      <c r="E91" s="51" t="s">
        <v>33</v>
      </c>
      <c r="F91" s="147" t="s">
        <v>287</v>
      </c>
      <c r="G91" s="52">
        <v>1</v>
      </c>
      <c r="H91" s="51"/>
      <c r="I91" s="51"/>
      <c r="J91" s="78"/>
      <c r="K91" s="57">
        <v>170</v>
      </c>
      <c r="L91" s="61" t="s">
        <v>80</v>
      </c>
      <c r="M91" s="68" t="s">
        <v>475</v>
      </c>
      <c r="N91" s="61"/>
      <c r="O91" s="61" t="s">
        <v>81</v>
      </c>
      <c r="P91" s="59"/>
      <c r="Q91" s="59">
        <v>2024</v>
      </c>
      <c r="R91" s="61" t="s">
        <v>76</v>
      </c>
      <c r="S91" s="68" t="s">
        <v>99</v>
      </c>
      <c r="T91" s="69" t="s">
        <v>99</v>
      </c>
      <c r="U91" s="140" t="s">
        <v>100</v>
      </c>
      <c r="V91" s="61" t="s">
        <v>101</v>
      </c>
      <c r="W91" s="54" t="s">
        <v>39</v>
      </c>
      <c r="X91" s="62">
        <v>0</v>
      </c>
      <c r="Y91" s="62">
        <v>0</v>
      </c>
      <c r="Z91" s="54" t="s">
        <v>40</v>
      </c>
      <c r="AA91" s="55">
        <f>0.9*K91</f>
        <v>153</v>
      </c>
      <c r="AB91" s="55">
        <f>1.3*K91</f>
        <v>221</v>
      </c>
      <c r="AC91" s="54" t="s">
        <v>40</v>
      </c>
      <c r="AD91" s="55" t="s">
        <v>41</v>
      </c>
      <c r="AE91" s="55" t="s">
        <v>42</v>
      </c>
      <c r="AF91" s="55" t="s">
        <v>43</v>
      </c>
      <c r="AG91" s="54" t="s">
        <v>44</v>
      </c>
    </row>
    <row r="92" spans="1:33" ht="15" x14ac:dyDescent="0.2">
      <c r="A92" s="48">
        <v>747.4</v>
      </c>
      <c r="B92" s="50">
        <f t="shared" si="43"/>
        <v>3</v>
      </c>
      <c r="C92" s="67" t="s">
        <v>378</v>
      </c>
      <c r="D92" s="51" t="str">
        <f t="shared" si="44"/>
        <v xml:space="preserve">                  Annualized Other Supplies and Utilities</v>
      </c>
      <c r="E92" s="51"/>
      <c r="F92" s="51"/>
      <c r="G92" s="52"/>
      <c r="H92" s="51"/>
      <c r="I92" s="51"/>
      <c r="J92" s="139"/>
      <c r="K92" s="57"/>
      <c r="L92" s="61"/>
      <c r="M92" s="68"/>
      <c r="N92" s="61"/>
      <c r="O92" s="61"/>
      <c r="P92" s="59"/>
      <c r="Q92" s="59"/>
      <c r="R92" s="61"/>
      <c r="S92" s="68"/>
      <c r="T92" s="69"/>
      <c r="U92" s="140"/>
      <c r="V92" s="61"/>
      <c r="W92" s="54"/>
      <c r="X92" s="62"/>
      <c r="Y92" s="62"/>
      <c r="Z92" s="54"/>
      <c r="AA92" s="55"/>
      <c r="AB92" s="55"/>
      <c r="AC92" s="54"/>
      <c r="AD92" s="55"/>
      <c r="AE92" s="55"/>
      <c r="AF92" s="55"/>
      <c r="AG92" s="54"/>
    </row>
    <row r="93" spans="1:33" ht="15" x14ac:dyDescent="0.2">
      <c r="A93" s="48">
        <v>747.5</v>
      </c>
      <c r="B93" s="50">
        <f t="shared" si="43"/>
        <v>3</v>
      </c>
      <c r="C93" s="67" t="s">
        <v>476</v>
      </c>
      <c r="D93" s="51" t="str">
        <f t="shared" si="44"/>
        <v xml:space="preserve">                  Servicing Vehicle O&amp;M</v>
      </c>
      <c r="E93" s="51"/>
      <c r="F93" s="51"/>
      <c r="G93" s="52"/>
      <c r="H93" s="51"/>
      <c r="I93" s="51"/>
      <c r="J93" s="139"/>
      <c r="K93" s="57"/>
      <c r="L93" s="61"/>
      <c r="M93" s="68"/>
      <c r="N93" s="61"/>
      <c r="O93" s="61"/>
      <c r="P93" s="59"/>
      <c r="Q93" s="59"/>
      <c r="R93" s="61"/>
      <c r="S93" s="68"/>
      <c r="T93" s="69"/>
      <c r="U93" s="140"/>
      <c r="V93" s="61"/>
      <c r="W93" s="54"/>
      <c r="X93" s="62"/>
      <c r="Y93" s="62"/>
      <c r="Z93" s="54"/>
      <c r="AA93" s="55"/>
      <c r="AB93" s="55"/>
      <c r="AC93" s="54"/>
      <c r="AD93" s="55"/>
      <c r="AE93" s="55"/>
      <c r="AF93" s="55"/>
      <c r="AG93" s="54"/>
    </row>
    <row r="94" spans="1:33" ht="29" x14ac:dyDescent="0.2">
      <c r="A94" s="48">
        <v>747.51</v>
      </c>
      <c r="B94" s="50">
        <f t="shared" si="43"/>
        <v>4</v>
      </c>
      <c r="C94" s="126" t="s">
        <v>477</v>
      </c>
      <c r="D94" s="51" t="str">
        <f t="shared" si="44"/>
        <v xml:space="preserve">                        Reactor Transport Vehicles O&amp;M</v>
      </c>
      <c r="E94" s="51" t="s">
        <v>33</v>
      </c>
      <c r="F94" s="51" t="s">
        <v>443</v>
      </c>
      <c r="G94" s="52">
        <v>1</v>
      </c>
      <c r="H94" s="51"/>
      <c r="I94" s="51"/>
      <c r="J94" s="139">
        <f>36*200000+1000000</f>
        <v>8200000</v>
      </c>
      <c r="K94" s="57"/>
      <c r="L94" s="61"/>
      <c r="M94" s="68"/>
      <c r="N94" s="61"/>
      <c r="O94" s="61"/>
      <c r="P94" s="59"/>
      <c r="Q94" s="59">
        <v>2024</v>
      </c>
      <c r="R94" s="61" t="s">
        <v>64</v>
      </c>
      <c r="S94" s="68"/>
      <c r="T94" s="69"/>
      <c r="U94" s="140"/>
      <c r="V94" s="61"/>
      <c r="W94" s="54" t="s">
        <v>39</v>
      </c>
      <c r="X94" s="62">
        <f t="shared" ref="X94:X97" si="83">0.9*$J94</f>
        <v>7380000</v>
      </c>
      <c r="Y94" s="62">
        <f t="shared" ref="Y94:Y97" si="84">1.5*J94</f>
        <v>12300000</v>
      </c>
      <c r="Z94" s="54" t="s">
        <v>40</v>
      </c>
      <c r="AA94" s="55">
        <f t="shared" ref="AA94:AA97" si="85">0.9*K94</f>
        <v>0</v>
      </c>
      <c r="AB94" s="55">
        <f t="shared" ref="AB94:AB97" si="86">1.3*K94</f>
        <v>0</v>
      </c>
      <c r="AC94" s="54" t="s">
        <v>40</v>
      </c>
      <c r="AD94" s="55" t="s">
        <v>41</v>
      </c>
      <c r="AE94" s="55" t="s">
        <v>42</v>
      </c>
      <c r="AF94" s="55" t="s">
        <v>43</v>
      </c>
      <c r="AG94" s="54" t="s">
        <v>44</v>
      </c>
    </row>
    <row r="95" spans="1:33" ht="29" x14ac:dyDescent="0.2">
      <c r="A95" s="48">
        <v>747.52</v>
      </c>
      <c r="B95" s="50">
        <f t="shared" si="43"/>
        <v>4</v>
      </c>
      <c r="C95" s="126" t="s">
        <v>478</v>
      </c>
      <c r="D95" s="51" t="str">
        <f t="shared" si="44"/>
        <v xml:space="preserve">                        Helium Transport Trucks O&amp;M</v>
      </c>
      <c r="E95" s="51" t="s">
        <v>33</v>
      </c>
      <c r="F95" s="51" t="s">
        <v>445</v>
      </c>
      <c r="G95" s="52">
        <v>1</v>
      </c>
      <c r="H95" s="51"/>
      <c r="I95" s="51"/>
      <c r="J95" s="139">
        <f>4*200000+500000</f>
        <v>1300000</v>
      </c>
      <c r="K95" s="57"/>
      <c r="L95" s="61"/>
      <c r="M95" s="68"/>
      <c r="N95" s="61"/>
      <c r="O95" s="61"/>
      <c r="P95" s="59"/>
      <c r="Q95" s="59">
        <v>2024</v>
      </c>
      <c r="R95" s="61" t="s">
        <v>64</v>
      </c>
      <c r="S95" s="68"/>
      <c r="T95" s="69"/>
      <c r="U95" s="140"/>
      <c r="V95" s="61"/>
      <c r="W95" s="54" t="s">
        <v>39</v>
      </c>
      <c r="X95" s="62">
        <f t="shared" si="83"/>
        <v>1170000</v>
      </c>
      <c r="Y95" s="62">
        <f t="shared" si="84"/>
        <v>1950000</v>
      </c>
      <c r="Z95" s="54" t="s">
        <v>40</v>
      </c>
      <c r="AA95" s="55">
        <f t="shared" si="85"/>
        <v>0</v>
      </c>
      <c r="AB95" s="55">
        <f t="shared" si="86"/>
        <v>0</v>
      </c>
      <c r="AC95" s="54" t="s">
        <v>40</v>
      </c>
      <c r="AD95" s="55" t="s">
        <v>41</v>
      </c>
      <c r="AE95" s="55" t="s">
        <v>42</v>
      </c>
      <c r="AF95" s="55" t="s">
        <v>43</v>
      </c>
      <c r="AG95" s="54" t="s">
        <v>44</v>
      </c>
    </row>
    <row r="96" spans="1:33" ht="29" x14ac:dyDescent="0.2">
      <c r="A96" s="48">
        <v>747.53</v>
      </c>
      <c r="B96" s="50">
        <f t="shared" si="43"/>
        <v>4</v>
      </c>
      <c r="C96" s="126" t="s">
        <v>479</v>
      </c>
      <c r="D96" s="51" t="str">
        <f t="shared" si="44"/>
        <v xml:space="preserve">                        Water Tanker Trucks O&amp;M</v>
      </c>
      <c r="E96" s="51" t="s">
        <v>33</v>
      </c>
      <c r="F96" s="51" t="s">
        <v>447</v>
      </c>
      <c r="G96" s="52">
        <v>1</v>
      </c>
      <c r="H96" s="51"/>
      <c r="I96" s="51"/>
      <c r="J96" s="139">
        <f>4*200000+400000</f>
        <v>1200000</v>
      </c>
      <c r="K96" s="57"/>
      <c r="L96" s="61"/>
      <c r="M96" s="68"/>
      <c r="N96" s="61"/>
      <c r="O96" s="61"/>
      <c r="P96" s="59"/>
      <c r="Q96" s="59">
        <v>2024</v>
      </c>
      <c r="R96" s="61" t="s">
        <v>64</v>
      </c>
      <c r="S96" s="68"/>
      <c r="T96" s="69"/>
      <c r="U96" s="140"/>
      <c r="V96" s="61"/>
      <c r="W96" s="54" t="s">
        <v>39</v>
      </c>
      <c r="X96" s="62">
        <f t="shared" si="83"/>
        <v>1080000</v>
      </c>
      <c r="Y96" s="62">
        <f t="shared" si="84"/>
        <v>1800000</v>
      </c>
      <c r="Z96" s="54" t="s">
        <v>40</v>
      </c>
      <c r="AA96" s="55">
        <f t="shared" si="85"/>
        <v>0</v>
      </c>
      <c r="AB96" s="55">
        <f t="shared" si="86"/>
        <v>0</v>
      </c>
      <c r="AC96" s="54" t="s">
        <v>40</v>
      </c>
      <c r="AD96" s="55" t="s">
        <v>41</v>
      </c>
      <c r="AE96" s="55" t="s">
        <v>42</v>
      </c>
      <c r="AF96" s="55" t="s">
        <v>43</v>
      </c>
      <c r="AG96" s="54" t="s">
        <v>44</v>
      </c>
    </row>
    <row r="97" spans="1:33" ht="29" x14ac:dyDescent="0.2">
      <c r="A97" s="48">
        <v>747.54</v>
      </c>
      <c r="B97" s="50">
        <f t="shared" si="43"/>
        <v>4</v>
      </c>
      <c r="C97" s="126" t="s">
        <v>480</v>
      </c>
      <c r="D97" s="51" t="str">
        <f t="shared" si="44"/>
        <v xml:space="preserve">                        Maintenance Trucks O&amp;M</v>
      </c>
      <c r="E97" s="51" t="s">
        <v>33</v>
      </c>
      <c r="F97" s="51" t="s">
        <v>449</v>
      </c>
      <c r="G97" s="52">
        <v>1</v>
      </c>
      <c r="H97" s="51"/>
      <c r="I97" s="51"/>
      <c r="J97" s="139">
        <f>10*2*200000+1000000</f>
        <v>5000000</v>
      </c>
      <c r="K97" s="57"/>
      <c r="L97" s="61"/>
      <c r="M97" s="68"/>
      <c r="N97" s="61"/>
      <c r="O97" s="61"/>
      <c r="P97" s="59"/>
      <c r="Q97" s="59">
        <v>2024</v>
      </c>
      <c r="R97" s="61" t="s">
        <v>64</v>
      </c>
      <c r="S97" s="68"/>
      <c r="T97" s="69"/>
      <c r="U97" s="140"/>
      <c r="V97" s="61"/>
      <c r="W97" s="54" t="s">
        <v>39</v>
      </c>
      <c r="X97" s="62">
        <f t="shared" si="83"/>
        <v>4500000</v>
      </c>
      <c r="Y97" s="62">
        <f t="shared" si="84"/>
        <v>7500000</v>
      </c>
      <c r="Z97" s="54" t="s">
        <v>40</v>
      </c>
      <c r="AA97" s="55">
        <f t="shared" si="85"/>
        <v>0</v>
      </c>
      <c r="AB97" s="55">
        <f t="shared" si="86"/>
        <v>0</v>
      </c>
      <c r="AC97" s="54" t="s">
        <v>40</v>
      </c>
      <c r="AD97" s="55" t="s">
        <v>41</v>
      </c>
      <c r="AE97" s="55" t="s">
        <v>42</v>
      </c>
      <c r="AF97" s="55" t="s">
        <v>43</v>
      </c>
      <c r="AG97" s="54" t="s">
        <v>44</v>
      </c>
    </row>
    <row r="98" spans="1:33" ht="15" x14ac:dyDescent="0.2">
      <c r="A98" s="48">
        <v>75</v>
      </c>
      <c r="B98" s="50">
        <f t="shared" si="43"/>
        <v>1</v>
      </c>
      <c r="C98" s="67" t="s">
        <v>134</v>
      </c>
      <c r="D98" s="51" t="str">
        <f t="shared" si="44"/>
        <v xml:space="preserve">      Capital Plant Expenditures</v>
      </c>
      <c r="E98" s="51"/>
      <c r="F98" s="51"/>
      <c r="G98" s="71"/>
      <c r="H98" s="72"/>
      <c r="I98" s="72"/>
      <c r="J98" s="150"/>
      <c r="K98" s="73"/>
      <c r="L98" s="74"/>
      <c r="M98" s="74"/>
      <c r="N98" s="74"/>
      <c r="O98" s="74"/>
      <c r="P98" s="73"/>
      <c r="Q98" s="74"/>
      <c r="R98" s="74"/>
      <c r="S98" s="74"/>
      <c r="T98" s="74"/>
      <c r="U98" s="74"/>
      <c r="V98" s="74"/>
      <c r="W98" s="74"/>
      <c r="X98" s="73"/>
      <c r="Y98" s="73"/>
      <c r="Z98" s="74"/>
      <c r="AA98" s="73"/>
      <c r="AB98" s="73"/>
      <c r="AC98" s="74"/>
      <c r="AD98" s="73"/>
      <c r="AE98" s="73"/>
      <c r="AF98" s="73"/>
      <c r="AG98" s="74"/>
    </row>
    <row r="99" spans="1:33" ht="15" x14ac:dyDescent="0.2">
      <c r="A99" s="48">
        <v>78</v>
      </c>
      <c r="B99" s="50">
        <f t="shared" si="43"/>
        <v>1</v>
      </c>
      <c r="C99" s="67" t="s">
        <v>135</v>
      </c>
      <c r="D99" s="51" t="str">
        <f t="shared" si="44"/>
        <v xml:space="preserve">      Annualized Decommissioning Cost</v>
      </c>
      <c r="E99" s="51"/>
      <c r="F99" s="51"/>
      <c r="G99" s="71"/>
      <c r="H99" s="72"/>
      <c r="I99" s="72"/>
      <c r="J99" s="150"/>
      <c r="K99" s="73"/>
      <c r="L99" s="74"/>
      <c r="M99" s="74"/>
      <c r="N99" s="74"/>
      <c r="O99" s="74"/>
      <c r="P99" s="73"/>
      <c r="Q99" s="74"/>
      <c r="R99" s="74"/>
      <c r="S99" s="74"/>
      <c r="T99" s="74"/>
      <c r="U99" s="74"/>
      <c r="V99" s="74"/>
      <c r="W99" s="74"/>
      <c r="X99" s="73"/>
      <c r="Y99" s="73"/>
      <c r="Z99" s="74"/>
      <c r="AA99" s="73"/>
      <c r="AB99" s="73"/>
      <c r="AC99" s="74"/>
      <c r="AD99" s="73"/>
      <c r="AE99" s="73"/>
      <c r="AF99" s="73"/>
      <c r="AG99" s="74"/>
    </row>
  </sheetData>
  <mergeCells count="7">
    <mergeCell ref="T3:T4"/>
    <mergeCell ref="U3:U4"/>
    <mergeCell ref="T5:T6"/>
    <mergeCell ref="U5:U6"/>
    <mergeCell ref="S11:S12"/>
    <mergeCell ref="T11:T12"/>
    <mergeCell ref="U11:U12"/>
  </mergeCells>
  <conditionalFormatting sqref="A13:S13">
    <cfRule type="expression" dxfId="59" priority="27">
      <formula>$B13&lt;2</formula>
    </cfRule>
    <cfRule type="expression" dxfId="58" priority="28">
      <formula>$B13=2</formula>
    </cfRule>
    <cfRule type="expression" dxfId="57" priority="29">
      <formula>$B13=3</formula>
    </cfRule>
  </conditionalFormatting>
  <conditionalFormatting sqref="A24:S25">
    <cfRule type="expression" dxfId="56" priority="30">
      <formula>$B24&lt;2</formula>
    </cfRule>
  </conditionalFormatting>
  <conditionalFormatting sqref="A33:S34 A36:S36 A45:K45 A47:S49">
    <cfRule type="expression" dxfId="55" priority="33">
      <formula>$B33&lt;2</formula>
    </cfRule>
    <cfRule type="expression" dxfId="54" priority="35">
      <formula>$B33=3</formula>
    </cfRule>
    <cfRule type="expression" dxfId="53" priority="34">
      <formula>$B33=2</formula>
    </cfRule>
  </conditionalFormatting>
  <conditionalFormatting sqref="A2:AG12 A14:AG14 A15:R17 A18:AG23 A26:AG32 A35:AG35 A37:AG44 A46:AG46 A50:AG73 A75:J80 A81:AG99 T13:AG13 T15:AG17 T24:AG25 T33:AG34 T36:AG36 L45:AG45 T47:AG49 U75:AG80 A74:K74 N74:AG74">
    <cfRule type="expression" dxfId="52" priority="63">
      <formula>$B2&lt;2</formula>
    </cfRule>
  </conditionalFormatting>
  <conditionalFormatting sqref="A2:AG12 T13:AG13 A14:AG14 A15:R17 T15:AG17 A18:AG23 T24:AG25 A26:AG32 T33:AG34 A35:AG35 T36:AG36 A37:AG44 L45:AG45 A46:AG46 T47:AG49 A50:AG62 A63:R65 T63:AG65 A66:AG73 A75:J80 U75:AG80 A81:AG99 A24:R25 N75:O80 A74:K74 N74:AG74">
    <cfRule type="expression" dxfId="51" priority="64">
      <formula>$B2=2</formula>
    </cfRule>
  </conditionalFormatting>
  <conditionalFormatting sqref="A2:AG12 T13:AG13 A14:AG14 A15:R17 T15:AG17 A18:AG32 T33:AG34 A35:AG35 T36:AG36 A37:AG44 L45:AG45 A46:AG46 T47:AG49 A50:AG62 A63:R65 T63:AG65 A66:AG73 A75:J80 N75:O80 U75:AG80 A81:AG99 A74:K74 N74:AG74">
    <cfRule type="expression" dxfId="50" priority="65">
      <formula>$B2=3</formula>
    </cfRule>
  </conditionalFormatting>
  <conditionalFormatting sqref="A2:AG99">
    <cfRule type="expression" dxfId="49" priority="22">
      <formula>$B2=0</formula>
    </cfRule>
  </conditionalFormatting>
  <conditionalFormatting sqref="C94:C97">
    <cfRule type="expression" dxfId="48" priority="17">
      <formula>$B94=0</formula>
    </cfRule>
  </conditionalFormatting>
  <conditionalFormatting sqref="F94:F97">
    <cfRule type="expression" dxfId="47" priority="16">
      <formula>$B94=0</formula>
    </cfRule>
  </conditionalFormatting>
  <conditionalFormatting sqref="J79:J80">
    <cfRule type="expression" dxfId="46" priority="39">
      <formula>$B79=0</formula>
    </cfRule>
    <cfRule type="expression" dxfId="45" priority="38">
      <formula>_xlfn.ISFORMULA(J79)</formula>
    </cfRule>
  </conditionalFormatting>
  <conditionalFormatting sqref="J2:K74 J75:J80 J81:K99">
    <cfRule type="expression" dxfId="44" priority="62">
      <formula>AND(ISBLANK($J2),ISBLANK($K2),NOT(ISBLANK($E2)))</formula>
    </cfRule>
  </conditionalFormatting>
  <conditionalFormatting sqref="F91 J1:Q1048576">
    <cfRule type="expression" dxfId="43" priority="36">
      <formula>_xlfn.ISFORMULA(F1)</formula>
    </cfRule>
  </conditionalFormatting>
  <conditionalFormatting sqref="K75:L76">
    <cfRule type="expression" dxfId="42" priority="50">
      <formula>$B76=0</formula>
    </cfRule>
    <cfRule type="expression" dxfId="41" priority="49">
      <formula>$B76&lt;2</formula>
    </cfRule>
    <cfRule type="expression" dxfId="40" priority="48">
      <formula>$B76=2</formula>
    </cfRule>
    <cfRule type="expression" dxfId="39" priority="47">
      <formula>$B76=3</formula>
    </cfRule>
  </conditionalFormatting>
  <conditionalFormatting sqref="K77:L80">
    <cfRule type="expression" dxfId="38" priority="55">
      <formula>$B77=3</formula>
    </cfRule>
    <cfRule type="expression" dxfId="37" priority="57">
      <formula>$B77&lt;2</formula>
    </cfRule>
    <cfRule type="expression" dxfId="36" priority="56">
      <formula>$B77=2</formula>
    </cfRule>
    <cfRule type="expression" dxfId="35" priority="45">
      <formula>$B77=0</formula>
    </cfRule>
  </conditionalFormatting>
  <conditionalFormatting sqref="K75:M80">
    <cfRule type="expression" dxfId="34" priority="51">
      <formula>$B75=3</formula>
    </cfRule>
    <cfRule type="expression" dxfId="33" priority="52">
      <formula>$B75=2</formula>
    </cfRule>
  </conditionalFormatting>
  <conditionalFormatting sqref="K75:O80">
    <cfRule type="expression" dxfId="32" priority="53">
      <formula>$B75&lt;2</formula>
    </cfRule>
  </conditionalFormatting>
  <conditionalFormatting sqref="M74:M75">
    <cfRule type="expression" dxfId="31" priority="21">
      <formula>$B74=3</formula>
    </cfRule>
    <cfRule type="expression" dxfId="30" priority="20">
      <formula>$B74=2</formula>
    </cfRule>
    <cfRule type="expression" dxfId="29" priority="19">
      <formula>$B74&lt;2</formula>
    </cfRule>
    <cfRule type="expression" dxfId="28" priority="18">
      <formula>_xlfn.ISFORMULA(M74)</formula>
    </cfRule>
  </conditionalFormatting>
  <conditionalFormatting sqref="P75:T80">
    <cfRule type="expression" dxfId="27" priority="41">
      <formula>$B75=3</formula>
    </cfRule>
    <cfRule type="expression" dxfId="26" priority="42">
      <formula>$B75=2</formula>
    </cfRule>
    <cfRule type="expression" dxfId="25" priority="43">
      <formula>$B75&lt;2</formula>
    </cfRule>
  </conditionalFormatting>
  <conditionalFormatting sqref="R89:AG89">
    <cfRule type="expression" dxfId="24" priority="58">
      <formula>_xlfn.ISFORMULA(R89)</formula>
    </cfRule>
  </conditionalFormatting>
  <conditionalFormatting sqref="S15:S17">
    <cfRule type="expression" dxfId="23" priority="25">
      <formula>$B15=3</formula>
    </cfRule>
    <cfRule type="expression" dxfId="22" priority="24">
      <formula>$B15=2</formula>
    </cfRule>
    <cfRule type="expression" dxfId="21" priority="23">
      <formula>$B15&lt;2</formula>
    </cfRule>
  </conditionalFormatting>
  <conditionalFormatting sqref="S24:S25">
    <cfRule type="expression" dxfId="20" priority="66">
      <formula>$B24=2</formula>
    </cfRule>
  </conditionalFormatting>
  <conditionalFormatting sqref="S63:S65">
    <cfRule type="expression" dxfId="19" priority="32">
      <formula>$B63=3</formula>
    </cfRule>
    <cfRule type="expression" dxfId="18" priority="31">
      <formula>$B63=2</formula>
    </cfRule>
  </conditionalFormatting>
  <conditionalFormatting sqref="W86">
    <cfRule type="expression" dxfId="17" priority="14">
      <formula>$B86=0</formula>
    </cfRule>
  </conditionalFormatting>
  <conditionalFormatting sqref="W88">
    <cfRule type="expression" dxfId="16" priority="13">
      <formula>$B88=0</formula>
    </cfRule>
  </conditionalFormatting>
  <conditionalFormatting sqref="W90">
    <cfRule type="expression" dxfId="15" priority="12">
      <formula>$B90=0</formula>
    </cfRule>
  </conditionalFormatting>
  <conditionalFormatting sqref="W82:AG85">
    <cfRule type="expression" dxfId="14" priority="15">
      <formula>$B82=0</formula>
    </cfRule>
  </conditionalFormatting>
  <conditionalFormatting sqref="W94:AG97">
    <cfRule type="expression" dxfId="13" priority="11">
      <formula>$B94=0</formula>
    </cfRule>
  </conditionalFormatting>
  <conditionalFormatting sqref="X2:Z99">
    <cfRule type="expression" dxfId="12" priority="61">
      <formula>AND(ISBLANK($X2),ISBLANK($Y2),ISBLANK($Z2),NOT(ISBLANK($E2)))</formula>
    </cfRule>
  </conditionalFormatting>
  <conditionalFormatting sqref="AA2:AC99">
    <cfRule type="expression" dxfId="11" priority="60">
      <formula>AND(ISBLANK($AA2),ISBLANK($AB2),ISBLANK($AC2),NOT(ISBLANK($E2)))</formula>
    </cfRule>
  </conditionalFormatting>
  <conditionalFormatting sqref="AD2:AG99">
    <cfRule type="expression" dxfId="10" priority="59">
      <formula>AND(ISBLANK($AD2),ISBLANK($AE2),ISBLANK($AF2),NOT(ISBLANK($E2)))</formula>
    </cfRule>
  </conditionalFormatting>
  <conditionalFormatting sqref="M74">
    <cfRule type="expression" dxfId="9" priority="8">
      <formula>$B74=3</formula>
    </cfRule>
    <cfRule type="expression" dxfId="8" priority="9">
      <formula>$B74=2</formula>
    </cfRule>
  </conditionalFormatting>
  <conditionalFormatting sqref="M74">
    <cfRule type="expression" dxfId="7" priority="10">
      <formula>$B74&lt;2</formula>
    </cfRule>
  </conditionalFormatting>
  <conditionalFormatting sqref="L74">
    <cfRule type="expression" dxfId="3" priority="1">
      <formula>$B75=3</formula>
    </cfRule>
    <cfRule type="expression" dxfId="4" priority="2">
      <formula>$B75=2</formula>
    </cfRule>
    <cfRule type="expression" dxfId="5" priority="3">
      <formula>$B75&lt;2</formula>
    </cfRule>
    <cfRule type="expression" dxfId="6" priority="4">
      <formula>$B75=0</formula>
    </cfRule>
  </conditionalFormatting>
  <conditionalFormatting sqref="L74">
    <cfRule type="expression" dxfId="2" priority="5">
      <formula>$B74=3</formula>
    </cfRule>
    <cfRule type="expression" dxfId="1" priority="6">
      <formula>$B74=2</formula>
    </cfRule>
  </conditionalFormatting>
  <conditionalFormatting sqref="L74">
    <cfRule type="expression" dxfId="0" priority="7">
      <formula>$B74&lt;2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3"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2026-09-16T02:21:20Z</dcterms:created>
  <dcterms:modified xsi:type="dcterms:W3CDTF">2026-09-16T02:21:53Z</dcterms:modified>
</cp:coreProperties>
</file>