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1E252B-9AA4-C546-BF6D-DCC57F1058D1}" xr6:coauthVersionLast="47" xr6:coauthVersionMax="47" xr10:uidLastSave="{00000000-0000-0000-0000-000000000000}"/>
  <bookViews>
    <workbookView xWindow="0" yWindow="660" windowWidth="30240" windowHeight="17300" activeTab="4"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 l="1"/>
  <c r="J5" i="1"/>
  <c r="X5" i="1"/>
  <c r="B99" i="8"/>
  <c r="D99" i="8" s="1"/>
  <c r="B98" i="8"/>
  <c r="D98" i="8" s="1"/>
  <c r="AB97" i="8"/>
  <c r="AA97" i="8"/>
  <c r="J97" i="8"/>
  <c r="Y97" i="8" s="1"/>
  <c r="B97" i="8"/>
  <c r="D97" i="8" s="1"/>
  <c r="AB96" i="8"/>
  <c r="AA96" i="8"/>
  <c r="X96" i="8"/>
  <c r="J96" i="8"/>
  <c r="Y96" i="8" s="1"/>
  <c r="B96" i="8"/>
  <c r="D96" i="8" s="1"/>
  <c r="AB95" i="8"/>
  <c r="AA95" i="8"/>
  <c r="Y95" i="8"/>
  <c r="J95" i="8"/>
  <c r="X95" i="8" s="1"/>
  <c r="B95" i="8"/>
  <c r="D95" i="8" s="1"/>
  <c r="AB94" i="8"/>
  <c r="AA94" i="8"/>
  <c r="Y94" i="8"/>
  <c r="X94" i="8"/>
  <c r="J94" i="8"/>
  <c r="D94" i="8"/>
  <c r="B94" i="8"/>
  <c r="B93" i="8"/>
  <c r="D93" i="8" s="1"/>
  <c r="D92" i="8"/>
  <c r="B92" i="8"/>
  <c r="AB91" i="8"/>
  <c r="AA91" i="8"/>
  <c r="D91" i="8"/>
  <c r="B91" i="8"/>
  <c r="AB90" i="8"/>
  <c r="AA90" i="8"/>
  <c r="B90" i="8"/>
  <c r="D90" i="8" s="1"/>
  <c r="AG89" i="8"/>
  <c r="AF89" i="8"/>
  <c r="AE89" i="8"/>
  <c r="AD89" i="8"/>
  <c r="AC89" i="8"/>
  <c r="Z89" i="8"/>
  <c r="W89" i="8"/>
  <c r="V89" i="8"/>
  <c r="U89" i="8"/>
  <c r="T89" i="8"/>
  <c r="S89" i="8"/>
  <c r="R89" i="8"/>
  <c r="Q89" i="8"/>
  <c r="J89" i="8"/>
  <c r="B89" i="8"/>
  <c r="D89" i="8" s="1"/>
  <c r="AB88" i="8"/>
  <c r="AA88" i="8"/>
  <c r="B88" i="8"/>
  <c r="D88" i="8" s="1"/>
  <c r="D87" i="8"/>
  <c r="B87" i="8"/>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D82" i="8"/>
  <c r="B82" i="8"/>
  <c r="B81" i="8"/>
  <c r="D81" i="8" s="1"/>
  <c r="AB80" i="8"/>
  <c r="AA80" i="8"/>
  <c r="Y80" i="8"/>
  <c r="X80" i="8"/>
  <c r="B80" i="8"/>
  <c r="D80" i="8" s="1"/>
  <c r="AB79" i="8"/>
  <c r="AA79" i="8"/>
  <c r="Y79" i="8"/>
  <c r="X79" i="8"/>
  <c r="B79" i="8"/>
  <c r="D79" i="8" s="1"/>
  <c r="AB78" i="8"/>
  <c r="AA78" i="8"/>
  <c r="Y78" i="8"/>
  <c r="X78" i="8"/>
  <c r="D78" i="8"/>
  <c r="B78" i="8"/>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D71" i="8"/>
  <c r="B71" i="8"/>
  <c r="B70" i="8"/>
  <c r="D70" i="8" s="1"/>
  <c r="AB69" i="8"/>
  <c r="AA69" i="8"/>
  <c r="Y69" i="8"/>
  <c r="X69" i="8"/>
  <c r="B69" i="8"/>
  <c r="D69" i="8" s="1"/>
  <c r="D68" i="8"/>
  <c r="B68" i="8"/>
  <c r="B67" i="8"/>
  <c r="D67" i="8" s="1"/>
  <c r="AB66" i="8"/>
  <c r="AA66" i="8"/>
  <c r="Y66" i="8"/>
  <c r="X66" i="8"/>
  <c r="D66" i="8"/>
  <c r="AB65" i="8"/>
  <c r="AA65" i="8"/>
  <c r="Y65" i="8"/>
  <c r="X65" i="8"/>
  <c r="D65" i="8"/>
  <c r="AB64" i="8"/>
  <c r="AA64" i="8"/>
  <c r="Y64" i="8"/>
  <c r="X64" i="8"/>
  <c r="D64" i="8"/>
  <c r="AB63" i="8"/>
  <c r="AA63" i="8"/>
  <c r="Y63" i="8"/>
  <c r="X63" i="8"/>
  <c r="D63" i="8"/>
  <c r="AA62" i="8"/>
  <c r="Y62" i="8"/>
  <c r="X62" i="8"/>
  <c r="K62" i="8"/>
  <c r="AB62" i="8" s="1"/>
  <c r="D62" i="8"/>
  <c r="D61" i="8"/>
  <c r="B61" i="8"/>
  <c r="AB60" i="8"/>
  <c r="AA60" i="8"/>
  <c r="Y60" i="8"/>
  <c r="X60" i="8"/>
  <c r="B60" i="8"/>
  <c r="D60" i="8" s="1"/>
  <c r="AB59" i="8"/>
  <c r="AA59" i="8"/>
  <c r="Y59" i="8"/>
  <c r="X59" i="8"/>
  <c r="B59" i="8"/>
  <c r="D59" i="8" s="1"/>
  <c r="B58" i="8"/>
  <c r="D58" i="8" s="1"/>
  <c r="AB57" i="8"/>
  <c r="AA57" i="8"/>
  <c r="Y57" i="8"/>
  <c r="X57" i="8"/>
  <c r="D57" i="8"/>
  <c r="B57" i="8"/>
  <c r="AB56" i="8"/>
  <c r="AA56" i="8"/>
  <c r="Y56" i="8"/>
  <c r="X56" i="8"/>
  <c r="B56" i="8"/>
  <c r="D56" i="8" s="1"/>
  <c r="AB55" i="8"/>
  <c r="AA55" i="8"/>
  <c r="Y55" i="8"/>
  <c r="X55" i="8"/>
  <c r="B55" i="8"/>
  <c r="D55" i="8" s="1"/>
  <c r="AB54" i="8"/>
  <c r="AA54" i="8"/>
  <c r="Y54" i="8"/>
  <c r="X54" i="8"/>
  <c r="B54" i="8"/>
  <c r="D54" i="8" s="1"/>
  <c r="D53" i="8"/>
  <c r="B53" i="8"/>
  <c r="AB52" i="8"/>
  <c r="AA52" i="8"/>
  <c r="Y52" i="8"/>
  <c r="X52" i="8"/>
  <c r="B52" i="8"/>
  <c r="D52" i="8" s="1"/>
  <c r="AB51" i="8"/>
  <c r="AA51" i="8"/>
  <c r="Y51" i="8"/>
  <c r="X51" i="8"/>
  <c r="B51" i="8"/>
  <c r="D51" i="8" s="1"/>
  <c r="B50" i="8"/>
  <c r="D50" i="8" s="1"/>
  <c r="Y49" i="8"/>
  <c r="X49" i="8"/>
  <c r="K49" i="8"/>
  <c r="AB49" i="8" s="1"/>
  <c r="D49" i="8"/>
  <c r="B49" i="8"/>
  <c r="Y48" i="8"/>
  <c r="X48" i="8"/>
  <c r="K48" i="8"/>
  <c r="AB48" i="8" s="1"/>
  <c r="B48" i="8"/>
  <c r="D48" i="8" s="1"/>
  <c r="AB47" i="8"/>
  <c r="AA47" i="8"/>
  <c r="Y47" i="8"/>
  <c r="X47" i="8"/>
  <c r="J47" i="8"/>
  <c r="B47" i="8"/>
  <c r="D47" i="8" s="1"/>
  <c r="AB46" i="8"/>
  <c r="AA46" i="8"/>
  <c r="Y46" i="8"/>
  <c r="X46" i="8"/>
  <c r="D46" i="8"/>
  <c r="B46" i="8"/>
  <c r="Y45" i="8"/>
  <c r="X45" i="8"/>
  <c r="K45" i="8"/>
  <c r="AB45" i="8" s="1"/>
  <c r="B45" i="8"/>
  <c r="D45" i="8" s="1"/>
  <c r="D44" i="8"/>
  <c r="B44" i="8"/>
  <c r="AB43" i="8"/>
  <c r="AB89" i="8" s="1"/>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s="1"/>
  <c r="D39" i="8"/>
  <c r="AB38" i="8"/>
  <c r="AA38" i="8"/>
  <c r="Y38" i="8"/>
  <c r="X38" i="8"/>
  <c r="D38" i="8"/>
  <c r="B37" i="8"/>
  <c r="D37" i="8" s="1"/>
  <c r="AB36" i="8"/>
  <c r="Y36" i="8"/>
  <c r="X36" i="8"/>
  <c r="K36" i="8"/>
  <c r="AA36" i="8" s="1"/>
  <c r="B36" i="8"/>
  <c r="D36" i="8" s="1"/>
  <c r="AB35" i="8"/>
  <c r="AA35" i="8"/>
  <c r="Y35" i="8"/>
  <c r="X35" i="8"/>
  <c r="B35" i="8"/>
  <c r="D35" i="8" s="1"/>
  <c r="AB34" i="8"/>
  <c r="AA34" i="8"/>
  <c r="Y34" i="8"/>
  <c r="X34" i="8"/>
  <c r="K34" i="8"/>
  <c r="B34" i="8"/>
  <c r="D34" i="8" s="1"/>
  <c r="AB33" i="8"/>
  <c r="Y33" i="8"/>
  <c r="X33" i="8"/>
  <c r="K33" i="8"/>
  <c r="AA33" i="8" s="1"/>
  <c r="D33" i="8"/>
  <c r="D32" i="8"/>
  <c r="B32" i="8"/>
  <c r="AB31" i="8"/>
  <c r="AA31" i="8"/>
  <c r="Y31" i="8"/>
  <c r="X31" i="8"/>
  <c r="B31" i="8"/>
  <c r="D31" i="8" s="1"/>
  <c r="D30" i="8"/>
  <c r="B30" i="8"/>
  <c r="Y29" i="8"/>
  <c r="X29" i="8"/>
  <c r="K29" i="8"/>
  <c r="AB29" i="8" s="1"/>
  <c r="B29" i="8"/>
  <c r="D29" i="8" s="1"/>
  <c r="AB28" i="8"/>
  <c r="AA28" i="8"/>
  <c r="Y28" i="8"/>
  <c r="X28" i="8"/>
  <c r="K28" i="8"/>
  <c r="B28" i="8"/>
  <c r="D28" i="8" s="1"/>
  <c r="AB27" i="8"/>
  <c r="Y27" i="8"/>
  <c r="X27" i="8"/>
  <c r="K27" i="8"/>
  <c r="AA27" i="8" s="1"/>
  <c r="B27" i="8"/>
  <c r="D27" i="8" s="1"/>
  <c r="B26" i="8"/>
  <c r="D26" i="8" s="1"/>
  <c r="AB25" i="8"/>
  <c r="Y25" i="8"/>
  <c r="X25" i="8"/>
  <c r="K25" i="8"/>
  <c r="AA25" i="8" s="1"/>
  <c r="D25" i="8"/>
  <c r="Y24" i="8"/>
  <c r="X24" i="8"/>
  <c r="K24" i="8"/>
  <c r="AB24" i="8" s="1"/>
  <c r="D24" i="8"/>
  <c r="B23" i="8"/>
  <c r="D23" i="8" s="1"/>
  <c r="AB22" i="8"/>
  <c r="AA22" i="8"/>
  <c r="Y22" i="8"/>
  <c r="X22" i="8"/>
  <c r="K22" i="8"/>
  <c r="B22" i="8"/>
  <c r="D22" i="8" s="1"/>
  <c r="B21" i="8"/>
  <c r="Y20" i="8"/>
  <c r="X20" i="8"/>
  <c r="N20" i="8"/>
  <c r="K20" i="8"/>
  <c r="AB20" i="8" s="1"/>
  <c r="B20" i="8"/>
  <c r="D20" i="8" s="1"/>
  <c r="D19" i="8"/>
  <c r="B19" i="8"/>
  <c r="B18" i="8"/>
  <c r="D18" i="8" s="1"/>
  <c r="AB17" i="8"/>
  <c r="AA17" i="8"/>
  <c r="Y17" i="8"/>
  <c r="X17" i="8"/>
  <c r="K17" i="8"/>
  <c r="B17" i="8"/>
  <c r="D17" i="8" s="1"/>
  <c r="AB16" i="8"/>
  <c r="Y16" i="8"/>
  <c r="X16" i="8"/>
  <c r="K16" i="8"/>
  <c r="AA16" i="8" s="1"/>
  <c r="B16" i="8"/>
  <c r="D16" i="8" s="1"/>
  <c r="AB15" i="8"/>
  <c r="AA15" i="8"/>
  <c r="Y15" i="8"/>
  <c r="X15" i="8"/>
  <c r="K15" i="8"/>
  <c r="B15" i="8"/>
  <c r="D15" i="8" s="1"/>
  <c r="D14" i="8"/>
  <c r="B14" i="8"/>
  <c r="Y13" i="8"/>
  <c r="X13" i="8"/>
  <c r="K13" i="8"/>
  <c r="AB13" i="8" s="1"/>
  <c r="B13" i="8"/>
  <c r="D13" i="8" s="1"/>
  <c r="AB12" i="8"/>
  <c r="AA12" i="8"/>
  <c r="Y12" i="8"/>
  <c r="X12" i="8"/>
  <c r="K12" i="8"/>
  <c r="B12" i="8"/>
  <c r="D12" i="8" s="1"/>
  <c r="AB11" i="8"/>
  <c r="Y11" i="8"/>
  <c r="X11" i="8"/>
  <c r="K11" i="8"/>
  <c r="AA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D35" i="7"/>
  <c r="B35" i="7"/>
  <c r="AB34" i="7"/>
  <c r="AA34" i="7"/>
  <c r="Y34" i="7"/>
  <c r="X34" i="7"/>
  <c r="D34" i="7"/>
  <c r="B34" i="7"/>
  <c r="B33" i="7"/>
  <c r="D33" i="7" s="1"/>
  <c r="AB32" i="7"/>
  <c r="AA32" i="7"/>
  <c r="Y32" i="7"/>
  <c r="X32" i="7"/>
  <c r="K32" i="7"/>
  <c r="B32" i="7"/>
  <c r="D32" i="7" s="1"/>
  <c r="AB31" i="7"/>
  <c r="Y31" i="7"/>
  <c r="X31" i="7"/>
  <c r="K31" i="7"/>
  <c r="AA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Y21" i="7"/>
  <c r="X21" i="7"/>
  <c r="K21" i="7"/>
  <c r="AB21" i="7" s="1"/>
  <c r="D21" i="7"/>
  <c r="B21" i="7"/>
  <c r="B20" i="7"/>
  <c r="D20" i="7" s="1"/>
  <c r="AB19" i="7"/>
  <c r="Y19" i="7"/>
  <c r="X19" i="7"/>
  <c r="K19" i="7"/>
  <c r="AA19" i="7" s="1"/>
  <c r="D19" i="7"/>
  <c r="D18" i="7"/>
  <c r="B18" i="7"/>
  <c r="B17" i="7"/>
  <c r="D17" i="7" s="1"/>
  <c r="AB16" i="7"/>
  <c r="Y16" i="7"/>
  <c r="X16" i="7"/>
  <c r="K16" i="7"/>
  <c r="AA16" i="7" s="1"/>
  <c r="B16" i="7"/>
  <c r="D16" i="7" s="1"/>
  <c r="AB15" i="7"/>
  <c r="AA15" i="7"/>
  <c r="Y15" i="7"/>
  <c r="X15" i="7"/>
  <c r="K15" i="7"/>
  <c r="B15" i="7"/>
  <c r="D15" i="7" s="1"/>
  <c r="B14" i="7"/>
  <c r="D14" i="7" s="1"/>
  <c r="Y13" i="7"/>
  <c r="X13" i="7"/>
  <c r="K13" i="7"/>
  <c r="AB13" i="7" s="1"/>
  <c r="B13" i="7"/>
  <c r="D13" i="7" s="1"/>
  <c r="AB12" i="7"/>
  <c r="AA12" i="7"/>
  <c r="Y12" i="7"/>
  <c r="X12" i="7"/>
  <c r="K12" i="7"/>
  <c r="B12" i="7"/>
  <c r="D12" i="7" s="1"/>
  <c r="AB11" i="7"/>
  <c r="Y11" i="7"/>
  <c r="X11" i="7"/>
  <c r="K11" i="7"/>
  <c r="AA11" i="7" s="1"/>
  <c r="B11" i="7"/>
  <c r="D11" i="7" s="1"/>
  <c r="B10" i="7"/>
  <c r="D10" i="7" s="1"/>
  <c r="D9" i="7"/>
  <c r="B9" i="7"/>
  <c r="B8" i="7"/>
  <c r="D8" i="7" s="1"/>
  <c r="AB7" i="7"/>
  <c r="AA7" i="7"/>
  <c r="Y7" i="7"/>
  <c r="X7" i="7"/>
  <c r="J7" i="7"/>
  <c r="B7" i="7"/>
  <c r="D7" i="7" s="1"/>
  <c r="AB6" i="7"/>
  <c r="AA6" i="7"/>
  <c r="Y6" i="7"/>
  <c r="X6" i="7"/>
  <c r="B6" i="7"/>
  <c r="D6" i="7" s="1"/>
  <c r="AB5" i="7"/>
  <c r="AA5" i="7"/>
  <c r="Y5" i="7"/>
  <c r="X5" i="7"/>
  <c r="J5" i="7"/>
  <c r="B5" i="7"/>
  <c r="D5" i="7" s="1"/>
  <c r="AB4" i="7"/>
  <c r="Y4" i="7"/>
  <c r="X4" i="7"/>
  <c r="K4" i="7"/>
  <c r="AA4" i="7" s="1"/>
  <c r="B4" i="7"/>
  <c r="D4" i="7" s="1"/>
  <c r="AB3" i="7"/>
  <c r="AA3" i="7"/>
  <c r="Y3" i="7"/>
  <c r="X3" i="7"/>
  <c r="B3" i="7"/>
  <c r="D3" i="7" s="1"/>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81" i="1"/>
  <c r="AA181" i="1"/>
  <c r="Y181" i="1"/>
  <c r="X181" i="1"/>
  <c r="B181" i="1"/>
  <c r="D181" i="1" s="1"/>
  <c r="D180" i="1"/>
  <c r="B180" i="1"/>
  <c r="AB179" i="1"/>
  <c r="AA179" i="1"/>
  <c r="Y179" i="1"/>
  <c r="X179" i="1"/>
  <c r="D179" i="1"/>
  <c r="B179" i="1"/>
  <c r="B178" i="1"/>
  <c r="D178" i="1" s="1"/>
  <c r="D177" i="1"/>
  <c r="B177" i="1"/>
  <c r="B176" i="1"/>
  <c r="D176" i="1" s="1"/>
  <c r="B175" i="1"/>
  <c r="D175" i="1" s="1"/>
  <c r="D174" i="1"/>
  <c r="B174" i="1"/>
  <c r="B173" i="1"/>
  <c r="D173" i="1" s="1"/>
  <c r="D172" i="1"/>
  <c r="B172" i="1"/>
  <c r="B171" i="1"/>
  <c r="D171" i="1" s="1"/>
  <c r="B170" i="1"/>
  <c r="D170" i="1" s="1"/>
  <c r="D169" i="1"/>
  <c r="B169" i="1"/>
  <c r="J168" i="1"/>
  <c r="Y168" i="1" s="1"/>
  <c r="B168" i="1"/>
  <c r="D168" i="1" s="1"/>
  <c r="AB167" i="1"/>
  <c r="AA167" i="1"/>
  <c r="Y167" i="1"/>
  <c r="X167" i="1"/>
  <c r="B167" i="1"/>
  <c r="D167" i="1" s="1"/>
  <c r="AB166" i="1"/>
  <c r="AA166" i="1"/>
  <c r="Y166" i="1"/>
  <c r="X166" i="1"/>
  <c r="D166" i="1"/>
  <c r="B166" i="1"/>
  <c r="D165" i="1"/>
  <c r="B165" i="1"/>
  <c r="AB164" i="1"/>
  <c r="AA164" i="1"/>
  <c r="Y164" i="1"/>
  <c r="X164" i="1"/>
  <c r="B164" i="1"/>
  <c r="D164" i="1" s="1"/>
  <c r="AB163" i="1"/>
  <c r="AA163" i="1"/>
  <c r="Y163" i="1"/>
  <c r="X163" i="1"/>
  <c r="B163" i="1"/>
  <c r="D163" i="1" s="1"/>
  <c r="AB162" i="1"/>
  <c r="AA162" i="1"/>
  <c r="Y162" i="1"/>
  <c r="X162" i="1"/>
  <c r="D162" i="1"/>
  <c r="B162" i="1"/>
  <c r="D161" i="1"/>
  <c r="B161" i="1"/>
  <c r="B160" i="1"/>
  <c r="D160" i="1" s="1"/>
  <c r="B159" i="1"/>
  <c r="D159" i="1" s="1"/>
  <c r="B158" i="1"/>
  <c r="D158" i="1" s="1"/>
  <c r="AB157" i="1"/>
  <c r="AA157" i="1"/>
  <c r="Y157" i="1"/>
  <c r="X157" i="1"/>
  <c r="B157" i="1"/>
  <c r="D157" i="1" s="1"/>
  <c r="B156" i="1"/>
  <c r="D156" i="1" s="1"/>
  <c r="AB155" i="1"/>
  <c r="AA155" i="1"/>
  <c r="J155" i="1"/>
  <c r="Y155" i="1" s="1"/>
  <c r="D155" i="1"/>
  <c r="B155" i="1"/>
  <c r="AB154" i="1"/>
  <c r="AA154" i="1"/>
  <c r="Y154" i="1"/>
  <c r="J154" i="1"/>
  <c r="X154" i="1" s="1"/>
  <c r="D154" i="1"/>
  <c r="B154" i="1"/>
  <c r="AB153" i="1"/>
  <c r="AA153" i="1"/>
  <c r="J153" i="1"/>
  <c r="Y153" i="1" s="1"/>
  <c r="D153" i="1"/>
  <c r="B153" i="1"/>
  <c r="AB152" i="1"/>
  <c r="AA152" i="1"/>
  <c r="B152" i="1"/>
  <c r="D152" i="1" s="1"/>
  <c r="D151" i="1"/>
  <c r="D150" i="1"/>
  <c r="B149" i="1"/>
  <c r="D149" i="1" s="1"/>
  <c r="AB148" i="1"/>
  <c r="AA148" i="1"/>
  <c r="Y148" i="1"/>
  <c r="X148" i="1"/>
  <c r="B148" i="1"/>
  <c r="D148" i="1" s="1"/>
  <c r="AB147" i="1"/>
  <c r="AA147" i="1"/>
  <c r="Y147" i="1"/>
  <c r="X147" i="1"/>
  <c r="D147" i="1"/>
  <c r="B147" i="1"/>
  <c r="AB146" i="1"/>
  <c r="AA146" i="1"/>
  <c r="Y146" i="1"/>
  <c r="X146" i="1"/>
  <c r="B146" i="1"/>
  <c r="D146" i="1" s="1"/>
  <c r="AB145" i="1"/>
  <c r="AA145" i="1"/>
  <c r="Y145" i="1"/>
  <c r="X145" i="1"/>
  <c r="D145" i="1"/>
  <c r="B145" i="1"/>
  <c r="AB144" i="1"/>
  <c r="AA144" i="1"/>
  <c r="Y144" i="1"/>
  <c r="X144" i="1"/>
  <c r="B144" i="1"/>
  <c r="D144" i="1" s="1"/>
  <c r="AB143" i="1"/>
  <c r="AA143" i="1"/>
  <c r="Y143" i="1"/>
  <c r="X143" i="1"/>
  <c r="B143" i="1"/>
  <c r="D143" i="1" s="1"/>
  <c r="AB142" i="1"/>
  <c r="AA142" i="1"/>
  <c r="Y142" i="1"/>
  <c r="X142" i="1"/>
  <c r="D142" i="1"/>
  <c r="B142" i="1"/>
  <c r="D141" i="1"/>
  <c r="B141" i="1"/>
  <c r="Y140" i="1"/>
  <c r="X140" i="1"/>
  <c r="K140" i="1"/>
  <c r="AB140" i="1" s="1"/>
  <c r="B140" i="1"/>
  <c r="D140" i="1" s="1"/>
  <c r="AB139" i="1"/>
  <c r="AA139" i="1"/>
  <c r="Y139" i="1"/>
  <c r="X139" i="1"/>
  <c r="K139" i="1"/>
  <c r="B139" i="1"/>
  <c r="D139" i="1" s="1"/>
  <c r="Y138" i="1"/>
  <c r="X138" i="1"/>
  <c r="K138" i="1"/>
  <c r="AB138" i="1" s="1"/>
  <c r="D138" i="1"/>
  <c r="B138" i="1"/>
  <c r="AA137" i="1"/>
  <c r="Y137" i="1"/>
  <c r="X137" i="1"/>
  <c r="K137" i="1"/>
  <c r="AB137" i="1" s="1"/>
  <c r="D137" i="1"/>
  <c r="B137" i="1"/>
  <c r="AB136" i="1"/>
  <c r="AA136" i="1"/>
  <c r="Y136" i="1"/>
  <c r="X136" i="1"/>
  <c r="K136" i="1"/>
  <c r="D136" i="1"/>
  <c r="B136" i="1"/>
  <c r="AA135" i="1"/>
  <c r="Y135" i="1"/>
  <c r="X135" i="1"/>
  <c r="K135" i="1"/>
  <c r="AB135" i="1" s="1"/>
  <c r="B135" i="1"/>
  <c r="D135" i="1" s="1"/>
  <c r="B134" i="1"/>
  <c r="D134" i="1" s="1"/>
  <c r="Y133" i="1"/>
  <c r="X133" i="1"/>
  <c r="D133" i="1"/>
  <c r="B133" i="1"/>
  <c r="AB132" i="1"/>
  <c r="AA132" i="1"/>
  <c r="Y132" i="1"/>
  <c r="X132" i="1"/>
  <c r="B132" i="1"/>
  <c r="D132" i="1" s="1"/>
  <c r="B131" i="1"/>
  <c r="D131" i="1" s="1"/>
  <c r="D130" i="1"/>
  <c r="B130" i="1"/>
  <c r="AB129" i="1"/>
  <c r="AA129" i="1"/>
  <c r="J129" i="1"/>
  <c r="Y129" i="1" s="1"/>
  <c r="D129" i="1"/>
  <c r="B129" i="1"/>
  <c r="AB128" i="1"/>
  <c r="AA128" i="1"/>
  <c r="Y128" i="1"/>
  <c r="X128" i="1"/>
  <c r="D128" i="1"/>
  <c r="B128" i="1"/>
  <c r="AA127" i="1"/>
  <c r="Y127" i="1"/>
  <c r="X127" i="1"/>
  <c r="K127" i="1"/>
  <c r="AB127" i="1" s="1"/>
  <c r="D127" i="1"/>
  <c r="AB126" i="1"/>
  <c r="AA126" i="1"/>
  <c r="Y126" i="1"/>
  <c r="J126" i="1"/>
  <c r="X126" i="1" s="1"/>
  <c r="B126" i="1"/>
  <c r="D126" i="1" s="1"/>
  <c r="Y125" i="1"/>
  <c r="X125" i="1"/>
  <c r="D125" i="1"/>
  <c r="B125" i="1"/>
  <c r="Y124" i="1"/>
  <c r="X124" i="1"/>
  <c r="D124" i="1"/>
  <c r="B124" i="1"/>
  <c r="D123" i="1"/>
  <c r="B123" i="1"/>
  <c r="B122" i="1"/>
  <c r="D122" i="1" s="1"/>
  <c r="Y121" i="1"/>
  <c r="X121" i="1"/>
  <c r="K121" i="1"/>
  <c r="AA121" i="1" s="1"/>
  <c r="B121" i="1"/>
  <c r="D121" i="1" s="1"/>
  <c r="AB120" i="1"/>
  <c r="AA120" i="1"/>
  <c r="Y120" i="1"/>
  <c r="X120" i="1"/>
  <c r="D120" i="1"/>
  <c r="B120" i="1"/>
  <c r="B119" i="1"/>
  <c r="D119" i="1" s="1"/>
  <c r="AB118" i="1"/>
  <c r="AA118" i="1"/>
  <c r="D118" i="1"/>
  <c r="B118" i="1"/>
  <c r="AB117" i="1"/>
  <c r="AA117" i="1"/>
  <c r="Y117" i="1"/>
  <c r="X117" i="1"/>
  <c r="B117" i="1"/>
  <c r="D117" i="1" s="1"/>
  <c r="AB116" i="1"/>
  <c r="AA116" i="1"/>
  <c r="Y116" i="1"/>
  <c r="X116" i="1"/>
  <c r="B116" i="1"/>
  <c r="D116" i="1" s="1"/>
  <c r="AB115" i="1"/>
  <c r="AA115" i="1"/>
  <c r="Y115" i="1"/>
  <c r="X115" i="1"/>
  <c r="B115" i="1"/>
  <c r="D115" i="1" s="1"/>
  <c r="AB114" i="1"/>
  <c r="AA114" i="1"/>
  <c r="Y114" i="1"/>
  <c r="X114" i="1"/>
  <c r="D114" i="1"/>
  <c r="B114" i="1"/>
  <c r="AB113" i="1"/>
  <c r="AA113" i="1"/>
  <c r="Y113" i="1"/>
  <c r="X113" i="1"/>
  <c r="D113" i="1"/>
  <c r="B113" i="1"/>
  <c r="B112" i="1"/>
  <c r="D112" i="1" s="1"/>
  <c r="AB111" i="1"/>
  <c r="AA111" i="1"/>
  <c r="Y111" i="1"/>
  <c r="X111" i="1"/>
  <c r="B111" i="1"/>
  <c r="D111" i="1" s="1"/>
  <c r="AB110" i="1"/>
  <c r="AA110" i="1"/>
  <c r="Y110" i="1"/>
  <c r="X110" i="1"/>
  <c r="D110" i="1"/>
  <c r="B110" i="1"/>
  <c r="AB109" i="1"/>
  <c r="AA109" i="1"/>
  <c r="Y109" i="1"/>
  <c r="X109" i="1"/>
  <c r="D109" i="1"/>
  <c r="B109" i="1"/>
  <c r="AB108" i="1"/>
  <c r="AA108" i="1"/>
  <c r="Y108" i="1"/>
  <c r="X108" i="1"/>
  <c r="B108" i="1"/>
  <c r="D108" i="1" s="1"/>
  <c r="AB107" i="1"/>
  <c r="AA107" i="1"/>
  <c r="Y107" i="1"/>
  <c r="X107" i="1"/>
  <c r="B107" i="1"/>
  <c r="D107" i="1" s="1"/>
  <c r="AB106" i="1"/>
  <c r="Y106" i="1"/>
  <c r="X106" i="1"/>
  <c r="K106" i="1"/>
  <c r="AA106" i="1" s="1"/>
  <c r="D106" i="1"/>
  <c r="B106" i="1"/>
  <c r="B105" i="1"/>
  <c r="D105" i="1" s="1"/>
  <c r="B104" i="1"/>
  <c r="D104" i="1" s="1"/>
  <c r="AB103" i="1"/>
  <c r="AA103" i="1"/>
  <c r="D103" i="1"/>
  <c r="B103" i="1"/>
  <c r="AB102" i="1"/>
  <c r="AA102" i="1"/>
  <c r="B102" i="1"/>
  <c r="D102" i="1" s="1"/>
  <c r="AB101" i="1"/>
  <c r="AA101" i="1"/>
  <c r="B101" i="1"/>
  <c r="D101" i="1" s="1"/>
  <c r="AB100" i="1"/>
  <c r="AA100" i="1"/>
  <c r="D100" i="1"/>
  <c r="B100" i="1"/>
  <c r="AB99" i="1"/>
  <c r="AA99" i="1"/>
  <c r="B99" i="1"/>
  <c r="D99" i="1" s="1"/>
  <c r="K98" i="1"/>
  <c r="AB98" i="1" s="1"/>
  <c r="B98" i="1"/>
  <c r="D98" i="1" s="1"/>
  <c r="AB97" i="1"/>
  <c r="AA97" i="1"/>
  <c r="B97" i="1"/>
  <c r="D97" i="1" s="1"/>
  <c r="AB96" i="1"/>
  <c r="AA96" i="1"/>
  <c r="Y96" i="1"/>
  <c r="X96" i="1"/>
  <c r="N96" i="1"/>
  <c r="D96" i="1"/>
  <c r="B96" i="1"/>
  <c r="J95" i="1"/>
  <c r="Y95" i="1" s="1"/>
  <c r="B95" i="1"/>
  <c r="D95" i="1" s="1"/>
  <c r="D94" i="1"/>
  <c r="B94" i="1"/>
  <c r="AB93" i="1"/>
  <c r="AA93" i="1"/>
  <c r="Y93" i="1"/>
  <c r="X93" i="1"/>
  <c r="B93" i="1"/>
  <c r="D93" i="1" s="1"/>
  <c r="AB92" i="1"/>
  <c r="AA92" i="1"/>
  <c r="Y92" i="1"/>
  <c r="X92" i="1"/>
  <c r="B92" i="1"/>
  <c r="D92" i="1" s="1"/>
  <c r="AB91" i="1"/>
  <c r="AA91" i="1"/>
  <c r="Y91" i="1"/>
  <c r="X91" i="1"/>
  <c r="B91" i="1"/>
  <c r="D91" i="1" s="1"/>
  <c r="AB90" i="1"/>
  <c r="AA90" i="1"/>
  <c r="Y90" i="1"/>
  <c r="X90" i="1"/>
  <c r="D90" i="1"/>
  <c r="B90" i="1"/>
  <c r="AB89" i="1"/>
  <c r="AA89" i="1"/>
  <c r="Y89" i="1"/>
  <c r="X89" i="1"/>
  <c r="D89" i="1"/>
  <c r="B89" i="1"/>
  <c r="Y88" i="1"/>
  <c r="X88" i="1"/>
  <c r="N88" i="1"/>
  <c r="K88" i="1"/>
  <c r="AB88" i="1" s="1"/>
  <c r="B88" i="1"/>
  <c r="D88" i="1" s="1"/>
  <c r="AB87" i="1"/>
  <c r="AA87" i="1"/>
  <c r="Y87" i="1"/>
  <c r="X87" i="1"/>
  <c r="D87" i="1"/>
  <c r="B87" i="1"/>
  <c r="Y86" i="1"/>
  <c r="X86" i="1"/>
  <c r="N86" i="1"/>
  <c r="K86" i="1" s="1"/>
  <c r="J86" i="1"/>
  <c r="B86" i="1"/>
  <c r="D86" i="1" s="1"/>
  <c r="B85" i="1"/>
  <c r="D85" i="1" s="1"/>
  <c r="D84" i="1"/>
  <c r="B84" i="1"/>
  <c r="AB83" i="1"/>
  <c r="AA83" i="1"/>
  <c r="Y83" i="1"/>
  <c r="X83" i="1"/>
  <c r="B83" i="1"/>
  <c r="D83" i="1" s="1"/>
  <c r="AB82" i="1"/>
  <c r="AA82" i="1"/>
  <c r="Y82" i="1"/>
  <c r="X82" i="1"/>
  <c r="D82" i="1"/>
  <c r="B82" i="1"/>
  <c r="Y81" i="1"/>
  <c r="X81" i="1"/>
  <c r="N81" i="1"/>
  <c r="K81" i="1"/>
  <c r="AB81" i="1" s="1"/>
  <c r="D81" i="1"/>
  <c r="B81" i="1"/>
  <c r="AB80" i="1"/>
  <c r="Y80" i="1"/>
  <c r="X80" i="1"/>
  <c r="N80" i="1"/>
  <c r="K80" i="1"/>
  <c r="AA80" i="1" s="1"/>
  <c r="B80" i="1"/>
  <c r="D80" i="1" s="1"/>
  <c r="AB79" i="1"/>
  <c r="AA79" i="1"/>
  <c r="Y79" i="1"/>
  <c r="X79" i="1"/>
  <c r="B79" i="1"/>
  <c r="D79" i="1" s="1"/>
  <c r="Y78" i="1"/>
  <c r="X78" i="1"/>
  <c r="N78" i="1"/>
  <c r="N95" i="1" s="1"/>
  <c r="D78" i="1"/>
  <c r="B78" i="1"/>
  <c r="Y77" i="1"/>
  <c r="X77" i="1"/>
  <c r="K77" i="1"/>
  <c r="AB77" i="1" s="1"/>
  <c r="B77" i="1"/>
  <c r="D77" i="1" s="1"/>
  <c r="AB76" i="1"/>
  <c r="AA76" i="1"/>
  <c r="Y76" i="1"/>
  <c r="X76" i="1"/>
  <c r="K76" i="1"/>
  <c r="B76" i="1"/>
  <c r="D76" i="1" s="1"/>
  <c r="B75" i="1"/>
  <c r="D75" i="1" s="1"/>
  <c r="D74" i="1"/>
  <c r="B74" i="1"/>
  <c r="AB73" i="1"/>
  <c r="AA73" i="1"/>
  <c r="Y73" i="1"/>
  <c r="X73" i="1"/>
  <c r="B73" i="1"/>
  <c r="D73" i="1" s="1"/>
  <c r="AB72" i="1"/>
  <c r="AA72" i="1"/>
  <c r="Y72" i="1"/>
  <c r="X72" i="1"/>
  <c r="D72" i="1"/>
  <c r="B72" i="1"/>
  <c r="N71" i="1"/>
  <c r="K71" i="1"/>
  <c r="AB71" i="1" s="1"/>
  <c r="J71" i="1"/>
  <c r="Y71" i="1" s="1"/>
  <c r="B71" i="1"/>
  <c r="D71" i="1" s="1"/>
  <c r="AB70" i="1"/>
  <c r="AA70" i="1"/>
  <c r="Y70" i="1"/>
  <c r="X70" i="1"/>
  <c r="D70" i="1"/>
  <c r="B70" i="1"/>
  <c r="AB69" i="1"/>
  <c r="AA69" i="1"/>
  <c r="Y69" i="1"/>
  <c r="X69" i="1"/>
  <c r="D69" i="1"/>
  <c r="B69" i="1"/>
  <c r="Y68" i="1"/>
  <c r="X68" i="1"/>
  <c r="N68" i="1"/>
  <c r="K68" i="1"/>
  <c r="K124" i="1" s="1"/>
  <c r="B68" i="1"/>
  <c r="D68" i="1" s="1"/>
  <c r="Y67" i="1"/>
  <c r="X67" i="1"/>
  <c r="N67" i="1"/>
  <c r="K67" i="1" s="1"/>
  <c r="B67" i="1"/>
  <c r="D67" i="1" s="1"/>
  <c r="B66" i="1"/>
  <c r="D66" i="1" s="1"/>
  <c r="D65" i="1"/>
  <c r="B65" i="1"/>
  <c r="B64" i="1"/>
  <c r="D64" i="1" s="1"/>
  <c r="AB63" i="1"/>
  <c r="Y63" i="1"/>
  <c r="X63" i="1"/>
  <c r="K63" i="1"/>
  <c r="AA63" i="1" s="1"/>
  <c r="D63" i="1"/>
  <c r="B63" i="1"/>
  <c r="Y62" i="1"/>
  <c r="X62" i="1"/>
  <c r="K62" i="1"/>
  <c r="AB62" i="1" s="1"/>
  <c r="B62" i="1"/>
  <c r="D62" i="1" s="1"/>
  <c r="AB61" i="1"/>
  <c r="AA61" i="1"/>
  <c r="Y61" i="1"/>
  <c r="X61" i="1"/>
  <c r="K61" i="1"/>
  <c r="B61" i="1"/>
  <c r="D61" i="1" s="1"/>
  <c r="B60" i="1"/>
  <c r="D60" i="1" s="1"/>
  <c r="AB59" i="1"/>
  <c r="AA59" i="1"/>
  <c r="Y59" i="1"/>
  <c r="X59" i="1"/>
  <c r="K59" i="1"/>
  <c r="B59" i="1"/>
  <c r="D59" i="1" s="1"/>
  <c r="AB58" i="1"/>
  <c r="Y58" i="1"/>
  <c r="X58" i="1"/>
  <c r="K58" i="1"/>
  <c r="AA58" i="1" s="1"/>
  <c r="D58" i="1"/>
  <c r="B58" i="1"/>
  <c r="Y57" i="1"/>
  <c r="X57" i="1"/>
  <c r="K57" i="1"/>
  <c r="AB57" i="1" s="1"/>
  <c r="B57" i="1"/>
  <c r="D57" i="1" s="1"/>
  <c r="B56" i="1"/>
  <c r="D56" i="1" s="1"/>
  <c r="D55" i="1"/>
  <c r="B55" i="1"/>
  <c r="AA54" i="1"/>
  <c r="Y54" i="1"/>
  <c r="X54" i="1"/>
  <c r="K54" i="1"/>
  <c r="AB54" i="1" s="1"/>
  <c r="D54" i="1"/>
  <c r="B54" i="1"/>
  <c r="AB53" i="1"/>
  <c r="AA53" i="1"/>
  <c r="Y53" i="1"/>
  <c r="X53" i="1"/>
  <c r="K53" i="1"/>
  <c r="D53" i="1"/>
  <c r="B53" i="1"/>
  <c r="AA52" i="1"/>
  <c r="Y52" i="1"/>
  <c r="X52" i="1"/>
  <c r="K52" i="1"/>
  <c r="AB52" i="1" s="1"/>
  <c r="D52" i="1"/>
  <c r="B52" i="1"/>
  <c r="B51" i="1"/>
  <c r="D51" i="1" s="1"/>
  <c r="B50" i="1"/>
  <c r="D50" i="1" s="1"/>
  <c r="Y49" i="1"/>
  <c r="X49" i="1"/>
  <c r="N49" i="1"/>
  <c r="K49" i="1" s="1"/>
  <c r="B49" i="1"/>
  <c r="D49" i="1" s="1"/>
  <c r="Y48" i="1"/>
  <c r="X48" i="1"/>
  <c r="K48" i="1"/>
  <c r="AB48" i="1" s="1"/>
  <c r="D48" i="1"/>
  <c r="B48" i="1"/>
  <c r="Y47" i="1"/>
  <c r="X47" i="1"/>
  <c r="K47" i="1"/>
  <c r="AB47" i="1" s="1"/>
  <c r="D47" i="1"/>
  <c r="B47" i="1"/>
  <c r="AB46" i="1"/>
  <c r="AA46" i="1"/>
  <c r="Y46" i="1"/>
  <c r="X46" i="1"/>
  <c r="K46" i="1"/>
  <c r="D46" i="1"/>
  <c r="B46" i="1"/>
  <c r="B45" i="1"/>
  <c r="D45" i="1" s="1"/>
  <c r="B44" i="1"/>
  <c r="D44" i="1" s="1"/>
  <c r="Y43" i="1"/>
  <c r="X43" i="1"/>
  <c r="K43" i="1"/>
  <c r="AB43" i="1" s="1"/>
  <c r="B43" i="1"/>
  <c r="D43" i="1" s="1"/>
  <c r="AB42" i="1"/>
  <c r="AA42" i="1"/>
  <c r="Y42" i="1"/>
  <c r="X42" i="1"/>
  <c r="K42" i="1"/>
  <c r="B42" i="1"/>
  <c r="D42" i="1" s="1"/>
  <c r="AB41" i="1"/>
  <c r="Y41" i="1"/>
  <c r="X41" i="1"/>
  <c r="K41" i="1"/>
  <c r="AA41" i="1" s="1"/>
  <c r="D41" i="1"/>
  <c r="B41" i="1"/>
  <c r="D40" i="1"/>
  <c r="B40" i="1"/>
  <c r="Y39" i="1"/>
  <c r="X39" i="1"/>
  <c r="K39" i="1"/>
  <c r="AA39" i="1" s="1"/>
  <c r="B39" i="1"/>
  <c r="D39" i="1" s="1"/>
  <c r="Y38" i="1"/>
  <c r="X38" i="1"/>
  <c r="K38" i="1"/>
  <c r="AB38" i="1" s="1"/>
  <c r="B38" i="1"/>
  <c r="D38" i="1" s="1"/>
  <c r="AB37" i="1"/>
  <c r="AA37" i="1"/>
  <c r="Y37" i="1"/>
  <c r="X37" i="1"/>
  <c r="K37" i="1"/>
  <c r="B37" i="1"/>
  <c r="D37" i="1" s="1"/>
  <c r="D36" i="1"/>
  <c r="B36" i="1"/>
  <c r="B35" i="1"/>
  <c r="D35" i="1" s="1"/>
  <c r="B34" i="1"/>
  <c r="D34" i="1" s="1"/>
  <c r="Y33" i="1"/>
  <c r="X33" i="1"/>
  <c r="K33" i="1"/>
  <c r="AB33" i="1" s="1"/>
  <c r="B33" i="1"/>
  <c r="D33" i="1" s="1"/>
  <c r="AB32" i="1"/>
  <c r="AA32" i="1"/>
  <c r="Y32" i="1"/>
  <c r="X32" i="1"/>
  <c r="K32" i="1"/>
  <c r="B32" i="1"/>
  <c r="D32" i="1" s="1"/>
  <c r="AB31" i="1"/>
  <c r="Y31" i="1"/>
  <c r="X31" i="1"/>
  <c r="K31" i="1"/>
  <c r="AA31" i="1" s="1"/>
  <c r="D31" i="1"/>
  <c r="B31" i="1"/>
  <c r="Y30" i="1"/>
  <c r="X30" i="1"/>
  <c r="K30" i="1"/>
  <c r="AB30" i="1" s="1"/>
  <c r="B30" i="1"/>
  <c r="D30" i="1" s="1"/>
  <c r="B29" i="1"/>
  <c r="D29" i="1" s="1"/>
  <c r="Y28" i="1"/>
  <c r="X28" i="1"/>
  <c r="K28" i="1"/>
  <c r="AB28" i="1" s="1"/>
  <c r="B28" i="1"/>
  <c r="D28" i="1" s="1"/>
  <c r="AB27" i="1"/>
  <c r="AA27" i="1"/>
  <c r="Y27" i="1"/>
  <c r="X27" i="1"/>
  <c r="K27" i="1"/>
  <c r="B27" i="1"/>
  <c r="D27" i="1" s="1"/>
  <c r="AB26" i="1"/>
  <c r="Y26" i="1"/>
  <c r="X26" i="1"/>
  <c r="K26" i="1"/>
  <c r="AA26" i="1" s="1"/>
  <c r="D26" i="1"/>
  <c r="B26" i="1"/>
  <c r="D25" i="1"/>
  <c r="B25" i="1"/>
  <c r="Y24" i="1"/>
  <c r="X24" i="1"/>
  <c r="K24" i="1"/>
  <c r="AA24" i="1" s="1"/>
  <c r="B24" i="1"/>
  <c r="D24" i="1" s="1"/>
  <c r="Y23" i="1"/>
  <c r="X23" i="1"/>
  <c r="K23" i="1"/>
  <c r="AB23" i="1" s="1"/>
  <c r="B23" i="1"/>
  <c r="D23" i="1" s="1"/>
  <c r="AB22" i="1"/>
  <c r="AA22" i="1"/>
  <c r="Y22" i="1"/>
  <c r="X22" i="1"/>
  <c r="K22" i="1"/>
  <c r="B22" i="1"/>
  <c r="D22" i="1" s="1"/>
  <c r="D21" i="1"/>
  <c r="B21" i="1"/>
  <c r="B20" i="1"/>
  <c r="D20" i="1" s="1"/>
  <c r="AB19" i="1"/>
  <c r="AA19" i="1"/>
  <c r="Y19" i="1"/>
  <c r="X19" i="1"/>
  <c r="K19" i="1"/>
  <c r="B19" i="1"/>
  <c r="D19" i="1" s="1"/>
  <c r="Y18" i="1"/>
  <c r="X18" i="1"/>
  <c r="K18" i="1"/>
  <c r="AB18" i="1" s="1"/>
  <c r="D18" i="1"/>
  <c r="B18" i="1"/>
  <c r="Y17" i="1"/>
  <c r="X17" i="1"/>
  <c r="K17" i="1"/>
  <c r="AA17" i="1" s="1"/>
  <c r="D17" i="1"/>
  <c r="B17" i="1"/>
  <c r="AB16" i="1"/>
  <c r="AA16" i="1"/>
  <c r="Y16" i="1"/>
  <c r="X16" i="1"/>
  <c r="K16" i="1"/>
  <c r="D16" i="1"/>
  <c r="B16" i="1"/>
  <c r="AA15" i="1"/>
  <c r="Y15" i="1"/>
  <c r="X15" i="1"/>
  <c r="K15" i="1"/>
  <c r="AB15" i="1" s="1"/>
  <c r="B15" i="1"/>
  <c r="D15" i="1" s="1"/>
  <c r="B14" i="1"/>
  <c r="D14" i="1" s="1"/>
  <c r="Y13" i="1"/>
  <c r="X13" i="1"/>
  <c r="K13" i="1"/>
  <c r="AB13" i="1" s="1"/>
  <c r="D13" i="1"/>
  <c r="B13" i="1"/>
  <c r="Y12" i="1"/>
  <c r="X12" i="1"/>
  <c r="K12" i="1"/>
  <c r="AA12" i="1" s="1"/>
  <c r="D12" i="1"/>
  <c r="B12" i="1"/>
  <c r="AB11" i="1"/>
  <c r="AA11" i="1"/>
  <c r="Y11" i="1"/>
  <c r="X11" i="1"/>
  <c r="K11" i="1"/>
  <c r="D11" i="1"/>
  <c r="B11" i="1"/>
  <c r="B10" i="1"/>
  <c r="D10" i="1" s="1"/>
  <c r="B9" i="1"/>
  <c r="D9" i="1" s="1"/>
  <c r="D8" i="1"/>
  <c r="B8" i="1"/>
  <c r="AB7" i="1"/>
  <c r="AA7" i="1"/>
  <c r="Y7" i="1"/>
  <c r="J7" i="1"/>
  <c r="X7" i="1" s="1"/>
  <c r="D7" i="1"/>
  <c r="B7" i="1"/>
  <c r="AB6" i="1"/>
  <c r="AA6" i="1"/>
  <c r="Y6" i="1"/>
  <c r="X6" i="1"/>
  <c r="B6" i="1"/>
  <c r="D6" i="1" s="1"/>
  <c r="AB5" i="1"/>
  <c r="AA5" i="1"/>
  <c r="D5" i="1"/>
  <c r="B5" i="1"/>
  <c r="Y4" i="1"/>
  <c r="X4" i="1"/>
  <c r="K4" i="1"/>
  <c r="AB4" i="1" s="1"/>
  <c r="D4" i="1"/>
  <c r="B4" i="1"/>
  <c r="AB3" i="1"/>
  <c r="AA3" i="1"/>
  <c r="Y3" i="1"/>
  <c r="X3" i="1"/>
  <c r="B3" i="1"/>
  <c r="D3" i="1" s="1"/>
  <c r="B2" i="1"/>
  <c r="D2" i="1" s="1"/>
  <c r="K125" i="1" l="1"/>
  <c r="AB124" i="1"/>
  <c r="AA124" i="1"/>
  <c r="AB49" i="1"/>
  <c r="AA49" i="1"/>
  <c r="AA86" i="1"/>
  <c r="AB86" i="1"/>
  <c r="J152" i="1"/>
  <c r="C55" i="2"/>
  <c r="AB67" i="1"/>
  <c r="AA67" i="1"/>
  <c r="AB39" i="8"/>
  <c r="AA39" i="8"/>
  <c r="X95" i="1"/>
  <c r="X71" i="1"/>
  <c r="AA4" i="1"/>
  <c r="AB39" i="1"/>
  <c r="AA47" i="1"/>
  <c r="AA68" i="1"/>
  <c r="AB121" i="1"/>
  <c r="X168" i="1"/>
  <c r="AA88" i="1"/>
  <c r="AB12" i="1"/>
  <c r="AB17" i="1"/>
  <c r="AA30" i="1"/>
  <c r="AA57" i="1"/>
  <c r="AA62" i="1"/>
  <c r="AB68" i="1"/>
  <c r="AA71" i="1"/>
  <c r="AA77" i="1"/>
  <c r="AA81" i="1"/>
  <c r="X129" i="1"/>
  <c r="AA140" i="1"/>
  <c r="X153" i="1"/>
  <c r="AA21" i="7"/>
  <c r="AA20" i="8"/>
  <c r="X97" i="8"/>
  <c r="AB24" i="1"/>
  <c r="AA23" i="1"/>
  <c r="AA28" i="1"/>
  <c r="AA33" i="1"/>
  <c r="AA38" i="1"/>
  <c r="AA43" i="1"/>
  <c r="AA49" i="8"/>
  <c r="K78" i="1"/>
  <c r="X155" i="1"/>
  <c r="AA13" i="7"/>
  <c r="AA25" i="7"/>
  <c r="AA13" i="8"/>
  <c r="AA29" i="8"/>
  <c r="AA45" i="8"/>
  <c r="AA48" i="8"/>
  <c r="AA13" i="1"/>
  <c r="AA18" i="1"/>
  <c r="AA48" i="1"/>
  <c r="AA98" i="1"/>
  <c r="AA138" i="1"/>
  <c r="AA24" i="8"/>
  <c r="Y152" i="1" l="1"/>
  <c r="X152" i="1"/>
  <c r="K95" i="1"/>
  <c r="AA78" i="1"/>
  <c r="AB78" i="1"/>
  <c r="AB125" i="1"/>
  <c r="AA125" i="1"/>
  <c r="AB95" i="1" l="1"/>
  <c r="AA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<sst xmlns="http://schemas.openxmlformats.org/spreadsheetml/2006/main" count="3668" uniqueCount="807">
  <si>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</si>
  <si>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</si>
  <si>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</si>
  <si>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</si>
  <si>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</si>
  <si>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</si>
  <si>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</si>
  <si>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</si>
  <si>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</si>
  <si>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</si>
  <si>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</si>
  <si>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</si>
  <si>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</si>
  <si>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</si>
  <si>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</si>
  <si>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</si>
  <si>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</si>
  <si>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</si>
  <si>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</si>
  <si>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</si>
  <si>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</si>
  <si>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</si>
  <si>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</si>
  <si>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</si>
  <si>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</si>
  <si>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</si>
  <si>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</si>
  <si>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</si>
  <si>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</si>
  <si>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</si>
  <si>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</si>
  <si>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</si>
  <si>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</si>
  <si>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</si>
  <si>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</si>
  <si>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</si>
  <si>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</si>
  <si>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</si>
  <si>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</si>
  <si>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</si>
  <si>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</si>
  <si>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</si>
  <si>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</si>
  <si>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</si>
  <si>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</si>
  <si>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</si>
  <si>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</si>
  <si>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</si>
  <si>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</si>
  <si>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</si>
  <si>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</si>
  <si>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</si>
  <si>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</si>
  <si>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</si>
  <si>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</si>
  <si>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</si>
  <si>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</si>
  <si>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</si>
  <si>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</si>
  <si>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</si>
  <si>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</si>
  <si>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</si>
  <si>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</si>
  <si>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</si>
  <si>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</si>
  <si>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</si>
  <si>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</si>
  <si>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</si>
  <si>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</si>
  <si>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</si>
  <si>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</si>
  <si>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</si>
  <si>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</si>
  <si>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</si>
  <si>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</si>
  <si>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</si>
  <si>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</si>
  <si>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</si>
  <si>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</si>
  <si>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</si>
  <si>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</si>
  <si>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</si>
  <si>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</si>
  <si>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</si>
  <si>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</si>
  <si>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</si>
  <si>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</si>
  <si>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</si>
  <si>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</si>
  <si>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</si>
  <si>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</si>
  <si>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</si>
  <si>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</si>
  <si>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</si>
  <si>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</si>
  <si>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</si>
  <si>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</si>
  <si>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</si>
  <si>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</si>
  <si>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</si>
  <si>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</si>
  <si>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</si>
  <si>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</si>
  <si>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</si>
  <si>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</si>
  <si>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</si>
  <si>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</si>
  <si>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</si>
  <si>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</si>
  <si>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</si>
  <si>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</si>
  <si>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</si>
  <si>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</si>
  <si>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</si>
  <si>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</si>
  <si>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</si>
  <si>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</si>
  <si>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</si>
  <si>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</si>
  <si>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</si>
  <si>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</si>
  <si>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</si>
  <si>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</si>
  <si>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</si>
  <si>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</si>
  <si>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</si>
  <si>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</si>
  <si>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</si>
  <si>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</si>
  <si>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</si>
  <si>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</si>
  <si>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</si>
  <si>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</si>
  <si>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</si>
  <si>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</si>
  <si>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</si>
  <si>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</si>
  <si>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</si>
  <si>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</si>
  <si>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</si>
  <si>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</si>
  <si>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</si>
  <si>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</si>
  <si>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</si>
  <si>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</si>
  <si>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</si>
  <si>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</si>
  <si>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</si>
  <si>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</si>
  <si>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</si>
  <si>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</si>
  <si>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</si>
  <si>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</si>
  <si>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</si>
  <si>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</si>
  <si>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</si>
  <si>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</si>
  <si>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</si>
  <si>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</si>
  <si>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</si>
  <si>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</si>
  <si>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</si>
  <si>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</si>
  <si>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</si>
  <si>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</si>
  <si>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</si>
  <si>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</si>
  <si>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</si>
  <si>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</si>
  <si>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</si>
  <si>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</si>
  <si>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</si>
  <si>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</si>
  <si>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</si>
  <si>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</si>
  <si>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</si>
  <si>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</si>
  <si>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</si>
  <si>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</si>
  <si>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</si>
  <si>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</si>
  <si>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</si>
  <si>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</si>
  <si>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</si>
  <si>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</si>
  <si>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</si>
  <si>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</si>
  <si>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</si>
  <si>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</si>
  <si>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</si>
  <si>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</si>
  <si>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</si>
  <si>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</si>
  <si>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</si>
  <si>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</si>
  <si>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</si>
  <si>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</si>
  <si>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</si>
  <si>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</si>
  <si>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</si>
  <si>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</si>
  <si>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</si>
  <si>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</si>
  <si>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</si>
  <si>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</si>
  <si>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</si>
  <si>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</si>
  <si>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</si>
  <si>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</si>
  <si>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</si>
  <si>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</si>
  <si>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</si>
  <si>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</si>
  <si>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</si>
  <si>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</si>
  <si>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</si>
  <si>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</si>
  <si>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</si>
  <si>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</si>
  <si>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</si>
  <si>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</si>
  <si>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</si>
  <si>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</si>
  <si>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</si>
  <si>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</si>
  <si>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</si>
  <si>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</si>
  <si>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</si>
  <si>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</si>
  <si>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</si>
  <si>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</si>
  <si>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</si>
  <si>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</si>
  <si>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</si>
  <si>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</si>
  <si>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</si>
  <si>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</si>
  <si>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</si>
  <si>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</si>
  <si>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</si>
  <si>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</si>
  <si>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</si>
  <si>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</si>
  <si>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</si>
  <si>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</si>
  <si>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</si>
  <si>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</si>
  <si>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</si>
  <si>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</si>
  <si>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</si>
  <si>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</si>
  <si>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</si>
  <si>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</si>
  <si>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</si>
  <si>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</si>
  <si>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</si>
  <si>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</si>
  <si>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</si>
  <si>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</si>
  <si>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</si>
  <si>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</si>
  <si>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</si>
  <si>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</si>
  <si>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</si>
  <si>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</si>
  <si>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</si>
  <si>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</si>
  <si>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</si>
  <si>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</si>
  <si>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</si>
  <si>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</si>
  <si>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</si>
  <si>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</si>
  <si>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</si>
  <si>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</si>
  <si>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</si>
  <si>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</si>
  <si>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</si>
  <si>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</si>
  <si>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</si>
  <si>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</si>
  <si>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</si>
  <si>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</si>
  <si>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</si>
  <si>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</si>
  <si>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</si>
  <si>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</si>
  <si>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</si>
  <si>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</si>
  <si>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</si>
  <si>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</si>
  <si>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</si>
  <si>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</si>
  <si>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</si>
  <si>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</si>
  <si>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</si>
  <si>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</si>
  <si>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</si>
  <si>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</si>
  <si>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</si>
  <si>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</si>
  <si>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</si>
  <si>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</si>
  <si>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</si>
  <si>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</si>
  <si>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</si>
  <si>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</si>
  <si>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</si>
  <si>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</si>
  <si>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</si>
  <si>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</si>
  <si>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</si>
  <si>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</si>
  <si>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</si>
  <si>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</si>
  <si>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</si>
  <si>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</si>
  <si>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</si>
  <si>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</si>
  <si>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</si>
  <si>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</si>
  <si>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</si>
  <si>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</si>
  <si>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</si>
  <si>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</si>
  <si>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</si>
  <si>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</si>
  <si>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</si>
  <si>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</si>
  <si>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</si>
  <si>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</si>
  <si>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</si>
  <si>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</si>
  <si>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</si>
  <si>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</si>
  <si>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</si>
  <si>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</si>
  <si>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</si>
  <si>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</si>
  <si>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</si>
  <si>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</si>
  <si>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</si>
  <si>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</si>
  <si>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</si>
  <si>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</si>
  <si>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</si>
  <si>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</si>
  <si>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</si>
  <si>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</si>
  <si>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</si>
  <si>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</si>
  <si>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</si>
  <si>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</si>
  <si>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</si>
  <si>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</si>
  <si>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</si>
  <si>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</si>
  <si>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</si>
  <si>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</si>
  <si>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</si>
  <si>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</si>
  <si>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</si>
  <si>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</si>
  <si>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</si>
  <si>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</si>
  <si>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</si>
  <si>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</si>
  <si>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</si>
  <si>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</si>
  <si>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</si>
  <si>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</si>
  <si>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</si>
  <si>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</si>
  <si>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</si>
  <si>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</si>
  <si>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</si>
  <si>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</si>
  <si>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</si>
  <si>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</si>
  <si>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</si>
  <si>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</si>
  <si>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</si>
  <si>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</si>
  <si>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</si>
  <si>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</si>
  <si>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</si>
  <si>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</si>
  <si>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</si>
  <si>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</si>
  <si>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</si>
  <si>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</si>
  <si>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</si>
  <si>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</si>
  <si>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</si>
  <si>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</si>
  <si>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</si>
  <si>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</si>
  <si>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</si>
  <si>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</si>
  <si>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</si>
  <si>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</si>
  <si>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</si>
  <si>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</si>
  <si>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</si>
  <si>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</si>
  <si>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</si>
  <si>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</si>
  <si>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</si>
  <si>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</si>
  <si>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</si>
  <si>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</si>
  <si>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</si>
  <si>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</si>
  <si>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</si>
  <si>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</si>
  <si>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</si>
  <si>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</si>
  <si>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</si>
  <si>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</si>
  <si>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</si>
  <si>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</si>
  <si>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</si>
  <si>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</si>
  <si>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</si>
  <si>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</si>
  <si>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</si>
  <si>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</si>
  <si>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</si>
  <si>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</si>
  <si>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</si>
  <si>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</si>
  <si>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</si>
  <si>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</si>
  <si>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</si>
  <si>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</si>
  <si>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</si>
  <si>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</si>
  <si>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</si>
  <si>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</si>
  <si>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</si>
  <si>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</si>
  <si>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</si>
  <si>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</si>
  <si>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</si>
  <si>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</si>
  <si>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</si>
  <si>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</si>
  <si>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</si>
  <si>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</si>
  <si>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</si>
  <si>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</si>
  <si>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</si>
  <si>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</si>
  <si>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</si>
  <si>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</si>
  <si>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</si>
  <si>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</si>
  <si>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</si>
  <si>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</si>
  <si>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</si>
  <si>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</si>
  <si>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</si>
  <si>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</si>
  <si>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</si>
  <si>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</si>
  <si>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</si>
  <si>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</si>
  <si>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</si>
  <si>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</si>
  <si>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</si>
  <si>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</si>
  <si>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</si>
  <si>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</si>
  <si>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</si>
  <si>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</si>
  <si>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</si>
  <si>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</si>
  <si>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</si>
  <si>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</si>
  <si>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</si>
  <si>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</si>
  <si>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</si>
  <si>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</si>
  <si>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</si>
  <si>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</si>
  <si>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</si>
  <si>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</si>
  <si>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</si>
  <si>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</si>
  <si>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</si>
  <si>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</si>
  <si>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</si>
  <si>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</si>
  <si>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</si>
  <si>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</si>
  <si>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</si>
  <si>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</si>
  <si>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</si>
  <si>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</si>
  <si>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</si>
  <si>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</si>
  <si>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</si>
  <si>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</si>
  <si>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</si>
  <si>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</si>
  <si>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</si>
  <si>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</si>
  <si>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</si>
  <si>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</si>
  <si>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</si>
  <si>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</si>
  <si>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</si>
  <si>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</si>
  <si>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</si>
  <si>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</si>
  <si>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</si>
  <si>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</si>
  <si>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</si>
  <si>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</si>
  <si>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</si>
  <si>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</si>
  <si>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</si>
  <si>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</si>
  <si>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</si>
  <si>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</si>
  <si>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</si>
  <si>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</si>
  <si>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</si>
  <si>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</si>
  <si>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</si>
  <si>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</si>
  <si>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</si>
  <si>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</si>
  <si>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</si>
  <si>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</si>
  <si>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</si>
  <si>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</si>
  <si>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</si>
  <si>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</si>
  <si>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</si>
  <si>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</si>
  <si>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</si>
  <si>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</si>
  <si>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</si>
  <si>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</si>
  <si>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</si>
  <si>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</si>
  <si>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</si>
  <si>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</si>
  <si>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</si>
  <si>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</si>
  <si>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</si>
  <si>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</si>
  <si>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</si>
  <si>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</si>
  <si>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</si>
  <si>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</si>
  <si>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</si>
  <si>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</si>
  <si>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</si>
  <si>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</si>
  <si>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</si>
  <si>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</si>
  <si>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</si>
  <si>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</si>
  <si>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</si>
  <si>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</si>
  <si>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</si>
  <si>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</si>
  <si>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</si>
  <si>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</si>
  <si>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</si>
  <si>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</si>
  <si>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</si>
  <si>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</si>
  <si>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</si>
  <si>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</si>
  <si>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</si>
  <si>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</si>
  <si>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</si>
  <si>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</si>
  <si>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</si>
  <si>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</si>
  <si>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</si>
  <si>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</si>
  <si>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</si>
  <si>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</si>
  <si>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</si>
  <si>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</si>
  <si>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</si>
  <si>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</si>
  <si>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</si>
  <si>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</si>
  <si>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</si>
  <si>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</si>
  <si>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</si>
  <si>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</si>
  <si>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</si>
  <si>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</si>
  <si>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</si>
  <si>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</si>
  <si>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</si>
  <si>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</si>
  <si>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</si>
  <si>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</si>
  <si>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</si>
  <si>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</si>
  <si>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</si>
  <si>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</si>
  <si>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</si>
  <si>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</si>
  <si>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</si>
  <si>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</si>
  <si>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</si>
  <si>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</si>
  <si>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</si>
  <si>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</si>
  <si>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</si>
  <si>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</si>
  <si>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</si>
  <si>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</si>
  <si>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</si>
  <si>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</si>
  <si>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</si>
  <si>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</si>
  <si>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</si>
  <si>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</si>
  <si>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</si>
  <si>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</si>
  <si>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</si>
  <si>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</si>
  <si>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</si>
  <si>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</si>
  <si>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</si>
  <si>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</si>
  <si>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On-Site Operators per Shift</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</si>
  <si>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</si>
  <si>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</si>
  <si>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</si>
  <si>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</si>
  <si>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</si>
  <si>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</si>
  <si>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</si>
  <si>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</si>
  <si>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</si>
  <si>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</si>
  <si>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</si>
  <si>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</si>
  <si>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</si>
  <si>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</si>
  <si>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</si>
  <si>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</si>
  <si>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</si>
  <si>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</si>
  <si>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</si>
  <si>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</si>
  <si>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</si>
  <si>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</si>
  <si>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</si>
  <si>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</si>
  <si>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</si>
  <si>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</si>
  <si>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</si>
  <si>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</si>
  <si>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</si>
  <si>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</si>
  <si>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</si>
  <si>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</si>
  <si>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</si>
  <si>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</si>
  <si>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</si>
  <si>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</si>
  <si>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</si>
  <si>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</si>
  <si>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</si>
  <si>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</si>
  <si>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</si>
  <si>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</si>
  <si>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</si>
  <si>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</si>
  <si>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</si>
  <si>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</si>
  <si>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</si>
  <si>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</si>
  <si>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</si>
  <si>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</si>
  <si>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</si>
  <si>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</si>
  <si>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</si>
  <si>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</si>
  <si>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</si>
  <si>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</si>
  <si>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</si>
  <si>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</si>
  <si>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</si>
  <si>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</si>
  <si>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</si>
  <si>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</si>
  <si>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</si>
  <si>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</si>
  <si>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</si>
  <si>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</si>
  <si>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</si>
  <si>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</si>
  <si>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</si>
  <si>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</si>
  <si>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</si>
  <si>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</si>
  <si>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</si>
  <si>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</si>
  <si>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</si>
  <si>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</si>
  <si>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</si>
  <si>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</si>
  <si>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</si>
  <si>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</si>
  <si>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</si>
  <si>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</si>
  <si>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</si>
  <si>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</si>
  <si>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</si>
  <si>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</si>
  <si>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</si>
  <si>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</si>
  <si>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</si>
  <si>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</si>
  <si>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</si>
  <si>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</si>
  <si>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</si>
  <si>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</si>
  <si>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</si>
  <si>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</si>
  <si>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</si>
  <si>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</si>
  <si>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</si>
  <si>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</si>
  <si>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</si>
  <si>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</si>
  <si>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</si>
  <si>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</si>
  <si>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</si>
  <si>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</si>
  <si>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Number of On-Site Operators per Shift Per Shift</t>
  </si>
  <si>
    <t>SER Security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</si>
  <si>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</si>
  <si>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</si>
  <si>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</si>
  <si>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</si>
  <si>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</si>
  <si>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</si>
  <si>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</si>
  <si>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</si>
  <si>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</si>
  <si>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</si>
  <si>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</si>
  <si>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</si>
  <si>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</si>
  <si>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</si>
  <si>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</si>
  <si>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</si>
  <si>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</si>
  <si>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</si>
  <si>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</si>
  <si>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</si>
  <si>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</si>
  <si>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</si>
  <si>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</si>
  <si>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</si>
  <si>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</si>
  <si>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</si>
  <si>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</si>
  <si>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</si>
  <si>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</si>
  <si>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</si>
  <si>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</si>
  <si>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</si>
  <si>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</si>
  <si>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</si>
  <si>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</si>
  <si>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</si>
  <si>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</si>
  <si>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</si>
  <si>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</si>
  <si>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</si>
  <si>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</si>
  <si>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</si>
  <si>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</si>
  <si>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</si>
  <si>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</si>
  <si>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</si>
  <si>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</si>
  <si>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SER Maintenance Staff Per Shift</t>
  </si>
  <si>
    <t>According to NRC, the number of hours range from 108K to 257K hours https://www.nrc.gov/docs/ML2301/ML23018A174.pdf
For the hourly rate: 154$/hour
https://www.federalregister.gov/documents/2026/06/16/2026-12067/fee-schedules-fee-recovery-for-fiscal-year-2026</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</si>
  <si>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</si>
  <si>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Annualized Outer Vessel Structure Replacements</t>
  </si>
  <si>
    <t>Annualized Inner Vessel Structure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</si>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</sst>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u/>
      <sz val="10"/>
      <color theme="1"/>
      <name val="Times New Roman"/>
      <family val="1"/>
    </font>
    <font>
      <sz val="11"/>
      <color rgb="FF000000"/>
      <name val="Calibri"/>
      <family val="2"/>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63377788628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27">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2" fillId="0" borderId="0" xfId="0" applyFont="1" applyAlignment="1">
      <alignment horizontal="center" wrapText="1"/>
    </xf>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DDADF341-492A-3F79-1D0D-925EC70C0A7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E6F5D49A-82E5-BA40-0BA4-19FD22DC735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AFE64958-EB24-4229-681F-66EB379DA1D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2" name="AutoShape 26">
          <a:extLst>
            <a:ext uri="{FF2B5EF4-FFF2-40B4-BE49-F238E27FC236}">
              <a16:creationId xmlns:a16="http://schemas.microsoft.com/office/drawing/2014/main" id="{600ABD70-92DF-950D-8E23-8E38844E21D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645E243B-2127-B1AF-FBEF-EC1895A7C02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2" name="AutoShape 33">
          <a:extLst>
            <a:ext uri="{FF2B5EF4-FFF2-40B4-BE49-F238E27FC236}">
              <a16:creationId xmlns:a16="http://schemas.microsoft.com/office/drawing/2014/main" id="{84B610FE-700C-5986-0E50-4B523F8DAA56}"/>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13"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mc="http://schemas.openxmlformats.org/markup-compatibility/2006" xmlns:ns2="http://schemas.microsoft.com/office/spreadsheetml/2014/revision" xmlns:r="http://schemas.openxmlformats.org/officeDocument/2006/relationships" xmlns:x14ac="http://schemas.microsoft.com/office/spreadsheetml/2009/9/ac" mc:Ignorable="x14ac xr xr2 xr3" ns2:uid="{00000000-0001-0000-0000-000000000000}">
  <dimension ref="A1:AG192"/>
  <sheetViews>
    <sheetView topLeftCell="U1" workbookViewId="0">
      <selection activeCell="W6" sqref="W6"/>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70.7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0"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33.7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1" t="s">
        <v>41</v>
      </c>
      <c r="U3" s="214"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0"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85.2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792</v>
      </c>
      <c r="U5" s="214" t="s">
        <v>57</v>
      </c>
      <c r="V5" s="49"/>
      <c r="W5" s="74" t="s">
        <v>58</v>
      </c>
      <c r="X5" s="77">
        <f>154*108000</f>
        <v>16632000</v>
      </c>
      <c r="Y5" s="77">
        <f>154*257104</f>
        <v>39594016</v>
      </c>
      <c r="Z5" s="74" t="s">
        <v>59</v>
      </c>
      <c r="AA5" s="76">
        <f>0.9*K5</f>
        <v>0</v>
      </c>
      <c r="AB5" s="76">
        <f>1.3*K5</f>
        <v>0</v>
      </c>
      <c r="AC5" s="74" t="s">
        <v>44</v>
      </c>
      <c r="AD5" s="76" t="s">
        <v>45</v>
      </c>
      <c r="AE5" s="76" t="s">
        <v>46</v>
      </c>
      <c r="AF5" s="76" t="s">
        <v>47</v>
      </c>
      <c r="AG5" s="74" t="s">
        <v>48</v>
      </c>
    </row>
    <row r="6" spans="1:33" ht="20" customHeight="1" x14ac:dyDescent="0.2">
      <c r="A6" s="37">
        <v>14</v>
      </c>
      <c r="B6" s="38">
        <f>IF(ISNUMBER(A6),
IF(AND(A6=INT(A6), MOD(A6, 10) = 0), 0,
IF(AND(A6=INT(A6), LEN(A6)=2), 1,
IF(AND(A6=INT(A6), LEN(A6)=3), 2,
LEN(A6) - FIND(".", A6) + 2)
)
),
"")</f>
        <v>1</v>
      </c>
      <c r="C6" s="42" t="s">
        <v>60</v>
      </c>
      <c r="D6" s="39" t="str">
        <f t="shared" si="0"/>
        <v xml:space="preserve">      Plant Permits</v>
      </c>
      <c r="E6" s="39" t="s">
        <v>35</v>
      </c>
      <c r="F6" s="39"/>
      <c r="G6" s="39"/>
      <c r="H6" s="39"/>
      <c r="I6" s="39"/>
      <c r="J6" s="43">
        <v>3000000</v>
      </c>
      <c r="K6" s="44"/>
      <c r="L6" s="46"/>
      <c r="M6" s="46"/>
      <c r="N6" s="46"/>
      <c r="O6" s="45"/>
      <c r="P6" s="45"/>
      <c r="Q6" s="65">
        <v>2009</v>
      </c>
      <c r="R6" s="45" t="s">
        <v>53</v>
      </c>
      <c r="S6" s="47" t="s">
        <v>61</v>
      </c>
      <c r="T6" s="58" t="s">
        <v>62</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32" customHeight="1" x14ac:dyDescent="0.2">
      <c r="A7" s="37">
        <v>15</v>
      </c>
      <c r="B7" s="38">
        <f>IF(ISNUMBER(A7),
IF(AND(A7=INT(A7), MOD(A7, 10) = 0), 0,
IF(AND(A7=INT(A7), LEN(A7)=2), 1,
IF(AND(A7=INT(A7), LEN(A7)=3), 2,
LEN(A7) - FIND(".", A7) + 2)
)
),
"")</f>
        <v>1</v>
      </c>
      <c r="C7" s="42" t="s">
        <v>63</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64</v>
      </c>
      <c r="T7" s="47" t="s">
        <v>65</v>
      </c>
      <c r="U7" s="49" t="s">
        <v>66</v>
      </c>
      <c r="V7" s="45" t="s">
        <v>67</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0" customHeight="1" x14ac:dyDescent="0.2">
      <c r="A8" s="50">
        <v>20</v>
      </c>
      <c r="B8" s="38">
        <f>IF(ISNUMBER(A8),
    IF(AND(A8=INT(A8), MOD(A8, 10) = 0), 0,
        IF(AND(A8=INT(A8), LEN(A8)=2), 1,
            IF(AND(A8=INT(A8), LEN(A8)=3), 2,
                LEN(A8) - FIND(".", A8) + 2)
        )
    ),
"")</f>
        <v>0</v>
      </c>
      <c r="C8" s="42" t="s">
        <v>68</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0" customHeight="1" x14ac:dyDescent="0.2">
      <c r="A9" s="37">
        <v>21</v>
      </c>
      <c r="B9" s="38">
        <f>IF(ISNUMBER(A9),
IF(AND(A9=INT(A9), MOD(A9, 10) = 0), 0,
IF(AND(A9=INT(A9), LEN(A9)=2), 1,
IF(AND(A9=INT(A9), LEN(A9)=3), 2,
LEN(A9) - FIND(".", A9) + 2)
)
),
"")</f>
        <v>1</v>
      </c>
      <c r="C9" s="42" t="s">
        <v>69</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0" customHeight="1" x14ac:dyDescent="0.2">
      <c r="A10" s="53">
        <v>211</v>
      </c>
      <c r="B10" s="38">
        <f>IF(ISNUMBER(A10),
IF(AND(A10=INT(A10), MOD(A10, 10) = 0), 0,
IF(AND(A10=INT(A10), LEN(A10)=2), 1,
IF(AND(A10=INT(A10), LEN(A10)=3), 2,
LEN(A10) - FIND(".", A10) + 2)
)
),
"")</f>
        <v>2</v>
      </c>
      <c r="C10" s="42" t="s">
        <v>70</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0" customHeight="1" x14ac:dyDescent="0.2">
      <c r="A11" s="54">
        <v>211.1</v>
      </c>
      <c r="B11" s="38">
        <f>IF(ISNUMBER(A11),
IF(AND(A11=INT(A11), MOD(A11, 10) = 0), 0,
IF(AND(A11=INT(A11), LEN(A11)=2), 1,
IF(AND(A11=INT(A11), LEN(A11)=3), 2,
LEN(A11) - FIND(".", A11) + 2)
)
),
"")</f>
        <v>3</v>
      </c>
      <c r="C11" s="42" t="s">
        <v>71</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72</v>
      </c>
      <c r="S11" s="211" t="s">
        <v>73</v>
      </c>
      <c r="T11" s="211" t="s">
        <v>74</v>
      </c>
      <c r="U11" s="210" t="s">
        <v>75</v>
      </c>
      <c r="V11" s="49"/>
      <c r="W11" s="74" t="s">
        <v>76</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0" customHeight="1" x14ac:dyDescent="0.2">
      <c r="A12" s="53">
        <v>211.2</v>
      </c>
      <c r="B12" s="38">
        <f>IF(ISNUMBER(A12),
    IF(AND(A12=INT(A12), MOD(A12, 10) = 0), 0,
        IF(AND(A12=INT(A12), LEN(A12)=2), 1,
            IF(AND(A12=INT(A12), LEN(A12)=3), 2,
                LEN(A12) - FIND(".", A12) + 2)
        )
    ),
"")</f>
        <v>3</v>
      </c>
      <c r="C12" s="42" t="s">
        <v>77</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72</v>
      </c>
      <c r="S12" s="208"/>
      <c r="T12" s="208"/>
      <c r="U12" s="208"/>
      <c r="V12" s="49"/>
      <c r="W12" s="74" t="s">
        <v>76</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10.75" customHeight="1" x14ac:dyDescent="0.2">
      <c r="A13" s="53">
        <v>211.3</v>
      </c>
      <c r="B13" s="38">
        <f t="shared" ref="B13:B44" si="1">IF(ISNUMBER(A13),
IF(AND(A13=INT(A13), MOD(A13, 10) = 0), 0,
IF(AND(A13=INT(A13), LEN(A13)=2), 1,
IF(AND(A13=INT(A13), LEN(A13)=3), 2,
LEN(A13) - FIND(".", A13) + 2)
)
),
"")</f>
        <v>3</v>
      </c>
      <c r="C13" s="42" t="s">
        <v>78</v>
      </c>
      <c r="D13" s="39" t="str">
        <f t="shared" si="0"/>
        <v xml:space="preserve">                  Excavation</v>
      </c>
      <c r="E13" s="39" t="s">
        <v>35</v>
      </c>
      <c r="F13" s="39"/>
      <c r="G13" s="39"/>
      <c r="H13" s="39"/>
      <c r="I13" s="39"/>
      <c r="J13" s="43"/>
      <c r="K13" s="44">
        <f>22.86*1.4</f>
        <v>32.003999999999998</v>
      </c>
      <c r="L13" s="45" t="s">
        <v>79</v>
      </c>
      <c r="M13" s="45" t="s">
        <v>80</v>
      </c>
      <c r="N13" s="46"/>
      <c r="O13" s="45" t="s">
        <v>81</v>
      </c>
      <c r="P13" s="46"/>
      <c r="Q13" s="65">
        <v>2024</v>
      </c>
      <c r="R13" s="45" t="s">
        <v>72</v>
      </c>
      <c r="S13" s="209"/>
      <c r="T13" s="209"/>
      <c r="U13" s="209"/>
      <c r="V13" s="49"/>
      <c r="W13" s="74" t="s">
        <v>76</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0" customHeight="1" x14ac:dyDescent="0.2">
      <c r="A14" s="53">
        <v>212</v>
      </c>
      <c r="B14" s="38">
        <f t="shared" si="1"/>
        <v>2</v>
      </c>
      <c r="C14" s="42" t="s">
        <v>82</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38.75" customHeight="1" x14ac:dyDescent="0.2">
      <c r="A15" s="53">
        <v>212.1</v>
      </c>
      <c r="B15" s="38">
        <f t="shared" si="1"/>
        <v>3</v>
      </c>
      <c r="C15" s="42" t="s">
        <v>83</v>
      </c>
      <c r="D15" s="39" t="str">
        <f t="shared" si="0"/>
        <v xml:space="preserve">                  Reactor Building Slab Roof</v>
      </c>
      <c r="E15" s="39" t="s">
        <v>35</v>
      </c>
      <c r="F15" s="47"/>
      <c r="G15" s="39"/>
      <c r="H15" s="39"/>
      <c r="I15" s="39"/>
      <c r="J15" s="43"/>
      <c r="K15" s="44">
        <f>1200 *1.53</f>
        <v>1836</v>
      </c>
      <c r="L15" s="45" t="s">
        <v>79</v>
      </c>
      <c r="M15" s="47" t="s">
        <v>84</v>
      </c>
      <c r="N15" s="46"/>
      <c r="O15" s="45" t="s">
        <v>81</v>
      </c>
      <c r="P15" s="46"/>
      <c r="Q15" s="65">
        <v>2024</v>
      </c>
      <c r="R15" s="45" t="s">
        <v>85</v>
      </c>
      <c r="S15" s="211" t="s">
        <v>73</v>
      </c>
      <c r="T15" s="211" t="s">
        <v>74</v>
      </c>
      <c r="U15" s="210" t="s">
        <v>75</v>
      </c>
      <c r="V15" s="49"/>
      <c r="W15" s="74" t="s">
        <v>76</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38.75" customHeight="1" x14ac:dyDescent="0.2">
      <c r="A16" s="53">
        <v>212.2</v>
      </c>
      <c r="B16" s="38">
        <f t="shared" si="1"/>
        <v>3</v>
      </c>
      <c r="C16" s="42" t="s">
        <v>86</v>
      </c>
      <c r="D16" s="39" t="str">
        <f t="shared" si="0"/>
        <v xml:space="preserve">                  Reactor Building Basement</v>
      </c>
      <c r="E16" s="39" t="s">
        <v>35</v>
      </c>
      <c r="F16" s="39"/>
      <c r="G16" s="39"/>
      <c r="H16" s="39"/>
      <c r="I16" s="39"/>
      <c r="J16" s="43"/>
      <c r="K16" s="44">
        <f>943.9*1.53</f>
        <v>1444.1669999999999</v>
      </c>
      <c r="L16" s="45" t="s">
        <v>79</v>
      </c>
      <c r="M16" s="47" t="s">
        <v>87</v>
      </c>
      <c r="N16" s="46"/>
      <c r="O16" s="45" t="s">
        <v>81</v>
      </c>
      <c r="P16" s="46"/>
      <c r="Q16" s="65">
        <v>2024</v>
      </c>
      <c r="R16" s="45" t="s">
        <v>85</v>
      </c>
      <c r="S16" s="208"/>
      <c r="T16" s="208"/>
      <c r="U16" s="208"/>
      <c r="V16" s="49"/>
      <c r="W16" s="74" t="s">
        <v>76</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57.25" customHeight="1" x14ac:dyDescent="0.2">
      <c r="A17" s="53">
        <v>212.3</v>
      </c>
      <c r="B17" s="38">
        <f t="shared" si="1"/>
        <v>3</v>
      </c>
      <c r="C17" s="42" t="s">
        <v>88</v>
      </c>
      <c r="D17" s="39" t="str">
        <f t="shared" si="0"/>
        <v xml:space="preserve">                  Reactor Building Walls</v>
      </c>
      <c r="E17" s="39" t="s">
        <v>35</v>
      </c>
      <c r="F17" s="39"/>
      <c r="G17" s="39"/>
      <c r="H17" s="39"/>
      <c r="I17" s="39"/>
      <c r="J17" s="43"/>
      <c r="K17" s="44">
        <f>721.21*1.53</f>
        <v>1103.4513000000002</v>
      </c>
      <c r="L17" s="45" t="s">
        <v>79</v>
      </c>
      <c r="M17" s="47" t="s">
        <v>89</v>
      </c>
      <c r="N17" s="46"/>
      <c r="O17" s="45" t="s">
        <v>81</v>
      </c>
      <c r="P17" s="46"/>
      <c r="Q17" s="65">
        <v>2024</v>
      </c>
      <c r="R17" s="45" t="s">
        <v>85</v>
      </c>
      <c r="S17" s="209"/>
      <c r="T17" s="209"/>
      <c r="U17" s="209"/>
      <c r="V17" s="49"/>
      <c r="W17" s="74" t="s">
        <v>76</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76" customHeight="1" x14ac:dyDescent="0.2">
      <c r="A18" s="53">
        <v>212.4</v>
      </c>
      <c r="B18" s="38">
        <f t="shared" si="1"/>
        <v>3</v>
      </c>
      <c r="C18" s="42" t="s">
        <v>90</v>
      </c>
      <c r="D18" s="39" t="str">
        <f t="shared" si="0"/>
        <v xml:space="preserve">                  Reactor Building Liner</v>
      </c>
      <c r="E18" s="39" t="s">
        <v>35</v>
      </c>
      <c r="F18" s="39"/>
      <c r="G18" s="39"/>
      <c r="H18" s="39"/>
      <c r="I18" s="39"/>
      <c r="J18" s="43"/>
      <c r="K18" s="44">
        <f>60848829/9373</f>
        <v>6491.9267043635973</v>
      </c>
      <c r="L18" s="45" t="s">
        <v>91</v>
      </c>
      <c r="M18" s="47" t="s">
        <v>92</v>
      </c>
      <c r="N18" s="46">
        <v>9373</v>
      </c>
      <c r="O18" s="45" t="s">
        <v>93</v>
      </c>
      <c r="P18" s="46">
        <v>1</v>
      </c>
      <c r="Q18" s="65">
        <v>2018</v>
      </c>
      <c r="R18" s="45" t="s">
        <v>85</v>
      </c>
      <c r="S18" s="47" t="s">
        <v>94</v>
      </c>
      <c r="T18" s="47" t="s">
        <v>94</v>
      </c>
      <c r="U18" s="81" t="s">
        <v>95</v>
      </c>
      <c r="V18" s="49"/>
      <c r="W18" s="74" t="s">
        <v>76</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76" customHeight="1" x14ac:dyDescent="0.2">
      <c r="A19" s="53">
        <v>212.5</v>
      </c>
      <c r="B19" s="38">
        <f t="shared" si="1"/>
        <v>3</v>
      </c>
      <c r="C19" s="42" t="s">
        <v>96</v>
      </c>
      <c r="D19" s="39" t="str">
        <f t="shared" si="0"/>
        <v xml:space="preserve">                  Reactor Building HVAC</v>
      </c>
      <c r="E19" s="39" t="s">
        <v>35</v>
      </c>
      <c r="F19" s="39"/>
      <c r="G19" s="39"/>
      <c r="H19" s="39"/>
      <c r="I19" s="39"/>
      <c r="J19" s="43"/>
      <c r="K19" s="44">
        <f>5917967/N19</f>
        <v>1731.9189347380743</v>
      </c>
      <c r="L19" s="45" t="s">
        <v>97</v>
      </c>
      <c r="M19" s="47" t="s">
        <v>98</v>
      </c>
      <c r="N19" s="46">
        <v>3417</v>
      </c>
      <c r="O19" s="45" t="s">
        <v>99</v>
      </c>
      <c r="P19" s="46">
        <v>0.8</v>
      </c>
      <c r="Q19" s="65">
        <v>2018</v>
      </c>
      <c r="R19" s="45" t="s">
        <v>85</v>
      </c>
      <c r="S19" s="47" t="s">
        <v>94</v>
      </c>
      <c r="T19" s="47" t="s">
        <v>94</v>
      </c>
      <c r="U19" s="81" t="s">
        <v>95</v>
      </c>
      <c r="V19" s="49"/>
      <c r="W19" s="74" t="s">
        <v>76</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0" customHeight="1" x14ac:dyDescent="0.2">
      <c r="A20" s="53">
        <v>213</v>
      </c>
      <c r="B20" s="38">
        <f t="shared" si="1"/>
        <v>2</v>
      </c>
      <c r="C20" s="42" t="s">
        <v>100</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0" customHeight="1" x14ac:dyDescent="0.2">
      <c r="A21" s="53">
        <v>213.1</v>
      </c>
      <c r="B21" s="38">
        <f t="shared" si="1"/>
        <v>3</v>
      </c>
      <c r="C21" s="42" t="s">
        <v>101</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38.75" customHeight="1" x14ac:dyDescent="0.2">
      <c r="A22" s="53">
        <v>213.11</v>
      </c>
      <c r="B22" s="38">
        <f t="shared" si="1"/>
        <v>4</v>
      </c>
      <c r="C22" s="42" t="s">
        <v>102</v>
      </c>
      <c r="D22" s="39" t="str">
        <f t="shared" si="0"/>
        <v xml:space="preserve">                        Energy Conversion Building Slab Roof</v>
      </c>
      <c r="E22" s="39" t="s">
        <v>35</v>
      </c>
      <c r="F22" s="39"/>
      <c r="G22" s="39"/>
      <c r="H22" s="39"/>
      <c r="I22" s="39"/>
      <c r="J22" s="43"/>
      <c r="K22" s="44">
        <f>1200</f>
        <v>1200</v>
      </c>
      <c r="L22" s="45" t="s">
        <v>79</v>
      </c>
      <c r="M22" s="47" t="s">
        <v>103</v>
      </c>
      <c r="N22" s="46"/>
      <c r="O22" s="45" t="s">
        <v>81</v>
      </c>
      <c r="P22" s="46"/>
      <c r="Q22" s="65">
        <v>2024</v>
      </c>
      <c r="R22" s="45" t="s">
        <v>85</v>
      </c>
      <c r="S22" s="211" t="s">
        <v>104</v>
      </c>
      <c r="T22" s="211" t="s">
        <v>74</v>
      </c>
      <c r="U22" s="210" t="s">
        <v>75</v>
      </c>
      <c r="V22" s="49"/>
      <c r="W22" s="74" t="s">
        <v>76</v>
      </c>
      <c r="X22" s="77">
        <f>0.9*$J22</f>
        <v>0</v>
      </c>
      <c r="Y22" s="77">
        <f>1.5*J22</f>
        <v>0</v>
      </c>
      <c r="Z22" s="74" t="s">
        <v>44</v>
      </c>
      <c r="AA22" s="76">
        <f>0.9*K22</f>
        <v>1080</v>
      </c>
      <c r="AB22" s="76">
        <f>1.3*K22</f>
        <v>1560</v>
      </c>
      <c r="AC22" s="74" t="s">
        <v>44</v>
      </c>
      <c r="AD22" s="76" t="s">
        <v>45</v>
      </c>
      <c r="AE22" s="76" t="s">
        <v>46</v>
      </c>
      <c r="AF22" s="76" t="s">
        <v>47</v>
      </c>
      <c r="AG22" s="74" t="s">
        <v>48</v>
      </c>
    </row>
    <row r="23" spans="1:33" ht="38.75" customHeight="1" x14ac:dyDescent="0.2">
      <c r="A23" s="53">
        <v>213.12</v>
      </c>
      <c r="B23" s="38">
        <f t="shared" si="1"/>
        <v>4</v>
      </c>
      <c r="C23" s="42" t="s">
        <v>105</v>
      </c>
      <c r="D23" s="39" t="str">
        <f t="shared" si="0"/>
        <v xml:space="preserve">                        Energy Conversion Building Basement</v>
      </c>
      <c r="E23" s="39" t="s">
        <v>35</v>
      </c>
      <c r="F23" s="39"/>
      <c r="G23" s="39"/>
      <c r="H23" s="39"/>
      <c r="I23" s="39"/>
      <c r="J23" s="43"/>
      <c r="K23" s="44">
        <f>943.9</f>
        <v>943.9</v>
      </c>
      <c r="L23" s="45" t="s">
        <v>79</v>
      </c>
      <c r="M23" s="47" t="s">
        <v>106</v>
      </c>
      <c r="N23" s="46"/>
      <c r="O23" s="45" t="s">
        <v>81</v>
      </c>
      <c r="P23" s="46"/>
      <c r="Q23" s="65">
        <v>2024</v>
      </c>
      <c r="R23" s="45" t="s">
        <v>85</v>
      </c>
      <c r="S23" s="208"/>
      <c r="T23" s="208"/>
      <c r="U23" s="208"/>
      <c r="V23" s="49"/>
      <c r="W23" s="74" t="s">
        <v>76</v>
      </c>
      <c r="X23" s="77">
        <f>0.9*$J23</f>
        <v>0</v>
      </c>
      <c r="Y23" s="77">
        <f>1.5*J23</f>
        <v>0</v>
      </c>
      <c r="Z23" s="74" t="s">
        <v>44</v>
      </c>
      <c r="AA23" s="76">
        <f>0.9*K23</f>
        <v>849.51</v>
      </c>
      <c r="AB23" s="76">
        <f>1.3*K23</f>
        <v>1227.07</v>
      </c>
      <c r="AC23" s="74" t="s">
        <v>44</v>
      </c>
      <c r="AD23" s="76" t="s">
        <v>45</v>
      </c>
      <c r="AE23" s="76" t="s">
        <v>46</v>
      </c>
      <c r="AF23" s="76" t="s">
        <v>47</v>
      </c>
      <c r="AG23" s="74" t="s">
        <v>48</v>
      </c>
    </row>
    <row r="24" spans="1:33" ht="57.25" customHeight="1" x14ac:dyDescent="0.2">
      <c r="A24" s="53">
        <v>213.13</v>
      </c>
      <c r="B24" s="38">
        <f t="shared" si="1"/>
        <v>4</v>
      </c>
      <c r="C24" s="42" t="s">
        <v>107</v>
      </c>
      <c r="D24" s="39" t="str">
        <f t="shared" si="0"/>
        <v xml:space="preserve">                        Energy Conversion Building Walls</v>
      </c>
      <c r="E24" s="39" t="s">
        <v>35</v>
      </c>
      <c r="F24" s="39"/>
      <c r="G24" s="39"/>
      <c r="H24" s="39"/>
      <c r="I24" s="39"/>
      <c r="J24" s="43"/>
      <c r="K24" s="44">
        <f>721.21</f>
        <v>721.21</v>
      </c>
      <c r="L24" s="45" t="s">
        <v>79</v>
      </c>
      <c r="M24" s="47" t="s">
        <v>108</v>
      </c>
      <c r="N24" s="46"/>
      <c r="O24" s="45" t="s">
        <v>81</v>
      </c>
      <c r="P24" s="46"/>
      <c r="Q24" s="65">
        <v>2024</v>
      </c>
      <c r="R24" s="45" t="s">
        <v>85</v>
      </c>
      <c r="S24" s="209"/>
      <c r="T24" s="209"/>
      <c r="U24" s="209"/>
      <c r="V24" s="49"/>
      <c r="W24" s="74" t="s">
        <v>76</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0" customHeight="1" x14ac:dyDescent="0.2">
      <c r="A25" s="53">
        <v>213.2</v>
      </c>
      <c r="B25" s="38">
        <f t="shared" si="1"/>
        <v>3</v>
      </c>
      <c r="C25" s="42" t="s">
        <v>109</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38.75" customHeight="1" x14ac:dyDescent="0.2">
      <c r="A26" s="53">
        <v>213.21</v>
      </c>
      <c r="B26" s="38">
        <f t="shared" si="1"/>
        <v>4</v>
      </c>
      <c r="C26" s="42" t="s">
        <v>110</v>
      </c>
      <c r="D26" s="39" t="str">
        <f t="shared" si="0"/>
        <v xml:space="preserve">                        Control Building Slab Roof</v>
      </c>
      <c r="E26" s="39" t="s">
        <v>35</v>
      </c>
      <c r="F26" s="39"/>
      <c r="G26" s="39"/>
      <c r="H26" s="39"/>
      <c r="I26" s="39"/>
      <c r="J26" s="43"/>
      <c r="K26" s="44">
        <f>1200</f>
        <v>1200</v>
      </c>
      <c r="L26" s="45" t="s">
        <v>79</v>
      </c>
      <c r="M26" s="47" t="s">
        <v>111</v>
      </c>
      <c r="N26" s="46"/>
      <c r="O26" s="45" t="s">
        <v>81</v>
      </c>
      <c r="P26" s="46"/>
      <c r="Q26" s="65">
        <v>2024</v>
      </c>
      <c r="R26" s="45" t="s">
        <v>85</v>
      </c>
      <c r="S26" s="211" t="s">
        <v>104</v>
      </c>
      <c r="T26" s="211" t="s">
        <v>74</v>
      </c>
      <c r="U26" s="210" t="s">
        <v>75</v>
      </c>
      <c r="V26" s="49"/>
      <c r="W26" s="74" t="s">
        <v>76</v>
      </c>
      <c r="X26" s="77">
        <f>0.9*$J26</f>
        <v>0</v>
      </c>
      <c r="Y26" s="77">
        <f>1.5*J26</f>
        <v>0</v>
      </c>
      <c r="Z26" s="74" t="s">
        <v>44</v>
      </c>
      <c r="AA26" s="76">
        <f>0.9*K26</f>
        <v>1080</v>
      </c>
      <c r="AB26" s="76">
        <f>1.3*K26</f>
        <v>1560</v>
      </c>
      <c r="AC26" s="74" t="s">
        <v>44</v>
      </c>
      <c r="AD26" s="76" t="s">
        <v>45</v>
      </c>
      <c r="AE26" s="76" t="s">
        <v>46</v>
      </c>
      <c r="AF26" s="76" t="s">
        <v>47</v>
      </c>
      <c r="AG26" s="74" t="s">
        <v>48</v>
      </c>
    </row>
    <row r="27" spans="1:33" ht="38.75" customHeight="1" x14ac:dyDescent="0.2">
      <c r="A27" s="53">
        <v>213.22</v>
      </c>
      <c r="B27" s="38">
        <f t="shared" si="1"/>
        <v>4</v>
      </c>
      <c r="C27" s="42" t="s">
        <v>112</v>
      </c>
      <c r="D27" s="39" t="str">
        <f t="shared" si="0"/>
        <v xml:space="preserve">                        Control Building Basement</v>
      </c>
      <c r="E27" s="39" t="s">
        <v>35</v>
      </c>
      <c r="F27" s="39"/>
      <c r="G27" s="39"/>
      <c r="H27" s="39"/>
      <c r="I27" s="39"/>
      <c r="J27" s="43"/>
      <c r="K27" s="44">
        <f>943.9</f>
        <v>943.9</v>
      </c>
      <c r="L27" s="45" t="s">
        <v>79</v>
      </c>
      <c r="M27" s="47" t="s">
        <v>113</v>
      </c>
      <c r="N27" s="46"/>
      <c r="O27" s="45" t="s">
        <v>81</v>
      </c>
      <c r="P27" s="46"/>
      <c r="Q27" s="65">
        <v>2024</v>
      </c>
      <c r="R27" s="45" t="s">
        <v>85</v>
      </c>
      <c r="S27" s="208"/>
      <c r="T27" s="208"/>
      <c r="U27" s="208"/>
      <c r="V27" s="49"/>
      <c r="W27" s="74" t="s">
        <v>76</v>
      </c>
      <c r="X27" s="77">
        <f>0.9*$J27</f>
        <v>0</v>
      </c>
      <c r="Y27" s="77">
        <f>1.5*J27</f>
        <v>0</v>
      </c>
      <c r="Z27" s="74" t="s">
        <v>44</v>
      </c>
      <c r="AA27" s="76">
        <f>0.9*K27</f>
        <v>849.51</v>
      </c>
      <c r="AB27" s="76">
        <f>1.3*K27</f>
        <v>1227.07</v>
      </c>
      <c r="AC27" s="74" t="s">
        <v>44</v>
      </c>
      <c r="AD27" s="76" t="s">
        <v>45</v>
      </c>
      <c r="AE27" s="76" t="s">
        <v>46</v>
      </c>
      <c r="AF27" s="76" t="s">
        <v>47</v>
      </c>
      <c r="AG27" s="74" t="s">
        <v>48</v>
      </c>
    </row>
    <row r="28" spans="1:33" ht="57.25" customHeight="1" x14ac:dyDescent="0.2">
      <c r="A28" s="53">
        <v>213.23</v>
      </c>
      <c r="B28" s="38">
        <f t="shared" si="1"/>
        <v>4</v>
      </c>
      <c r="C28" s="42" t="s">
        <v>114</v>
      </c>
      <c r="D28" s="39" t="str">
        <f t="shared" si="0"/>
        <v xml:space="preserve">                        Control Building Walls</v>
      </c>
      <c r="E28" s="39" t="s">
        <v>35</v>
      </c>
      <c r="F28" s="39"/>
      <c r="G28" s="39"/>
      <c r="H28" s="39"/>
      <c r="I28" s="39"/>
      <c r="J28" s="43"/>
      <c r="K28" s="44">
        <f>721.21</f>
        <v>721.21</v>
      </c>
      <c r="L28" s="45" t="s">
        <v>79</v>
      </c>
      <c r="M28" s="47" t="s">
        <v>115</v>
      </c>
      <c r="N28" s="46"/>
      <c r="O28" s="45" t="s">
        <v>81</v>
      </c>
      <c r="P28" s="46"/>
      <c r="Q28" s="65">
        <v>2024</v>
      </c>
      <c r="R28" s="45" t="s">
        <v>85</v>
      </c>
      <c r="S28" s="209"/>
      <c r="T28" s="209"/>
      <c r="U28" s="209"/>
      <c r="V28" s="49"/>
      <c r="W28" s="74" t="s">
        <v>76</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0" customHeight="1" x14ac:dyDescent="0.2">
      <c r="A29" s="53">
        <v>213.3</v>
      </c>
      <c r="B29" s="38">
        <f t="shared" si="1"/>
        <v>3</v>
      </c>
      <c r="C29" s="42" t="s">
        <v>116</v>
      </c>
      <c r="D29" s="39" t="str">
        <f t="shared" si="0"/>
        <v xml:space="preserve">                  Integrated Heat Exchanger Building</v>
      </c>
      <c r="E29" s="39"/>
      <c r="F29" s="39" t="s">
        <v>117</v>
      </c>
      <c r="G29" s="39" t="s">
        <v>118</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57.25" customHeight="1" x14ac:dyDescent="0.2">
      <c r="A30" s="53">
        <v>213.31</v>
      </c>
      <c r="B30" s="38">
        <f t="shared" si="1"/>
        <v>4</v>
      </c>
      <c r="C30" s="42" t="s">
        <v>119</v>
      </c>
      <c r="D30" s="39" t="str">
        <f t="shared" si="0"/>
        <v xml:space="preserve">                        Integrated Heat Exchanger Building Slab Roof</v>
      </c>
      <c r="E30" s="39" t="s">
        <v>35</v>
      </c>
      <c r="F30" s="39" t="s">
        <v>117</v>
      </c>
      <c r="G30" s="39" t="s">
        <v>118</v>
      </c>
      <c r="H30" s="39"/>
      <c r="I30" s="39"/>
      <c r="J30" s="43"/>
      <c r="K30" s="44">
        <f>1200</f>
        <v>1200</v>
      </c>
      <c r="L30" s="45" t="s">
        <v>79</v>
      </c>
      <c r="M30" s="47" t="s">
        <v>120</v>
      </c>
      <c r="N30" s="46"/>
      <c r="O30" s="45" t="s">
        <v>81</v>
      </c>
      <c r="P30" s="46"/>
      <c r="Q30" s="65">
        <v>2024</v>
      </c>
      <c r="R30" s="45" t="s">
        <v>85</v>
      </c>
      <c r="S30" s="211" t="s">
        <v>104</v>
      </c>
      <c r="T30" s="211" t="s">
        <v>74</v>
      </c>
      <c r="U30" s="210" t="s">
        <v>75</v>
      </c>
      <c r="V30" s="49"/>
      <c r="W30" s="74" t="s">
        <v>76</v>
      </c>
      <c r="X30" s="77">
        <f>0.9*$J30</f>
        <v>0</v>
      </c>
      <c r="Y30" s="77">
        <f>1.5*J30</f>
        <v>0</v>
      </c>
      <c r="Z30" s="74" t="s">
        <v>44</v>
      </c>
      <c r="AA30" s="76">
        <f>0.9*K30</f>
        <v>1080</v>
      </c>
      <c r="AB30" s="76">
        <f>1.3*K30</f>
        <v>1560</v>
      </c>
      <c r="AC30" s="74" t="s">
        <v>44</v>
      </c>
      <c r="AD30" s="76" t="s">
        <v>45</v>
      </c>
      <c r="AE30" s="76" t="s">
        <v>46</v>
      </c>
      <c r="AF30" s="76" t="s">
        <v>47</v>
      </c>
      <c r="AG30" s="74" t="s">
        <v>48</v>
      </c>
    </row>
    <row r="31" spans="1:33" ht="57.25" customHeight="1" x14ac:dyDescent="0.2">
      <c r="A31" s="53">
        <v>213.32</v>
      </c>
      <c r="B31" s="38">
        <f t="shared" si="1"/>
        <v>4</v>
      </c>
      <c r="C31" s="42" t="s">
        <v>121</v>
      </c>
      <c r="D31" s="39" t="str">
        <f t="shared" si="0"/>
        <v xml:space="preserve">                        Integrated Heat Exchanger Building Basement</v>
      </c>
      <c r="E31" s="39" t="s">
        <v>35</v>
      </c>
      <c r="F31" s="39" t="s">
        <v>117</v>
      </c>
      <c r="G31" s="39" t="s">
        <v>118</v>
      </c>
      <c r="H31" s="39"/>
      <c r="I31" s="39"/>
      <c r="J31" s="43"/>
      <c r="K31" s="44">
        <f>943.9</f>
        <v>943.9</v>
      </c>
      <c r="L31" s="45" t="s">
        <v>79</v>
      </c>
      <c r="M31" s="47" t="s">
        <v>122</v>
      </c>
      <c r="N31" s="46"/>
      <c r="O31" s="45" t="s">
        <v>81</v>
      </c>
      <c r="P31" s="46"/>
      <c r="Q31" s="65">
        <v>2024</v>
      </c>
      <c r="R31" s="45" t="s">
        <v>85</v>
      </c>
      <c r="S31" s="208"/>
      <c r="T31" s="208"/>
      <c r="U31" s="208"/>
      <c r="V31" s="49"/>
      <c r="W31" s="74" t="s">
        <v>76</v>
      </c>
      <c r="X31" s="77">
        <f>0.9*$J31</f>
        <v>0</v>
      </c>
      <c r="Y31" s="77">
        <f>1.5*J31</f>
        <v>0</v>
      </c>
      <c r="Z31" s="74" t="s">
        <v>44</v>
      </c>
      <c r="AA31" s="76">
        <f>0.9*K31</f>
        <v>849.51</v>
      </c>
      <c r="AB31" s="76">
        <f>1.3*K31</f>
        <v>1227.07</v>
      </c>
      <c r="AC31" s="74" t="s">
        <v>44</v>
      </c>
      <c r="AD31" s="76" t="s">
        <v>45</v>
      </c>
      <c r="AE31" s="76" t="s">
        <v>46</v>
      </c>
      <c r="AF31" s="76" t="s">
        <v>47</v>
      </c>
      <c r="AG31" s="74" t="s">
        <v>48</v>
      </c>
    </row>
    <row r="32" spans="1:33" ht="76" customHeight="1" x14ac:dyDescent="0.2">
      <c r="A32" s="53">
        <v>213.33</v>
      </c>
      <c r="B32" s="38">
        <f t="shared" si="1"/>
        <v>4</v>
      </c>
      <c r="C32" s="42" t="s">
        <v>123</v>
      </c>
      <c r="D32" s="39" t="str">
        <f t="shared" si="0"/>
        <v xml:space="preserve">                        Integrated Heat Exchanger Building Walls</v>
      </c>
      <c r="E32" s="39" t="s">
        <v>35</v>
      </c>
      <c r="F32" s="39" t="s">
        <v>117</v>
      </c>
      <c r="G32" s="39" t="s">
        <v>118</v>
      </c>
      <c r="H32" s="39"/>
      <c r="I32" s="39"/>
      <c r="J32" s="43"/>
      <c r="K32" s="44">
        <f>721.21</f>
        <v>721.21</v>
      </c>
      <c r="L32" s="45" t="s">
        <v>79</v>
      </c>
      <c r="M32" s="47" t="s">
        <v>124</v>
      </c>
      <c r="N32" s="46"/>
      <c r="O32" s="45" t="s">
        <v>81</v>
      </c>
      <c r="P32" s="46"/>
      <c r="Q32" s="65">
        <v>2024</v>
      </c>
      <c r="R32" s="45" t="s">
        <v>85</v>
      </c>
      <c r="S32" s="209"/>
      <c r="T32" s="209"/>
      <c r="U32" s="209"/>
      <c r="V32" s="49"/>
      <c r="W32" s="74" t="s">
        <v>76</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76" customHeight="1" x14ac:dyDescent="0.2">
      <c r="A33" s="53">
        <v>213.34</v>
      </c>
      <c r="B33" s="38">
        <f t="shared" si="1"/>
        <v>4</v>
      </c>
      <c r="C33" s="42" t="s">
        <v>125</v>
      </c>
      <c r="D33" s="39" t="str">
        <f t="shared" si="0"/>
        <v xml:space="preserve">                        Integrated Heat Exchanger Building Liner</v>
      </c>
      <c r="E33" s="39" t="s">
        <v>35</v>
      </c>
      <c r="F33" s="39" t="s">
        <v>117</v>
      </c>
      <c r="G33" s="39" t="s">
        <v>118</v>
      </c>
      <c r="H33" s="39"/>
      <c r="I33" s="39"/>
      <c r="J33" s="43"/>
      <c r="K33" s="44">
        <f>60848829/9373</f>
        <v>6491.9267043635973</v>
      </c>
      <c r="L33" s="45" t="s">
        <v>91</v>
      </c>
      <c r="M33" s="47" t="s">
        <v>126</v>
      </c>
      <c r="N33" s="46">
        <v>9373</v>
      </c>
      <c r="O33" s="45" t="s">
        <v>93</v>
      </c>
      <c r="P33" s="46">
        <v>1</v>
      </c>
      <c r="Q33" s="65">
        <v>2018</v>
      </c>
      <c r="R33" s="45" t="s">
        <v>85</v>
      </c>
      <c r="S33" s="47" t="s">
        <v>94</v>
      </c>
      <c r="T33" s="47" t="s">
        <v>94</v>
      </c>
      <c r="U33" s="81" t="s">
        <v>95</v>
      </c>
      <c r="V33" s="49"/>
      <c r="W33" s="74" t="s">
        <v>76</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0" customHeight="1" x14ac:dyDescent="0.2">
      <c r="A34" s="53">
        <v>214</v>
      </c>
      <c r="B34" s="38">
        <f t="shared" si="1"/>
        <v>2</v>
      </c>
      <c r="C34" s="42" t="s">
        <v>127</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0" customHeight="1" x14ac:dyDescent="0.2">
      <c r="A35" s="53">
        <v>214.1</v>
      </c>
      <c r="B35" s="38">
        <f t="shared" si="1"/>
        <v>3</v>
      </c>
      <c r="C35" s="42" t="s">
        <v>128</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0" customHeight="1" x14ac:dyDescent="0.2">
      <c r="A36" s="53">
        <v>214.11</v>
      </c>
      <c r="B36" s="38">
        <f t="shared" si="1"/>
        <v>4</v>
      </c>
      <c r="C36" s="42" t="s">
        <v>129</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37.25" customHeight="1" x14ac:dyDescent="0.15">
      <c r="A37" s="53">
        <v>214.11099999999999</v>
      </c>
      <c r="B37" s="38">
        <f t="shared" si="1"/>
        <v>5</v>
      </c>
      <c r="C37" s="42" t="s">
        <v>130</v>
      </c>
      <c r="D37" s="39" t="str">
        <f t="shared" si="2"/>
        <v xml:space="preserve">                              Refueling Building Slab Roof</v>
      </c>
      <c r="E37" s="39" t="s">
        <v>35</v>
      </c>
      <c r="F37" s="39"/>
      <c r="G37" s="39"/>
      <c r="H37" s="39"/>
      <c r="I37" s="39"/>
      <c r="J37" s="43"/>
      <c r="K37" s="44">
        <f>1200 *1.53</f>
        <v>1836</v>
      </c>
      <c r="L37" s="45" t="s">
        <v>79</v>
      </c>
      <c r="M37" s="47" t="s">
        <v>131</v>
      </c>
      <c r="N37" s="46"/>
      <c r="O37" s="45" t="s">
        <v>81</v>
      </c>
      <c r="P37" s="46"/>
      <c r="Q37" s="65">
        <v>2024</v>
      </c>
      <c r="R37" s="45" t="s">
        <v>85</v>
      </c>
      <c r="S37" s="211" t="s">
        <v>73</v>
      </c>
      <c r="T37" s="211" t="s">
        <v>74</v>
      </c>
      <c r="U37" s="210" t="s">
        <v>75</v>
      </c>
      <c r="V37" s="49"/>
      <c r="W37" s="74" t="s">
        <v>76</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37.25" customHeight="1" x14ac:dyDescent="0.15">
      <c r="A38" s="53">
        <v>214.11199999999999</v>
      </c>
      <c r="B38" s="38">
        <f t="shared" si="1"/>
        <v>5</v>
      </c>
      <c r="C38" s="42" t="s">
        <v>132</v>
      </c>
      <c r="D38" s="39" t="str">
        <f t="shared" si="2"/>
        <v xml:space="preserve">                              Refueling Building Basement</v>
      </c>
      <c r="E38" s="39" t="s">
        <v>35</v>
      </c>
      <c r="F38" s="39"/>
      <c r="G38" s="39"/>
      <c r="H38" s="39"/>
      <c r="I38" s="39"/>
      <c r="J38" s="43"/>
      <c r="K38" s="44">
        <f>943.9*1.53</f>
        <v>1444.1669999999999</v>
      </c>
      <c r="L38" s="45" t="s">
        <v>79</v>
      </c>
      <c r="M38" s="47" t="s">
        <v>133</v>
      </c>
      <c r="N38" s="46"/>
      <c r="O38" s="45" t="s">
        <v>81</v>
      </c>
      <c r="P38" s="46"/>
      <c r="Q38" s="65">
        <v>2024</v>
      </c>
      <c r="R38" s="45" t="s">
        <v>85</v>
      </c>
      <c r="S38" s="208"/>
      <c r="T38" s="208"/>
      <c r="U38" s="208"/>
      <c r="V38" s="49"/>
      <c r="W38" s="74" t="s">
        <v>76</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56" customHeight="1" x14ac:dyDescent="0.15">
      <c r="A39" s="53">
        <v>214.113</v>
      </c>
      <c r="B39" s="38">
        <f t="shared" si="1"/>
        <v>5</v>
      </c>
      <c r="C39" s="42" t="s">
        <v>134</v>
      </c>
      <c r="D39" s="39" t="str">
        <f t="shared" si="2"/>
        <v xml:space="preserve">                              Refueling Building Walls</v>
      </c>
      <c r="E39" s="39" t="s">
        <v>35</v>
      </c>
      <c r="F39" s="39"/>
      <c r="G39" s="39"/>
      <c r="H39" s="39"/>
      <c r="I39" s="39"/>
      <c r="J39" s="43"/>
      <c r="K39" s="44">
        <f>721.21*1.53</f>
        <v>1103.4513000000002</v>
      </c>
      <c r="L39" s="45" t="s">
        <v>79</v>
      </c>
      <c r="M39" s="47" t="s">
        <v>135</v>
      </c>
      <c r="N39" s="46"/>
      <c r="O39" s="45" t="s">
        <v>81</v>
      </c>
      <c r="P39" s="46"/>
      <c r="Q39" s="65">
        <v>2024</v>
      </c>
      <c r="R39" s="45" t="s">
        <v>85</v>
      </c>
      <c r="S39" s="209"/>
      <c r="T39" s="209"/>
      <c r="U39" s="209"/>
      <c r="V39" s="49"/>
      <c r="W39" s="74" t="s">
        <v>76</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0" customHeight="1" x14ac:dyDescent="0.2">
      <c r="A40" s="53">
        <v>214.12</v>
      </c>
      <c r="B40" s="38">
        <f t="shared" si="1"/>
        <v>4</v>
      </c>
      <c r="C40" s="42" t="s">
        <v>136</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37.25" customHeight="1" x14ac:dyDescent="0.15">
      <c r="A41" s="53">
        <v>214.12100000000001</v>
      </c>
      <c r="B41" s="38">
        <f t="shared" si="1"/>
        <v>5</v>
      </c>
      <c r="C41" s="42" t="s">
        <v>137</v>
      </c>
      <c r="D41" s="39" t="str">
        <f t="shared" si="2"/>
        <v xml:space="preserve">                              Spent Fuel Building Slab Roof</v>
      </c>
      <c r="E41" s="39" t="s">
        <v>35</v>
      </c>
      <c r="F41" s="39"/>
      <c r="G41" s="39"/>
      <c r="H41" s="39"/>
      <c r="I41" s="39"/>
      <c r="J41" s="43"/>
      <c r="K41" s="44">
        <f>1200 *1.53</f>
        <v>1836</v>
      </c>
      <c r="L41" s="45" t="s">
        <v>79</v>
      </c>
      <c r="M41" s="47" t="s">
        <v>138</v>
      </c>
      <c r="N41" s="46"/>
      <c r="O41" s="45" t="s">
        <v>81</v>
      </c>
      <c r="P41" s="46"/>
      <c r="Q41" s="65">
        <v>2024</v>
      </c>
      <c r="R41" s="46" t="s">
        <v>85</v>
      </c>
      <c r="S41" s="211" t="s">
        <v>73</v>
      </c>
      <c r="T41" s="211" t="s">
        <v>74</v>
      </c>
      <c r="U41" s="210" t="s">
        <v>75</v>
      </c>
      <c r="V41" s="49"/>
      <c r="W41" s="74" t="s">
        <v>76</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37.25" customHeight="1" x14ac:dyDescent="0.15">
      <c r="A42" s="53">
        <v>214.12200000000001</v>
      </c>
      <c r="B42" s="38">
        <f t="shared" si="1"/>
        <v>5</v>
      </c>
      <c r="C42" s="42" t="s">
        <v>139</v>
      </c>
      <c r="D42" s="39" t="str">
        <f t="shared" si="2"/>
        <v xml:space="preserve">                              Spent Fuel Building Basement</v>
      </c>
      <c r="E42" s="39" t="s">
        <v>35</v>
      </c>
      <c r="F42" s="39"/>
      <c r="G42" s="39"/>
      <c r="H42" s="39"/>
      <c r="I42" s="39"/>
      <c r="J42" s="43"/>
      <c r="K42" s="44">
        <f>943.9*1.53</f>
        <v>1444.1669999999999</v>
      </c>
      <c r="L42" s="45" t="s">
        <v>79</v>
      </c>
      <c r="M42" s="47" t="s">
        <v>140</v>
      </c>
      <c r="N42" s="46"/>
      <c r="O42" s="45" t="s">
        <v>81</v>
      </c>
      <c r="P42" s="46"/>
      <c r="Q42" s="65">
        <v>2024</v>
      </c>
      <c r="R42" s="46" t="s">
        <v>85</v>
      </c>
      <c r="S42" s="208"/>
      <c r="T42" s="208"/>
      <c r="U42" s="208"/>
      <c r="V42" s="49"/>
      <c r="W42" s="74" t="s">
        <v>76</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56" customHeight="1" x14ac:dyDescent="0.15">
      <c r="A43" s="53">
        <v>214.12299999999999</v>
      </c>
      <c r="B43" s="38">
        <f t="shared" si="1"/>
        <v>5</v>
      </c>
      <c r="C43" s="42" t="s">
        <v>141</v>
      </c>
      <c r="D43" s="39" t="str">
        <f t="shared" si="2"/>
        <v xml:space="preserve">                              Spent Fuel Building Walls</v>
      </c>
      <c r="E43" s="39" t="s">
        <v>35</v>
      </c>
      <c r="F43" s="39"/>
      <c r="G43" s="39"/>
      <c r="H43" s="39"/>
      <c r="I43" s="39"/>
      <c r="J43" s="43"/>
      <c r="K43" s="44">
        <f>721.21*1.53</f>
        <v>1103.4513000000002</v>
      </c>
      <c r="L43" s="45" t="s">
        <v>79</v>
      </c>
      <c r="M43" s="47" t="s">
        <v>142</v>
      </c>
      <c r="N43" s="46"/>
      <c r="O43" s="45" t="s">
        <v>81</v>
      </c>
      <c r="P43" s="46"/>
      <c r="Q43" s="65">
        <v>2024</v>
      </c>
      <c r="R43" s="45" t="s">
        <v>85</v>
      </c>
      <c r="S43" s="209"/>
      <c r="T43" s="209"/>
      <c r="U43" s="209"/>
      <c r="V43" s="49"/>
      <c r="W43" s="74" t="s">
        <v>76</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38.75" customHeight="1" x14ac:dyDescent="0.2">
      <c r="A44" s="53">
        <v>214.7</v>
      </c>
      <c r="B44" s="38">
        <f t="shared" si="1"/>
        <v>3</v>
      </c>
      <c r="C44" s="42" t="s">
        <v>143</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0" customHeight="1" x14ac:dyDescent="0.2">
      <c r="A45" s="53">
        <v>214.71</v>
      </c>
      <c r="B45" s="38">
        <f t="shared" ref="B45:B69" si="3">IF(ISNUMBER(A45),
IF(AND(A45=INT(A45), MOD(A45, 10) = 0), 0,
IF(AND(A45=INT(A45), LEN(A45)=2), 1,
IF(AND(A45=INT(A45), LEN(A45)=3), 2,
LEN(A45) - FIND(".", A45) + 2)
)
),
"")</f>
        <v>4</v>
      </c>
      <c r="C45" s="42" t="s">
        <v>144</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37.25" customHeight="1" x14ac:dyDescent="0.15">
      <c r="A46" s="53">
        <v>214.71100000000001</v>
      </c>
      <c r="B46" s="38">
        <f t="shared" si="3"/>
        <v>5</v>
      </c>
      <c r="C46" s="42" t="s">
        <v>145</v>
      </c>
      <c r="D46" s="39" t="str">
        <f t="shared" si="2"/>
        <v xml:space="preserve">                              Emergency Building Slab Roof</v>
      </c>
      <c r="E46" s="39" t="s">
        <v>35</v>
      </c>
      <c r="F46" s="39"/>
      <c r="G46" s="39"/>
      <c r="H46" s="39"/>
      <c r="I46" s="39"/>
      <c r="J46" s="43"/>
      <c r="K46" s="44">
        <f>1200</f>
        <v>1200</v>
      </c>
      <c r="L46" s="45" t="s">
        <v>79</v>
      </c>
      <c r="M46" s="47" t="s">
        <v>146</v>
      </c>
      <c r="N46" s="46"/>
      <c r="O46" s="45" t="s">
        <v>81</v>
      </c>
      <c r="P46" s="46"/>
      <c r="Q46" s="65">
        <v>2024</v>
      </c>
      <c r="R46" s="46" t="s">
        <v>85</v>
      </c>
      <c r="S46" s="211" t="s">
        <v>104</v>
      </c>
      <c r="T46" s="211" t="s">
        <v>74</v>
      </c>
      <c r="U46" s="210" t="s">
        <v>75</v>
      </c>
      <c r="V46" s="49"/>
      <c r="W46" s="74" t="s">
        <v>76</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37.25" customHeight="1" x14ac:dyDescent="0.15">
      <c r="A47" s="53">
        <v>214.71199999999999</v>
      </c>
      <c r="B47" s="38">
        <f t="shared" si="3"/>
        <v>5</v>
      </c>
      <c r="C47" s="42" t="s">
        <v>147</v>
      </c>
      <c r="D47" s="39" t="str">
        <f t="shared" si="2"/>
        <v xml:space="preserve">                              Emergency Building Basement</v>
      </c>
      <c r="E47" s="39" t="s">
        <v>35</v>
      </c>
      <c r="F47" s="39"/>
      <c r="G47" s="39"/>
      <c r="H47" s="39"/>
      <c r="I47" s="39"/>
      <c r="J47" s="43"/>
      <c r="K47" s="44">
        <f>943.9</f>
        <v>943.9</v>
      </c>
      <c r="L47" s="45" t="s">
        <v>79</v>
      </c>
      <c r="M47" s="47" t="s">
        <v>148</v>
      </c>
      <c r="N47" s="46"/>
      <c r="O47" s="45" t="s">
        <v>81</v>
      </c>
      <c r="P47" s="46"/>
      <c r="Q47" s="65">
        <v>2024</v>
      </c>
      <c r="R47" s="46" t="s">
        <v>85</v>
      </c>
      <c r="S47" s="208"/>
      <c r="T47" s="208"/>
      <c r="U47" s="208"/>
      <c r="V47" s="49"/>
      <c r="W47" s="74" t="s">
        <v>76</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56" customHeight="1" x14ac:dyDescent="0.15">
      <c r="A48" s="53">
        <v>214.71299999999999</v>
      </c>
      <c r="B48" s="38">
        <f t="shared" si="3"/>
        <v>5</v>
      </c>
      <c r="C48" s="42" t="s">
        <v>149</v>
      </c>
      <c r="D48" s="39" t="str">
        <f t="shared" si="2"/>
        <v xml:space="preserve">                              Emergency Building Walls</v>
      </c>
      <c r="E48" s="39" t="s">
        <v>35</v>
      </c>
      <c r="F48" s="39"/>
      <c r="G48" s="39"/>
      <c r="H48" s="39"/>
      <c r="I48" s="39"/>
      <c r="J48" s="43"/>
      <c r="K48" s="44">
        <f>721.21</f>
        <v>721.21</v>
      </c>
      <c r="L48" s="45" t="s">
        <v>79</v>
      </c>
      <c r="M48" s="47" t="s">
        <v>150</v>
      </c>
      <c r="N48" s="46"/>
      <c r="O48" s="45" t="s">
        <v>81</v>
      </c>
      <c r="P48" s="46"/>
      <c r="Q48" s="65">
        <v>2024</v>
      </c>
      <c r="R48" s="45" t="s">
        <v>85</v>
      </c>
      <c r="S48" s="209"/>
      <c r="T48" s="209"/>
      <c r="U48" s="209"/>
      <c r="V48" s="49"/>
      <c r="W48" s="74" t="s">
        <v>76</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38.75" customHeight="1" x14ac:dyDescent="0.2">
      <c r="A49" s="53">
        <v>214.72</v>
      </c>
      <c r="B49" s="38">
        <f t="shared" si="3"/>
        <v>4</v>
      </c>
      <c r="C49" s="55" t="s">
        <v>151</v>
      </c>
      <c r="D49" s="39" t="str">
        <f t="shared" si="2"/>
        <v xml:space="preserve">                        Diesel Generator</v>
      </c>
      <c r="E49" s="39" t="s">
        <v>35</v>
      </c>
      <c r="F49" s="39"/>
      <c r="G49" s="39"/>
      <c r="H49" s="39"/>
      <c r="I49" s="39"/>
      <c r="J49" s="43"/>
      <c r="K49" s="56">
        <f>MARVEL_Cost!C11/N49</f>
        <v>2717311.5662650601</v>
      </c>
      <c r="L49" s="45" t="s">
        <v>97</v>
      </c>
      <c r="M49" s="47" t="s">
        <v>98</v>
      </c>
      <c r="N49" s="45">
        <f>'Design Variables'!B3/1000</f>
        <v>8.3000000000000004E-2</v>
      </c>
      <c r="O49" s="45" t="s">
        <v>99</v>
      </c>
      <c r="P49" s="45">
        <v>0.7</v>
      </c>
      <c r="Q49" s="65">
        <v>2024</v>
      </c>
      <c r="R49" s="45" t="s">
        <v>152</v>
      </c>
      <c r="S49" s="47" t="s">
        <v>153</v>
      </c>
      <c r="T49" s="47" t="s">
        <v>154</v>
      </c>
      <c r="U49" s="57" t="s">
        <v>155</v>
      </c>
      <c r="V49" s="49"/>
      <c r="W49" s="74" t="s">
        <v>156</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7" customHeight="1" x14ac:dyDescent="0.2">
      <c r="A50" s="53">
        <v>214.8</v>
      </c>
      <c r="B50" s="38">
        <f t="shared" si="3"/>
        <v>3</v>
      </c>
      <c r="C50" s="55" t="s">
        <v>157</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0" customHeight="1" x14ac:dyDescent="0.2">
      <c r="A51" s="53">
        <v>214.81</v>
      </c>
      <c r="B51" s="38">
        <f t="shared" si="3"/>
        <v>4</v>
      </c>
      <c r="C51" s="55" t="s">
        <v>158</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57.25" customHeight="1" x14ac:dyDescent="0.2">
      <c r="A52" s="53">
        <v>214.81100000000001</v>
      </c>
      <c r="B52" s="38">
        <f t="shared" si="3"/>
        <v>5</v>
      </c>
      <c r="C52" s="55" t="s">
        <v>159</v>
      </c>
      <c r="D52" s="39" t="str">
        <f t="shared" si="2"/>
        <v xml:space="preserve">                              Manipulator Building Slab Roof</v>
      </c>
      <c r="E52" s="39" t="s">
        <v>35</v>
      </c>
      <c r="F52" s="39"/>
      <c r="G52" s="45"/>
      <c r="H52" s="45"/>
      <c r="I52" s="45"/>
      <c r="J52" s="43"/>
      <c r="K52" s="44">
        <f>1200</f>
        <v>1200</v>
      </c>
      <c r="L52" s="45" t="s">
        <v>79</v>
      </c>
      <c r="M52" s="55" t="s">
        <v>160</v>
      </c>
      <c r="N52" s="45"/>
      <c r="O52" s="45" t="s">
        <v>81</v>
      </c>
      <c r="P52" s="46"/>
      <c r="Q52" s="65">
        <v>2024</v>
      </c>
      <c r="R52" s="46" t="s">
        <v>85</v>
      </c>
      <c r="S52" s="211" t="s">
        <v>104</v>
      </c>
      <c r="T52" s="211" t="s">
        <v>74</v>
      </c>
      <c r="U52" s="210" t="s">
        <v>75</v>
      </c>
      <c r="V52" s="216" t="s">
        <v>161</v>
      </c>
      <c r="W52" s="74" t="s">
        <v>76</v>
      </c>
      <c r="X52" s="77">
        <f>0.9*$J52</f>
        <v>0</v>
      </c>
      <c r="Y52" s="77">
        <f>1.5*J52</f>
        <v>0</v>
      </c>
      <c r="Z52" s="74" t="s">
        <v>44</v>
      </c>
      <c r="AA52" s="76">
        <f>0.9*K52</f>
        <v>1080</v>
      </c>
      <c r="AB52" s="76">
        <f>1.3*K52</f>
        <v>1560</v>
      </c>
      <c r="AC52" s="74" t="s">
        <v>44</v>
      </c>
      <c r="AD52" s="76" t="s">
        <v>45</v>
      </c>
      <c r="AE52" s="76" t="s">
        <v>46</v>
      </c>
      <c r="AF52" s="76" t="s">
        <v>47</v>
      </c>
      <c r="AG52" s="74" t="s">
        <v>48</v>
      </c>
    </row>
    <row r="53" spans="1:33" ht="57.25" customHeight="1" x14ac:dyDescent="0.2">
      <c r="A53" s="53">
        <v>214.81200000000001</v>
      </c>
      <c r="B53" s="38">
        <f t="shared" si="3"/>
        <v>5</v>
      </c>
      <c r="C53" s="55" t="s">
        <v>162</v>
      </c>
      <c r="D53" s="39" t="str">
        <f t="shared" si="2"/>
        <v xml:space="preserve">                              ManipulatorBuilding Basement</v>
      </c>
      <c r="E53" s="39" t="s">
        <v>35</v>
      </c>
      <c r="F53" s="39"/>
      <c r="G53" s="45"/>
      <c r="H53" s="45"/>
      <c r="I53" s="45"/>
      <c r="J53" s="43"/>
      <c r="K53" s="44">
        <f>943.9</f>
        <v>943.9</v>
      </c>
      <c r="L53" s="45" t="s">
        <v>79</v>
      </c>
      <c r="M53" s="55" t="s">
        <v>163</v>
      </c>
      <c r="N53" s="45"/>
      <c r="O53" s="45" t="s">
        <v>81</v>
      </c>
      <c r="P53" s="46"/>
      <c r="Q53" s="65">
        <v>2024</v>
      </c>
      <c r="R53" s="46" t="s">
        <v>85</v>
      </c>
      <c r="S53" s="208"/>
      <c r="T53" s="208"/>
      <c r="U53" s="208"/>
      <c r="V53" s="208"/>
      <c r="W53" s="74" t="s">
        <v>76</v>
      </c>
      <c r="X53" s="77">
        <f>0.9*$J53</f>
        <v>0</v>
      </c>
      <c r="Y53" s="77">
        <f>1.5*J53</f>
        <v>0</v>
      </c>
      <c r="Z53" s="74" t="s">
        <v>44</v>
      </c>
      <c r="AA53" s="76">
        <f>0.9*K53</f>
        <v>849.51</v>
      </c>
      <c r="AB53" s="76">
        <f>1.3*K53</f>
        <v>1227.07</v>
      </c>
      <c r="AC53" s="74" t="s">
        <v>44</v>
      </c>
      <c r="AD53" s="76" t="s">
        <v>45</v>
      </c>
      <c r="AE53" s="76" t="s">
        <v>46</v>
      </c>
      <c r="AF53" s="76" t="s">
        <v>47</v>
      </c>
      <c r="AG53" s="74" t="s">
        <v>48</v>
      </c>
    </row>
    <row r="54" spans="1:33" ht="57.25" customHeight="1" x14ac:dyDescent="0.2">
      <c r="A54" s="53">
        <v>214.81299999999999</v>
      </c>
      <c r="B54" s="38">
        <f t="shared" si="3"/>
        <v>5</v>
      </c>
      <c r="C54" s="55" t="s">
        <v>164</v>
      </c>
      <c r="D54" s="39" t="str">
        <f t="shared" si="2"/>
        <v xml:space="preserve">                              Manipulator Building Exterior Walls</v>
      </c>
      <c r="E54" s="39" t="s">
        <v>35</v>
      </c>
      <c r="F54" s="39"/>
      <c r="G54" s="45"/>
      <c r="H54" s="45"/>
      <c r="I54" s="45"/>
      <c r="J54" s="43"/>
      <c r="K54" s="44">
        <f>721.21</f>
        <v>721.21</v>
      </c>
      <c r="L54" s="45" t="s">
        <v>79</v>
      </c>
      <c r="M54" s="55" t="s">
        <v>165</v>
      </c>
      <c r="N54" s="45"/>
      <c r="O54" s="45" t="s">
        <v>81</v>
      </c>
      <c r="P54" s="46"/>
      <c r="Q54" s="65">
        <v>2024</v>
      </c>
      <c r="R54" s="45" t="s">
        <v>85</v>
      </c>
      <c r="S54" s="209"/>
      <c r="T54" s="209"/>
      <c r="U54" s="209"/>
      <c r="V54" s="209"/>
      <c r="W54" s="74" t="s">
        <v>76</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0" customHeight="1" x14ac:dyDescent="0.2">
      <c r="A55" s="53">
        <v>215</v>
      </c>
      <c r="B55" s="38">
        <f t="shared" si="3"/>
        <v>2</v>
      </c>
      <c r="C55" s="55" t="s">
        <v>166</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0" customHeight="1" x14ac:dyDescent="0.2">
      <c r="A56" s="53">
        <v>215.1</v>
      </c>
      <c r="B56" s="38">
        <f t="shared" si="3"/>
        <v>3</v>
      </c>
      <c r="C56" s="55" t="s">
        <v>167</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38.75" customHeight="1" x14ac:dyDescent="0.2">
      <c r="A57" s="53">
        <v>215.11</v>
      </c>
      <c r="B57" s="38">
        <f t="shared" si="3"/>
        <v>4</v>
      </c>
      <c r="C57" s="55" t="s">
        <v>168</v>
      </c>
      <c r="D57" s="39" t="str">
        <f t="shared" si="2"/>
        <v xml:space="preserve">                        Storage Building Slab Roof</v>
      </c>
      <c r="E57" s="39" t="s">
        <v>35</v>
      </c>
      <c r="F57" s="39"/>
      <c r="G57" s="39"/>
      <c r="H57" s="39"/>
      <c r="I57" s="39"/>
      <c r="J57" s="43"/>
      <c r="K57" s="44">
        <f>1200</f>
        <v>1200</v>
      </c>
      <c r="L57" s="45" t="s">
        <v>79</v>
      </c>
      <c r="M57" s="47" t="s">
        <v>169</v>
      </c>
      <c r="N57" s="45"/>
      <c r="O57" s="45" t="s">
        <v>81</v>
      </c>
      <c r="P57" s="45"/>
      <c r="Q57" s="65">
        <v>2024</v>
      </c>
      <c r="R57" s="45" t="s">
        <v>85</v>
      </c>
      <c r="S57" s="211" t="s">
        <v>104</v>
      </c>
      <c r="T57" s="211" t="s">
        <v>74</v>
      </c>
      <c r="U57" s="210" t="s">
        <v>75</v>
      </c>
      <c r="V57" s="49"/>
      <c r="W57" s="74" t="s">
        <v>76</v>
      </c>
      <c r="X57" s="77">
        <f>0.9*$J57</f>
        <v>0</v>
      </c>
      <c r="Y57" s="77">
        <f>1.5*J57</f>
        <v>0</v>
      </c>
      <c r="Z57" s="74" t="s">
        <v>44</v>
      </c>
      <c r="AA57" s="76">
        <f>0.9*K57</f>
        <v>1080</v>
      </c>
      <c r="AB57" s="76">
        <f>1.3*K57</f>
        <v>1560</v>
      </c>
      <c r="AC57" s="74" t="s">
        <v>44</v>
      </c>
      <c r="AD57" s="76" t="s">
        <v>45</v>
      </c>
      <c r="AE57" s="76" t="s">
        <v>46</v>
      </c>
      <c r="AF57" s="76" t="s">
        <v>47</v>
      </c>
      <c r="AG57" s="74" t="s">
        <v>48</v>
      </c>
    </row>
    <row r="58" spans="1:33" ht="38.75" customHeight="1" x14ac:dyDescent="0.2">
      <c r="A58" s="53">
        <v>215.12</v>
      </c>
      <c r="B58" s="38">
        <f t="shared" si="3"/>
        <v>4</v>
      </c>
      <c r="C58" s="55" t="s">
        <v>170</v>
      </c>
      <c r="D58" s="39" t="str">
        <f t="shared" si="2"/>
        <v xml:space="preserve">                        Storage Building Basement</v>
      </c>
      <c r="E58" s="39" t="s">
        <v>35</v>
      </c>
      <c r="F58" s="39"/>
      <c r="G58" s="39"/>
      <c r="H58" s="39"/>
      <c r="I58" s="39"/>
      <c r="J58" s="43"/>
      <c r="K58" s="44">
        <f>943.9</f>
        <v>943.9</v>
      </c>
      <c r="L58" s="45" t="s">
        <v>79</v>
      </c>
      <c r="M58" s="47" t="s">
        <v>171</v>
      </c>
      <c r="N58" s="45"/>
      <c r="O58" s="45" t="s">
        <v>81</v>
      </c>
      <c r="P58" s="45"/>
      <c r="Q58" s="65">
        <v>2024</v>
      </c>
      <c r="R58" s="45" t="s">
        <v>85</v>
      </c>
      <c r="S58" s="208"/>
      <c r="T58" s="208"/>
      <c r="U58" s="208"/>
      <c r="V58" s="49"/>
      <c r="W58" s="74" t="s">
        <v>76</v>
      </c>
      <c r="X58" s="77">
        <f>0.9*$J58</f>
        <v>0</v>
      </c>
      <c r="Y58" s="77">
        <f>1.5*J58</f>
        <v>0</v>
      </c>
      <c r="Z58" s="74" t="s">
        <v>44</v>
      </c>
      <c r="AA58" s="76">
        <f>0.9*K58</f>
        <v>849.51</v>
      </c>
      <c r="AB58" s="76">
        <f>1.3*K58</f>
        <v>1227.07</v>
      </c>
      <c r="AC58" s="74" t="s">
        <v>44</v>
      </c>
      <c r="AD58" s="76" t="s">
        <v>45</v>
      </c>
      <c r="AE58" s="76" t="s">
        <v>46</v>
      </c>
      <c r="AF58" s="76" t="s">
        <v>47</v>
      </c>
      <c r="AG58" s="74" t="s">
        <v>48</v>
      </c>
    </row>
    <row r="59" spans="1:33" ht="57.25" customHeight="1" x14ac:dyDescent="0.2">
      <c r="A59" s="53">
        <v>215.13</v>
      </c>
      <c r="B59" s="38">
        <f t="shared" si="3"/>
        <v>4</v>
      </c>
      <c r="C59" s="55" t="s">
        <v>172</v>
      </c>
      <c r="D59" s="39" t="str">
        <f t="shared" si="2"/>
        <v xml:space="preserve">                        Storage Building Walls</v>
      </c>
      <c r="E59" s="39" t="s">
        <v>35</v>
      </c>
      <c r="F59" s="39"/>
      <c r="G59" s="39"/>
      <c r="H59" s="39"/>
      <c r="I59" s="39"/>
      <c r="J59" s="43"/>
      <c r="K59" s="44">
        <f>721.21</f>
        <v>721.21</v>
      </c>
      <c r="L59" s="45" t="s">
        <v>79</v>
      </c>
      <c r="M59" s="47" t="s">
        <v>173</v>
      </c>
      <c r="N59" s="45"/>
      <c r="O59" s="45" t="s">
        <v>81</v>
      </c>
      <c r="P59" s="45"/>
      <c r="Q59" s="65">
        <v>2024</v>
      </c>
      <c r="R59" s="45" t="s">
        <v>85</v>
      </c>
      <c r="S59" s="209"/>
      <c r="T59" s="209"/>
      <c r="U59" s="209"/>
      <c r="V59" s="49"/>
      <c r="W59" s="74" t="s">
        <v>76</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0" customHeight="1" x14ac:dyDescent="0.2">
      <c r="A60" s="53">
        <v>215.4</v>
      </c>
      <c r="B60" s="38">
        <f t="shared" si="3"/>
        <v>3</v>
      </c>
      <c r="C60" s="55" t="s">
        <v>174</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38.75" customHeight="1" x14ac:dyDescent="0.2">
      <c r="A61" s="53">
        <v>215.41</v>
      </c>
      <c r="B61" s="38">
        <f t="shared" si="3"/>
        <v>4</v>
      </c>
      <c r="C61" s="55" t="s">
        <v>175</v>
      </c>
      <c r="D61" s="39" t="str">
        <f t="shared" si="2"/>
        <v xml:space="preserve">                        Radwaste Building Slab Roof</v>
      </c>
      <c r="E61" s="39" t="s">
        <v>35</v>
      </c>
      <c r="F61" s="39"/>
      <c r="G61" s="39"/>
      <c r="H61" s="39"/>
      <c r="I61" s="39"/>
      <c r="J61" s="43"/>
      <c r="K61" s="44">
        <f>1200 *1.53</f>
        <v>1836</v>
      </c>
      <c r="L61" s="45" t="s">
        <v>79</v>
      </c>
      <c r="M61" s="47" t="s">
        <v>176</v>
      </c>
      <c r="N61" s="45"/>
      <c r="O61" s="45" t="s">
        <v>81</v>
      </c>
      <c r="P61" s="45"/>
      <c r="Q61" s="65">
        <v>2024</v>
      </c>
      <c r="R61" s="45" t="s">
        <v>85</v>
      </c>
      <c r="S61" s="211" t="s">
        <v>73</v>
      </c>
      <c r="T61" s="211" t="s">
        <v>74</v>
      </c>
      <c r="U61" s="210" t="s">
        <v>75</v>
      </c>
      <c r="V61" s="49"/>
      <c r="W61" s="74" t="s">
        <v>76</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38.75" customHeight="1" x14ac:dyDescent="0.2">
      <c r="A62" s="53">
        <v>215.42</v>
      </c>
      <c r="B62" s="38">
        <f t="shared" si="3"/>
        <v>4</v>
      </c>
      <c r="C62" s="55" t="s">
        <v>177</v>
      </c>
      <c r="D62" s="39" t="str">
        <f t="shared" si="2"/>
        <v xml:space="preserve">                        Radwaste Building Basement</v>
      </c>
      <c r="E62" s="39" t="s">
        <v>35</v>
      </c>
      <c r="F62" s="39"/>
      <c r="G62" s="39"/>
      <c r="H62" s="39"/>
      <c r="I62" s="39"/>
      <c r="J62" s="43"/>
      <c r="K62" s="44">
        <f>943.9*1.53</f>
        <v>1444.1669999999999</v>
      </c>
      <c r="L62" s="45" t="s">
        <v>79</v>
      </c>
      <c r="M62" s="47" t="s">
        <v>178</v>
      </c>
      <c r="N62" s="45"/>
      <c r="O62" s="45" t="s">
        <v>81</v>
      </c>
      <c r="P62" s="45"/>
      <c r="Q62" s="65">
        <v>2024</v>
      </c>
      <c r="R62" s="45" t="s">
        <v>85</v>
      </c>
      <c r="S62" s="208"/>
      <c r="T62" s="208"/>
      <c r="U62" s="208"/>
      <c r="V62" s="49"/>
      <c r="W62" s="74" t="s">
        <v>76</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57.25" customHeight="1" x14ac:dyDescent="0.2">
      <c r="A63" s="53">
        <v>215.43</v>
      </c>
      <c r="B63" s="38">
        <f t="shared" si="3"/>
        <v>4</v>
      </c>
      <c r="C63" s="55" t="s">
        <v>179</v>
      </c>
      <c r="D63" s="39" t="str">
        <f t="shared" si="2"/>
        <v xml:space="preserve">                        Radwaste Building Walls</v>
      </c>
      <c r="E63" s="39" t="s">
        <v>35</v>
      </c>
      <c r="F63" s="39"/>
      <c r="G63" s="39"/>
      <c r="H63" s="39"/>
      <c r="I63" s="39"/>
      <c r="J63" s="43"/>
      <c r="K63" s="44">
        <f>721.21*1.53</f>
        <v>1103.4513000000002</v>
      </c>
      <c r="L63" s="45" t="s">
        <v>79</v>
      </c>
      <c r="M63" s="47" t="s">
        <v>180</v>
      </c>
      <c r="N63" s="45"/>
      <c r="O63" s="45" t="s">
        <v>81</v>
      </c>
      <c r="P63" s="45"/>
      <c r="Q63" s="65">
        <v>2024</v>
      </c>
      <c r="R63" s="45" t="s">
        <v>85</v>
      </c>
      <c r="S63" s="209"/>
      <c r="T63" s="209"/>
      <c r="U63" s="209"/>
      <c r="V63" s="49"/>
      <c r="W63" s="74" t="s">
        <v>76</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0" customHeight="1" x14ac:dyDescent="0.2">
      <c r="A64" s="37">
        <v>22</v>
      </c>
      <c r="B64" s="38">
        <f t="shared" si="3"/>
        <v>1</v>
      </c>
      <c r="C64" s="55" t="s">
        <v>181</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0" customHeight="1" x14ac:dyDescent="0.2">
      <c r="A65" s="53">
        <v>221</v>
      </c>
      <c r="B65" s="38">
        <f t="shared" si="3"/>
        <v>2</v>
      </c>
      <c r="C65" s="55" t="s">
        <v>182</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40" customHeight="1" x14ac:dyDescent="0.2">
      <c r="A66" s="53">
        <v>221.1</v>
      </c>
      <c r="B66" s="38">
        <f t="shared" si="3"/>
        <v>3</v>
      </c>
      <c r="C66" s="55" t="s">
        <v>183</v>
      </c>
      <c r="D66" s="39" t="str">
        <f t="shared" ref="D66:D97"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84" customHeight="1" x14ac:dyDescent="0.2">
      <c r="A67" s="53">
        <v>221.11</v>
      </c>
      <c r="B67" s="38">
        <f t="shared" si="3"/>
        <v>4</v>
      </c>
      <c r="C67" s="55" t="s">
        <v>184</v>
      </c>
      <c r="D67" s="39" t="str">
        <f t="shared" si="4"/>
        <v xml:space="preserve">                        Reactor Support</v>
      </c>
      <c r="E67" s="39" t="s">
        <v>35</v>
      </c>
      <c r="F67" s="39"/>
      <c r="G67" s="39"/>
      <c r="H67" s="39"/>
      <c r="I67" s="39"/>
      <c r="J67" s="43"/>
      <c r="K67" s="60">
        <f>MARVEL_Cost!C16/N67</f>
        <v>311.55798937474458</v>
      </c>
      <c r="L67" s="49" t="s">
        <v>185</v>
      </c>
      <c r="M67" s="58" t="s">
        <v>186</v>
      </c>
      <c r="N67" s="49">
        <f>1000*('Design Variables'!B52+'Design Variables'!B49)</f>
        <v>2447</v>
      </c>
      <c r="O67" s="49" t="s">
        <v>187</v>
      </c>
      <c r="P67" s="49">
        <v>0.85</v>
      </c>
      <c r="Q67" s="65">
        <v>2018</v>
      </c>
      <c r="R67" s="49" t="s">
        <v>85</v>
      </c>
      <c r="S67" s="58" t="s">
        <v>188</v>
      </c>
      <c r="T67" s="58"/>
      <c r="U67" s="55"/>
      <c r="V67" s="58" t="s">
        <v>189</v>
      </c>
      <c r="W67" s="74" t="s">
        <v>190</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40" customHeight="1" x14ac:dyDescent="0.2">
      <c r="A68" s="53">
        <v>221.12</v>
      </c>
      <c r="B68" s="38">
        <f t="shared" si="3"/>
        <v>4</v>
      </c>
      <c r="C68" s="55" t="s">
        <v>191</v>
      </c>
      <c r="D68" s="39" t="str">
        <f t="shared" si="4"/>
        <v xml:space="preserve">                        Outer Vessel Structure</v>
      </c>
      <c r="E68" s="39" t="s">
        <v>35</v>
      </c>
      <c r="F68" s="39" t="s">
        <v>192</v>
      </c>
      <c r="G68" s="39" t="s">
        <v>193</v>
      </c>
      <c r="H68" s="39"/>
      <c r="I68" s="39"/>
      <c r="J68" s="43"/>
      <c r="K68" s="60">
        <f>MARVEL_Cost!C17/N68</f>
        <v>757.20768746061754</v>
      </c>
      <c r="L68" s="49" t="s">
        <v>185</v>
      </c>
      <c r="M68" s="58" t="s">
        <v>194</v>
      </c>
      <c r="N68" s="61">
        <f>'Design Variables'!B52*1000</f>
        <v>1587</v>
      </c>
      <c r="O68" s="49" t="s">
        <v>187</v>
      </c>
      <c r="P68" s="49"/>
      <c r="Q68" s="65">
        <v>2017</v>
      </c>
      <c r="R68" s="49" t="s">
        <v>85</v>
      </c>
      <c r="S68" s="58" t="s">
        <v>195</v>
      </c>
      <c r="T68" s="212" t="s">
        <v>196</v>
      </c>
      <c r="U68" s="55"/>
      <c r="V68" s="49"/>
      <c r="W68" s="74" t="s">
        <v>190</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40" customHeight="1" x14ac:dyDescent="0.2">
      <c r="A69" s="53">
        <v>221.12</v>
      </c>
      <c r="B69" s="38">
        <f t="shared" si="3"/>
        <v>4</v>
      </c>
      <c r="C69" s="55" t="s">
        <v>191</v>
      </c>
      <c r="D69" s="39" t="str">
        <f t="shared" si="4"/>
        <v xml:space="preserve">                        Outer Vessel Structure</v>
      </c>
      <c r="E69" s="39" t="s">
        <v>35</v>
      </c>
      <c r="F69" s="39" t="s">
        <v>192</v>
      </c>
      <c r="G69" s="39" t="s">
        <v>197</v>
      </c>
      <c r="H69" s="39"/>
      <c r="I69" s="39"/>
      <c r="J69" s="43"/>
      <c r="K69" s="60">
        <v>154.08000000000001</v>
      </c>
      <c r="L69" s="49" t="s">
        <v>185</v>
      </c>
      <c r="M69" s="58" t="s">
        <v>194</v>
      </c>
      <c r="N69" s="61"/>
      <c r="O69" s="49"/>
      <c r="P69" s="49"/>
      <c r="Q69" s="65">
        <v>2017</v>
      </c>
      <c r="R69" s="49" t="s">
        <v>85</v>
      </c>
      <c r="S69" s="58" t="s">
        <v>195</v>
      </c>
      <c r="T69" s="208"/>
      <c r="U69" s="55"/>
      <c r="V69" s="49"/>
      <c r="W69" s="74" t="s">
        <v>190</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40" customHeight="1" x14ac:dyDescent="0.2">
      <c r="A70" s="53">
        <v>221.12</v>
      </c>
      <c r="B70" s="38">
        <f>IF(ISNUMBER(A70),
    IF(AND(A70=INT(A70), MOD(A70, 10) = 0), 0,
        IF(AND(A70=INT(A70), LEN(A70)=2), 1,
            IF(AND(A70=INT(A70), LEN(A70)=3), 2,
                LEN(A70) - FIND(".", A70) + 2)
        )
    ),
"")</f>
        <v>4</v>
      </c>
      <c r="C70" s="55" t="s">
        <v>191</v>
      </c>
      <c r="D70" s="39" t="str">
        <f t="shared" si="4"/>
        <v xml:space="preserve">                        Outer Vessel Structure</v>
      </c>
      <c r="E70" s="39" t="s">
        <v>35</v>
      </c>
      <c r="F70" s="39" t="s">
        <v>192</v>
      </c>
      <c r="G70" s="39" t="s">
        <v>198</v>
      </c>
      <c r="H70" s="39"/>
      <c r="I70" s="39"/>
      <c r="J70" s="43"/>
      <c r="K70" s="60">
        <v>444.08</v>
      </c>
      <c r="L70" s="49" t="s">
        <v>185</v>
      </c>
      <c r="M70" s="58" t="s">
        <v>194</v>
      </c>
      <c r="N70" s="61"/>
      <c r="O70" s="49"/>
      <c r="P70" s="49"/>
      <c r="Q70" s="65">
        <v>2017</v>
      </c>
      <c r="R70" s="49" t="s">
        <v>85</v>
      </c>
      <c r="S70" s="58" t="s">
        <v>195</v>
      </c>
      <c r="T70" s="208"/>
      <c r="U70" s="55"/>
      <c r="V70" s="49"/>
      <c r="W70" s="74" t="s">
        <v>190</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40" customHeight="1" x14ac:dyDescent="0.2">
      <c r="A71" s="53">
        <v>221.13</v>
      </c>
      <c r="B71" s="38">
        <f>IF(ISNUMBER(A71),
IF(AND(A71=INT(A71), MOD(A71, 10) = 0), 0,
IF(AND(A71=INT(A71), LEN(A71)=2), 1,
IF(AND(A71=INT(A71), LEN(A71)=3), 2,
LEN(A71) - FIND(".", A71) + 2)
)
),
"")</f>
        <v>4</v>
      </c>
      <c r="C71" s="55" t="s">
        <v>199</v>
      </c>
      <c r="D71" s="39" t="str">
        <f t="shared" si="4"/>
        <v xml:space="preserve">                        Inner Vessel Structure</v>
      </c>
      <c r="E71" s="39" t="s">
        <v>35</v>
      </c>
      <c r="F71" s="39" t="s">
        <v>200</v>
      </c>
      <c r="G71" s="39" t="s">
        <v>193</v>
      </c>
      <c r="H71" s="39"/>
      <c r="I71" s="39"/>
      <c r="J71" s="43">
        <f>MARVEL_Cost!C37+MARVEL_Cost!C36</f>
        <v>3369444.6</v>
      </c>
      <c r="K71" s="60">
        <f>(MARVEL_Cost!C35)/N71</f>
        <v>1768.3558139534885</v>
      </c>
      <c r="L71" s="49" t="s">
        <v>185</v>
      </c>
      <c r="M71" s="58" t="s">
        <v>201</v>
      </c>
      <c r="N71" s="49">
        <f>1000*'Design Variables'!B49</f>
        <v>860</v>
      </c>
      <c r="O71" s="49"/>
      <c r="P71" s="49"/>
      <c r="Q71" s="65">
        <v>2017</v>
      </c>
      <c r="R71" s="49" t="s">
        <v>85</v>
      </c>
      <c r="S71" s="58" t="s">
        <v>195</v>
      </c>
      <c r="T71" s="208"/>
      <c r="U71" s="55"/>
      <c r="V71" s="58" t="s">
        <v>202</v>
      </c>
      <c r="W71" s="74" t="s">
        <v>190</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40" customHeight="1" x14ac:dyDescent="0.2">
      <c r="A72" s="53">
        <v>221.13</v>
      </c>
      <c r="B72" s="38">
        <f>IF(ISNUMBER(A72),
IF(AND(A72=INT(A72), MOD(A72, 10) = 0), 0,
IF(AND(A72=INT(A72), LEN(A72)=2), 1,
IF(AND(A72=INT(A72), LEN(A72)=3), 2,
LEN(A72) - FIND(".", A72) + 2)
)
),
"")</f>
        <v>4</v>
      </c>
      <c r="C72" s="55" t="s">
        <v>199</v>
      </c>
      <c r="D72" s="39" t="str">
        <f t="shared" si="4"/>
        <v xml:space="preserve">                        Inner Vessel Structure</v>
      </c>
      <c r="E72" s="39" t="s">
        <v>35</v>
      </c>
      <c r="F72" s="39" t="s">
        <v>200</v>
      </c>
      <c r="G72" s="39" t="s">
        <v>197</v>
      </c>
      <c r="H72" s="39"/>
      <c r="I72" s="39"/>
      <c r="J72" s="43"/>
      <c r="K72" s="60">
        <v>154.08000000000001</v>
      </c>
      <c r="L72" s="49" t="s">
        <v>185</v>
      </c>
      <c r="M72" s="58" t="s">
        <v>201</v>
      </c>
      <c r="N72" s="49"/>
      <c r="O72" s="49"/>
      <c r="P72" s="49"/>
      <c r="Q72" s="65">
        <v>2017</v>
      </c>
      <c r="R72" s="49" t="s">
        <v>85</v>
      </c>
      <c r="S72" s="58" t="s">
        <v>195</v>
      </c>
      <c r="T72" s="208"/>
      <c r="U72" s="55"/>
      <c r="V72" s="58"/>
      <c r="W72" s="74" t="s">
        <v>190</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40" customHeight="1" x14ac:dyDescent="0.2">
      <c r="A73" s="53">
        <v>221.13</v>
      </c>
      <c r="B73" s="38">
        <f>IF(ISNUMBER(A73),
    IF(AND(A73=INT(A73), MOD(A73, 10) = 0), 0,
        IF(AND(A73=INT(A73), LEN(A73)=2), 1,
            IF(AND(A73=INT(A73), LEN(A73)=3), 2,
                LEN(A73) - FIND(".", A73) + 2)
        )
    ),
"")</f>
        <v>4</v>
      </c>
      <c r="C73" s="55" t="s">
        <v>199</v>
      </c>
      <c r="D73" s="39" t="str">
        <f t="shared" si="4"/>
        <v xml:space="preserve">                        Inner Vessel Structure</v>
      </c>
      <c r="E73" s="39" t="s">
        <v>35</v>
      </c>
      <c r="F73" s="39" t="s">
        <v>200</v>
      </c>
      <c r="G73" s="39" t="s">
        <v>198</v>
      </c>
      <c r="H73" s="39"/>
      <c r="I73" s="39"/>
      <c r="J73" s="43"/>
      <c r="K73" s="60">
        <v>444.08</v>
      </c>
      <c r="L73" s="49" t="s">
        <v>185</v>
      </c>
      <c r="M73" s="58" t="s">
        <v>201</v>
      </c>
      <c r="N73" s="49"/>
      <c r="O73" s="49"/>
      <c r="P73" s="49"/>
      <c r="Q73" s="65">
        <v>2017</v>
      </c>
      <c r="R73" s="49" t="s">
        <v>85</v>
      </c>
      <c r="S73" s="58" t="s">
        <v>195</v>
      </c>
      <c r="T73" s="209"/>
      <c r="U73" s="55"/>
      <c r="V73" s="58"/>
      <c r="W73" s="74" t="s">
        <v>190</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40" customHeight="1" x14ac:dyDescent="0.2">
      <c r="A74" s="53">
        <v>221.2</v>
      </c>
      <c r="B74" s="38">
        <f>IF(ISNUMBER(A74),
IF(AND(A74=INT(A74), MOD(A74, 10) = 0), 0,
IF(AND(A74=INT(A74), LEN(A74)=2), 1,
IF(AND(A74=INT(A74), LEN(A74)=3), 2,
LEN(A74) - FIND(".", A74) + 2)
)
),
"")</f>
        <v>3</v>
      </c>
      <c r="C74" s="55" t="s">
        <v>203</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40" customHeight="1" x14ac:dyDescent="0.2">
      <c r="A75" s="53">
        <v>221.21</v>
      </c>
      <c r="B75" s="38">
        <f>IF(ISNUMBER(A75),
IF(AND(A75=INT(A75), MOD(A75, 10) = 0), 0,
IF(AND(A75=INT(A75), LEN(A75)=2), 1,
IF(AND(A75=INT(A75), LEN(A75)=3), 2,
LEN(A75) - FIND(".", A75) + 2)
)
),
"")</f>
        <v>4</v>
      </c>
      <c r="C75" s="55" t="s">
        <v>204</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56" customHeight="1" x14ac:dyDescent="0.15">
      <c r="A76" s="53">
        <v>221.21100000000001</v>
      </c>
      <c r="B76" s="38">
        <f>IF(ISNUMBER(A76),
IF(AND(A76=INT(A76), MOD(A76, 10) = 0), 0,
IF(AND(A76=INT(A76), LEN(A76)=2), 1,
IF(AND(A76=INT(A76), LEN(A76)=3), 2,
LEN(A76) - FIND(".", A76) + 2)
)
),
"")</f>
        <v>5</v>
      </c>
      <c r="C76" s="55" t="s">
        <v>205</v>
      </c>
      <c r="D76" s="39" t="str">
        <f t="shared" si="4"/>
        <v xml:space="preserve">                              Reactivity Control System Fabrication</v>
      </c>
      <c r="E76" s="39" t="s">
        <v>35</v>
      </c>
      <c r="F76" s="39"/>
      <c r="G76" s="39"/>
      <c r="H76" s="39"/>
      <c r="I76" s="39"/>
      <c r="J76" s="43"/>
      <c r="K76" s="60">
        <f>MARVEL_Cost!C21/'Design Variables'!B21</f>
        <v>347890</v>
      </c>
      <c r="L76" s="49" t="s">
        <v>206</v>
      </c>
      <c r="M76" s="58" t="s">
        <v>207</v>
      </c>
      <c r="N76" s="49"/>
      <c r="O76" s="49"/>
      <c r="P76" s="49"/>
      <c r="Q76" s="65">
        <v>2024</v>
      </c>
      <c r="R76" s="49" t="s">
        <v>85</v>
      </c>
      <c r="S76" s="58" t="s">
        <v>208</v>
      </c>
      <c r="T76" s="212" t="s">
        <v>209</v>
      </c>
      <c r="U76" s="213" t="s">
        <v>210</v>
      </c>
      <c r="V76" s="58" t="s">
        <v>211</v>
      </c>
      <c r="W76" s="74" t="s">
        <v>212</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213</v>
      </c>
      <c r="D77" s="39" t="str">
        <f t="shared" si="4"/>
        <v xml:space="preserve">                              Installation</v>
      </c>
      <c r="E77" s="39" t="s">
        <v>35</v>
      </c>
      <c r="F77" s="39"/>
      <c r="G77" s="39"/>
      <c r="H77" s="39"/>
      <c r="I77" s="39"/>
      <c r="J77" s="43"/>
      <c r="K77" s="60">
        <f>MARVEL_Cost!C22/'Design Variables'!B21</f>
        <v>80665.75</v>
      </c>
      <c r="L77" s="49" t="s">
        <v>206</v>
      </c>
      <c r="M77" s="58" t="s">
        <v>207</v>
      </c>
      <c r="N77" s="49"/>
      <c r="O77" s="49"/>
      <c r="P77" s="49"/>
      <c r="Q77" s="65">
        <v>2024</v>
      </c>
      <c r="R77" s="49" t="s">
        <v>72</v>
      </c>
      <c r="S77" s="58" t="s">
        <v>208</v>
      </c>
      <c r="T77" s="208"/>
      <c r="U77" s="208"/>
      <c r="V77" s="49"/>
      <c r="W77" s="74" t="s">
        <v>212</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40" customHeight="1" x14ac:dyDescent="0.15">
      <c r="A78" s="53">
        <v>221.21299999999999</v>
      </c>
      <c r="B78" s="38">
        <f>IF(ISNUMBER(A78),
IF(AND(A78=INT(A78), MOD(A78, 10) = 0), 0,
IF(AND(A78=INT(A78), LEN(A78)=2), 1,
IF(AND(A78=INT(A78), LEN(A78)=3), 2,
LEN(A78) - FIND(".", A78) + 2)
)
),
"")</f>
        <v>5</v>
      </c>
      <c r="C78" s="55" t="s">
        <v>214</v>
      </c>
      <c r="D78" s="39" t="str">
        <f t="shared" si="4"/>
        <v xml:space="preserve">                              Control Drums Materials (Absorber)</v>
      </c>
      <c r="E78" s="39" t="s">
        <v>35</v>
      </c>
      <c r="F78" s="39" t="s">
        <v>215</v>
      </c>
      <c r="G78" s="39" t="s">
        <v>216</v>
      </c>
      <c r="H78" s="39"/>
      <c r="I78" s="39"/>
      <c r="J78" s="43"/>
      <c r="K78" s="60">
        <f>400000/N78</f>
        <v>14285.714285714286</v>
      </c>
      <c r="L78" s="49" t="s">
        <v>185</v>
      </c>
      <c r="M78" s="58" t="s">
        <v>217</v>
      </c>
      <c r="N78" s="49">
        <f>'Design Variables'!B28+'Design Variables'!B29</f>
        <v>28</v>
      </c>
      <c r="O78" s="49" t="s">
        <v>187</v>
      </c>
      <c r="P78" s="49">
        <v>1</v>
      </c>
      <c r="Q78" s="65">
        <v>2024</v>
      </c>
      <c r="R78" s="49" t="s">
        <v>218</v>
      </c>
      <c r="S78" s="58" t="s">
        <v>208</v>
      </c>
      <c r="T78" s="208"/>
      <c r="U78" s="208"/>
      <c r="V78" s="49"/>
      <c r="W78" s="74" t="s">
        <v>156</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40" customHeight="1" x14ac:dyDescent="0.15">
      <c r="A79" s="53">
        <v>221.21299999999999</v>
      </c>
      <c r="B79" s="38">
        <f>IF(ISNUMBER(A79),
    IF(AND(A79=INT(A79), MOD(A79, 10) = 0), 0,
        IF(AND(A79=INT(A79), LEN(A79)=2), 1,
            IF(AND(A79=INT(A79), LEN(A79)=3), 2,
                LEN(A79) - FIND(".", A79) + 2)
        )
    ),
"")</f>
        <v>5</v>
      </c>
      <c r="C79" s="55" t="s">
        <v>214</v>
      </c>
      <c r="D79" s="39" t="str">
        <f t="shared" si="4"/>
        <v xml:space="preserve">                              Control Drums Materials (Absorber)</v>
      </c>
      <c r="E79" s="39" t="s">
        <v>35</v>
      </c>
      <c r="F79" s="39" t="s">
        <v>215</v>
      </c>
      <c r="G79" s="39" t="s">
        <v>219</v>
      </c>
      <c r="H79" s="39"/>
      <c r="I79" s="39"/>
      <c r="J79" s="43"/>
      <c r="K79" s="60">
        <v>10064</v>
      </c>
      <c r="L79" s="49" t="s">
        <v>185</v>
      </c>
      <c r="M79" s="58" t="s">
        <v>217</v>
      </c>
      <c r="N79" s="49"/>
      <c r="O79" s="49"/>
      <c r="P79" s="49"/>
      <c r="Q79" s="65">
        <v>2023</v>
      </c>
      <c r="R79" s="49" t="s">
        <v>218</v>
      </c>
      <c r="S79" s="58" t="s">
        <v>220</v>
      </c>
      <c r="T79" s="208"/>
      <c r="U79" s="208"/>
      <c r="V79" s="49"/>
      <c r="W79" s="74" t="s">
        <v>156</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40" customHeight="1" x14ac:dyDescent="0.15">
      <c r="A80" s="53">
        <v>221.214</v>
      </c>
      <c r="B80" s="38">
        <f>IF(ISNUMBER(A80),
IF(AND(A80=INT(A80), MOD(A80, 10) = 0), 0,
IF(AND(A80=INT(A80), LEN(A80)=2), 1,
IF(AND(A80=INT(A80), LEN(A80)=3), 2,
LEN(A80) - FIND(".", A80) + 2)
)
),
"")</f>
        <v>5</v>
      </c>
      <c r="C80" s="55" t="s">
        <v>221</v>
      </c>
      <c r="D80" s="39" t="str">
        <f t="shared" si="4"/>
        <v xml:space="preserve">                              Control Drums Materials (Reflector)</v>
      </c>
      <c r="E80" s="39" t="s">
        <v>35</v>
      </c>
      <c r="F80" s="39" t="s">
        <v>222</v>
      </c>
      <c r="G80" s="39" t="s">
        <v>223</v>
      </c>
      <c r="H80" s="39"/>
      <c r="I80" s="39"/>
      <c r="J80" s="43"/>
      <c r="K80" s="63">
        <f>MARVEL_Cost!C27/N80</f>
        <v>10062.893081761007</v>
      </c>
      <c r="L80" s="49" t="s">
        <v>185</v>
      </c>
      <c r="M80" s="58" t="s">
        <v>224</v>
      </c>
      <c r="N80" s="49">
        <f>'Design Variables'!B17</f>
        <v>318</v>
      </c>
      <c r="O80" s="49" t="s">
        <v>187</v>
      </c>
      <c r="P80" s="49">
        <v>1</v>
      </c>
      <c r="Q80" s="65">
        <v>2024</v>
      </c>
      <c r="R80" s="49" t="s">
        <v>218</v>
      </c>
      <c r="S80" s="58" t="s">
        <v>208</v>
      </c>
      <c r="T80" s="209"/>
      <c r="U80" s="209"/>
      <c r="V80" s="49"/>
      <c r="W80" s="74" t="s">
        <v>225</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40" customHeight="1" x14ac:dyDescent="0.15">
      <c r="A81" s="53">
        <v>221.214</v>
      </c>
      <c r="B81" s="38">
        <f>IF(ISNUMBER(A81),
IF(AND(A81=INT(A81), MOD(A81, 10) = 0), 0,
IF(AND(A81=INT(A81), LEN(A81)=2), 1,
IF(AND(A81=INT(A81), LEN(A81)=3), 2,
LEN(A81) - FIND(".", A81) + 2)
)
),
"")</f>
        <v>5</v>
      </c>
      <c r="C81" s="71" t="s">
        <v>221</v>
      </c>
      <c r="D81" s="39" t="str">
        <f t="shared" si="4"/>
        <v xml:space="preserve">                              Control Drums Materials (Reflector)</v>
      </c>
      <c r="E81" s="39" t="s">
        <v>35</v>
      </c>
      <c r="F81" s="39" t="s">
        <v>222</v>
      </c>
      <c r="G81" s="39" t="s">
        <v>226</v>
      </c>
      <c r="H81" s="39"/>
      <c r="I81" s="39"/>
      <c r="J81" s="46"/>
      <c r="K81" s="63">
        <f>MARVEL_Cost!C28/N81</f>
        <v>44736.84210526316</v>
      </c>
      <c r="L81" s="49" t="s">
        <v>185</v>
      </c>
      <c r="M81" s="58" t="s">
        <v>224</v>
      </c>
      <c r="N81" s="49">
        <f>1000*'Design Variables'!B19</f>
        <v>19</v>
      </c>
      <c r="O81" s="49" t="s">
        <v>187</v>
      </c>
      <c r="P81" s="49">
        <v>1</v>
      </c>
      <c r="Q81" s="65">
        <v>2024</v>
      </c>
      <c r="R81" s="49" t="s">
        <v>218</v>
      </c>
      <c r="S81" s="58" t="s">
        <v>208</v>
      </c>
      <c r="T81" s="75"/>
      <c r="U81" s="64"/>
      <c r="V81" s="49"/>
      <c r="W81" s="74" t="s">
        <v>227</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40" customHeight="1" x14ac:dyDescent="0.15">
      <c r="A82" s="53">
        <v>221.214</v>
      </c>
      <c r="B82" s="38">
        <f>IF(ISNUMBER(A82),
    IF(AND(A82=INT(A82), MOD(A82, 10) = 0), 0,
        IF(AND(A82=INT(A82), LEN(A82)=2), 1,
            IF(AND(A82=INT(A82), LEN(A82)=3), 2,
                LEN(A82) - FIND(".", A82) + 2)
        )
    ),
"")</f>
        <v>5</v>
      </c>
      <c r="C82" s="55" t="s">
        <v>221</v>
      </c>
      <c r="D82" s="39" t="str">
        <f t="shared" si="4"/>
        <v xml:space="preserve">                              Control Drums Materials (Reflector)</v>
      </c>
      <c r="E82" s="39" t="s">
        <v>35</v>
      </c>
      <c r="F82" s="39" t="s">
        <v>222</v>
      </c>
      <c r="G82" s="39" t="s">
        <v>228</v>
      </c>
      <c r="H82" s="39"/>
      <c r="I82" s="39"/>
      <c r="J82" s="43"/>
      <c r="K82" s="63">
        <v>80</v>
      </c>
      <c r="L82" s="49" t="s">
        <v>185</v>
      </c>
      <c r="M82" s="58" t="s">
        <v>224</v>
      </c>
      <c r="N82" s="49"/>
      <c r="O82" s="49"/>
      <c r="P82" s="49"/>
      <c r="Q82" s="65">
        <v>2022</v>
      </c>
      <c r="R82" s="49" t="s">
        <v>218</v>
      </c>
      <c r="S82" s="58" t="s">
        <v>229</v>
      </c>
      <c r="T82" s="62" t="s">
        <v>230</v>
      </c>
      <c r="U82" s="64"/>
      <c r="V82" s="49"/>
      <c r="W82" s="74" t="s">
        <v>156</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40" customHeight="1" x14ac:dyDescent="0.15">
      <c r="A83" s="53">
        <v>221.215</v>
      </c>
      <c r="B83" s="38">
        <f>IF(ISNUMBER(A83),
IF(AND(A83=INT(A83), MOD(A83, 10) = 0), 0,
IF(AND(A83=INT(A83), LEN(A83)=2), 1,
IF(AND(A83=INT(A83), LEN(A83)=3), 2,
LEN(A83) - FIND(".", A83) + 2)
)
),
"")</f>
        <v>5</v>
      </c>
      <c r="C83" s="55" t="s">
        <v>231</v>
      </c>
      <c r="D83" s="39" t="str">
        <f t="shared" si="4"/>
        <v xml:space="preserve">                              Control System Drive Mechanism</v>
      </c>
      <c r="E83" s="39" t="s">
        <v>35</v>
      </c>
      <c r="F83" s="39"/>
      <c r="G83" s="39"/>
      <c r="H83" s="39"/>
      <c r="I83" s="39"/>
      <c r="J83" s="43"/>
      <c r="K83" s="60">
        <v>74759</v>
      </c>
      <c r="L83" s="49" t="s">
        <v>206</v>
      </c>
      <c r="M83" s="58" t="s">
        <v>207</v>
      </c>
      <c r="N83" s="49"/>
      <c r="O83" s="49"/>
      <c r="P83" s="49"/>
      <c r="Q83" s="65">
        <v>2023</v>
      </c>
      <c r="R83" s="49" t="s">
        <v>85</v>
      </c>
      <c r="S83" s="58" t="s">
        <v>220</v>
      </c>
      <c r="T83" s="62" t="s">
        <v>232</v>
      </c>
      <c r="U83" s="64"/>
      <c r="V83" s="49" t="s">
        <v>233</v>
      </c>
      <c r="W83" s="74" t="s">
        <v>212</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3" s="33" customFormat="1" ht="30" customHeight="1" x14ac:dyDescent="0.15">
      <c r="A84" s="53">
        <v>221.216</v>
      </c>
      <c r="B84" s="38">
        <f>IF(ISNUMBER(A84),IF(AND(A84=INT(A84),MOD(A84,10)=0),0,IF(AND(A84=INT(A84),LEN(A84)=2),1,IF(AND(A84=INT(A84),LEN(A84)=3),2,LEN(A84)-FIND(".",A84)+2))),"")</f>
        <v>5</v>
      </c>
      <c r="C84" s="55"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0">
        <v>14285.714285714286</v>
      </c>
      <c r="L84" s="49" t="inlineStr">
        <is>
          <t>$/Kg</t>
        </is>
      </c>
      <c r="M84" s="58" t="inlineStr">
        <is>
          <t>Shutdown Rod Absorber Mass</t>
        </is>
      </c>
      <c r="N84" s="49">
        <v>28</v>
      </c>
      <c r="O84" s="49" t="inlineStr">
        <is>
          <t>Kg</t>
        </is>
      </c>
      <c r="P84" s="49">
        <v>1</v>
      </c>
      <c r="Q84" s="65">
        <v>2024</v>
      </c>
      <c r="R84" s="49" t="inlineStr">
        <is>
          <t>Material</t>
        </is>
      </c>
      <c r="S84" s="58" t="inlineStr">
        <is>
          <t xml:space="preserve">MARVEL Project </t>
        </is>
      </c>
      <c r="T84" s="208"/>
      <c r="U84" s="208"/>
      <c r="V84" s="49" t="inlineStr">
        <is>
          <t>Existing MARVEL natural-B4C cost retained unchanged for shutdown-rod material costing.</t>
        </is>
      </c>
      <c r="W84" s="74" t="inlineStr">
        <is>
          <t>Factory Other</t>
        </is>
      </c>
      <c r="X84" s="77">
        <f>0.9*$J84</f>
        <v>0</v>
      </c>
      <c r="Y84" s="77">
        <f>1.5*J84</f>
        <v>0</v>
      </c>
      <c r="Z84" s="74" t="inlineStr">
        <is>
          <t>Lognormal</t>
        </is>
      </c>
      <c r="AA84" s="76">
        <f>0.9*K84</f>
        <v>12857.142857142859</v>
      </c>
      <c r="AB84" s="76">
        <f>1.3*K84</f>
        <v>18571.428571428572</v>
      </c>
      <c r="AC84" s="74"/>
      <c r="AD84" s="76"/>
      <c r="AE84" s="76"/>
      <c r="AF84" s="76"/>
      <c r="AG84" s="74"/>
    </row>
    <row r="85" spans="1:33" s="33" customFormat="1" ht="30" customHeight="1" x14ac:dyDescent="0.15">
      <c r="A85" s="53">
        <v>221.216</v>
      </c>
      <c r="B85" s="38">
        <f>IF(ISNUMBER(A85),IF(AND(A85=INT(A85),MOD(A85,10)=0),0,IF(AND(A85=INT(A85),LEN(A85)=2),1,IF(AND(A85=INT(A85),LEN(A85)=3),2,LEN(A85)-FIND(".",A85)+2))),"")</f>
        <v>5</v>
      </c>
      <c r="C85" s="55"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0">
        <v>10064</v>
      </c>
      <c r="L85" s="49" t="inlineStr">
        <is>
          <t>$/Kg</t>
        </is>
      </c>
      <c r="M85" s="58" t="inlineStr">
        <is>
          <t>Shutdown Rod Absorber Mass</t>
        </is>
      </c>
      <c r="N85" s="49"/>
      <c r="O85" s="49" t="inlineStr">
        <is>
          <t>Kg</t>
        </is>
      </c>
      <c r="P85" s="49">
        <v>1</v>
      </c>
      <c r="Q85" s="65">
        <v>2023</v>
      </c>
      <c r="R85" s="49" t="inlineStr">
        <is>
          <t>Material</t>
        </is>
      </c>
      <c r="S85" s="58" t="inlineStr">
        <is>
          <t>Prosser et al., 2023</t>
        </is>
      </c>
      <c r="T85" s="208" t="inlineStr">
        <is>
          <t>First-Principles Cost Estimation of a Sodium Fast Reactor Nuclear Plant. INL/RPT-23-74316</t>
        </is>
      </c>
      <c r="U85" s="208"/>
      <c r="V85" s="49" t="inlineStr">
        <is>
          <t>Existing enriched-B4C cost retained unchanged for shutdown-rod material costing.</t>
        </is>
      </c>
      <c r="W85" s="74" t="inlineStr">
        <is>
          <t>Factory Other</t>
        </is>
      </c>
      <c r="X85" s="77">
        <f>0.9*$J85</f>
        <v>0</v>
      </c>
      <c r="Y85" s="77">
        <f>1.5*J85</f>
        <v>0</v>
      </c>
      <c r="Z85" s="74" t="inlineStr">
        <is>
          <t>Lognormal</t>
        </is>
      </c>
      <c r="AA85" s="76">
        <f>0.9*K85</f>
        <v>9057.6</v>
      </c>
      <c r="AB85" s="76">
        <f>1.3*K85</f>
        <v>13083.2</v>
      </c>
      <c r="AC85" s="74"/>
      <c r="AD85" s="76"/>
      <c r="AE85" s="76"/>
      <c r="AF85" s="76"/>
      <c r="AG85" s="74"/>
    </row>
    <row r="86" spans="1:33" s="33" customFormat="1" ht="30" customHeight="1" x14ac:dyDescent="0.15">
      <c r="A86" s="53">
        <v>221.217</v>
      </c>
      <c r="B86" s="38">
        <f>IF(ISNUMBER(A86),IF(AND(A86=INT(A86),MOD(A86,10)=0),0,IF(AND(A86=INT(A86),LEN(A86)=2),1,IF(AND(A86=INT(A86),LEN(A86)=3),2,LEN(A86)-FIND(".",A86)+2))),"")</f>
        <v>5</v>
      </c>
      <c r="C86" s="55"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0">
        <v>757.2076874606175</v>
      </c>
      <c r="L86" s="49" t="inlineStr">
        <is>
          <t>$/Kg</t>
        </is>
      </c>
      <c r="M86" s="58" t="inlineStr">
        <is>
          <t>Shutdown Rod Cladding Mass</t>
        </is>
      </c>
      <c r="N86" s="49">
        <v>1587</v>
      </c>
      <c r="O86" s="49" t="inlineStr">
        <is>
          <t>Kg</t>
        </is>
      </c>
      <c r="P86" s="49">
        <v>1</v>
      </c>
      <c r="Q86" s="65">
        <v>2017</v>
      </c>
      <c r="R86" s="49" t="inlineStr">
        <is>
          <t>Lab and Mat and Equip</t>
        </is>
      </c>
      <c r="S86" s="58" t="inlineStr">
        <is>
          <t>Ganda et al., 2018</t>
        </is>
      </c>
      <c r="T86" s="208" t="inlineStr">
        <is>
          <t>Ganda, F., Hoffman, E., Taiwo, T. A., Kim, T. K., &amp; Hansen, J. (2019). Report on the ACCERT cost algorithms tool (No. ANL/NSE-19/10).</t>
        </is>
      </c>
      <c r="U86" s="208"/>
      <c r="V86" s="49" t="inlineStr">
        <is>
          <t>Ganda stainless_steel cost used as a proxy for SS304 shutdown-rod cladding.</t>
        </is>
      </c>
      <c r="W86" s="74" t="inlineStr">
        <is>
          <t>Factory Other</t>
        </is>
      </c>
      <c r="X86" s="77">
        <f>0.9*$J86</f>
        <v>0</v>
      </c>
      <c r="Y86" s="77">
        <f>1.5*J86</f>
        <v>0</v>
      </c>
      <c r="Z86" s="74" t="inlineStr">
        <is>
          <t>Lognormal</t>
        </is>
      </c>
      <c r="AA86" s="76">
        <f>0.9*K86</f>
        <v>681.4869187145558</v>
      </c>
      <c r="AB86" s="76">
        <f>1.3*K86</f>
        <v>984.3699936988028</v>
      </c>
      <c r="AC86" s="74"/>
      <c r="AD86" s="76"/>
      <c r="AE86" s="76"/>
      <c r="AF86" s="76"/>
      <c r="AG86" s="74"/>
    </row>
    <row r="87" spans="1:36" ht="20" customHeight="1" x14ac:dyDescent="0.2">
      <c r="A87" s="53">
        <v>221.3</v>
      </c>
      <c r="B87" s="38">
        <f>IF(ISNUMBER(A87),
IF(AND(A87=INT(A87), MOD(A87, 10) = 0), 0,
IF(AND(A87=INT(A87), LEN(A87)=2), 1,
IF(AND(A87=INT(A87), LEN(A87)=3), 2,
LEN(A87) - FIND(".", A87) + 2)
)
),
"")</f>
        <v>3</v>
      </c>
      <c r="C87" s="55" t="s">
        <v>234</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9.25" customHeight="1" x14ac:dyDescent="0.2">
      <c r="A88" s="53">
        <v>221.31</v>
      </c>
      <c r="B88" s="38">
        <f>IF(ISNUMBER(A88),
    IF(AND(A88=INT(A88), MOD(A88, 10) = 0), 0,
        IF(AND(A88=INT(A88), LEN(A88)=2), 1,
            IF(AND(A88=INT(A88), LEN(A88)=3), 2,
                LEN(A88) - FIND(".", A88) + 2)
        )
    ),
"")</f>
        <v>4</v>
      </c>
      <c r="C88" s="55" t="s">
        <v>235</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9.25" customHeight="1" x14ac:dyDescent="0.2">
      <c r="A89" s="53">
        <v>221.31100000000001</v>
      </c>
      <c r="B89" s="38">
        <f>IF(ISNUMBER(A89),
IF(AND(A89=INT(A89), MOD(A89, 10) = 0), 0,
IF(AND(A89=INT(A89), LEN(A89)=2), 1,
IF(AND(A89=INT(A89), LEN(A89)=3), 2,
LEN(A89) - FIND(".", A89) + 2)
)
),
"")</f>
        <v>5</v>
      </c>
      <c r="C89" s="55" t="s">
        <v>236</v>
      </c>
      <c r="D89" s="39" t="str">
        <f t="shared" si="4"/>
        <v xml:space="preserve">                              Radial Reflector</v>
      </c>
      <c r="E89" s="39" t="s">
        <v>35</v>
      </c>
      <c r="F89" s="39" t="s">
        <v>236</v>
      </c>
      <c r="G89" s="39" t="s">
        <v>223</v>
      </c>
      <c r="H89" s="39"/>
      <c r="I89" s="39"/>
      <c r="J89" s="43">
        <f>MARVEL_Cost!C29</f>
        <v>120231</v>
      </c>
      <c r="K89" s="63">
        <f>MARVEL_Cost!C27/N89</f>
        <v>10062.893081761007</v>
      </c>
      <c r="L89" s="49" t="s">
        <v>185</v>
      </c>
      <c r="M89" s="58" t="s">
        <v>237</v>
      </c>
      <c r="N89" s="49">
        <f>'Design Variables'!B17</f>
        <v>318</v>
      </c>
      <c r="O89" s="49" t="s">
        <v>187</v>
      </c>
      <c r="P89" s="49">
        <v>1</v>
      </c>
      <c r="Q89" s="65">
        <v>2024</v>
      </c>
      <c r="R89" s="49" t="s">
        <v>218</v>
      </c>
      <c r="S89" s="58" t="s">
        <v>208</v>
      </c>
      <c r="T89" s="58" t="s">
        <v>209</v>
      </c>
      <c r="U89" s="213" t="s">
        <v>210</v>
      </c>
      <c r="V89" s="49"/>
      <c r="W89" s="74" t="s">
        <v>225</v>
      </c>
      <c r="X89" s="77">
        <f t="shared" ref="X86:X93" si="13">0.9*$J89</f>
        <v>108207.90000000001</v>
      </c>
      <c r="Y89" s="77">
        <f t="shared" ref="Y86:Y93" si="14">1.5*J89</f>
        <v>180346.5</v>
      </c>
      <c r="Z89" s="74" t="s">
        <v>44</v>
      </c>
      <c r="AA89" s="76">
        <f t="shared" ref="AA86:AA93" si="15">0.9*K89</f>
        <v>9056.6037735849059</v>
      </c>
      <c r="AB89" s="76">
        <f t="shared" ref="AB86:AB93" si="16">1.3*K89</f>
        <v>13081.761006289309</v>
      </c>
      <c r="AC89" s="74" t="s">
        <v>44</v>
      </c>
      <c r="AD89" s="76" t="s">
        <v>45</v>
      </c>
      <c r="AE89" s="76" t="s">
        <v>46</v>
      </c>
      <c r="AF89" s="76" t="s">
        <v>47</v>
      </c>
      <c r="AG89" s="74" t="s">
        <v>48</v>
      </c>
    </row>
    <row r="90" spans="1:36" ht="19.25" customHeight="1" x14ac:dyDescent="0.2">
      <c r="A90" s="53">
        <v>221.31200000000001</v>
      </c>
      <c r="B90" s="38">
        <f t="shared" ref="B87:B93" si="17">IF(ISNUMBER(A90),
    IF(AND(A90=INT(A90), MOD(A90, 10) = 0), 0,
        IF(AND(A90=INT(A90), LEN(A90)=2), 1,
            IF(AND(A90=INT(A90), LEN(A90)=3), 2,
                LEN(A90) - FIND(".", A90) + 2)
        )
    ),
"")</f>
        <v>5</v>
      </c>
      <c r="C90" s="55" t="s">
        <v>238</v>
      </c>
      <c r="D90" s="39" t="str">
        <f t="shared" si="4"/>
        <v xml:space="preserve">                              Axial Reflector</v>
      </c>
      <c r="E90" s="39" t="s">
        <v>35</v>
      </c>
      <c r="F90" s="39" t="s">
        <v>238</v>
      </c>
      <c r="G90" s="39" t="s">
        <v>223</v>
      </c>
      <c r="H90" s="39"/>
      <c r="I90" s="39"/>
      <c r="J90" s="43">
        <v>120231</v>
      </c>
      <c r="K90" s="63">
        <v>10062.893081761011</v>
      </c>
      <c r="L90" s="49" t="s">
        <v>185</v>
      </c>
      <c r="M90" s="58" t="s">
        <v>239</v>
      </c>
      <c r="N90" s="49">
        <v>318</v>
      </c>
      <c r="O90" s="49" t="s">
        <v>187</v>
      </c>
      <c r="P90" s="49">
        <v>1</v>
      </c>
      <c r="Q90" s="65">
        <v>2024</v>
      </c>
      <c r="R90" s="49" t="s">
        <v>218</v>
      </c>
      <c r="S90" s="58" t="s">
        <v>208</v>
      </c>
      <c r="T90" s="58" t="s">
        <v>209</v>
      </c>
      <c r="U90" s="208"/>
      <c r="V90" s="49"/>
      <c r="W90" s="74" t="s">
        <v>225</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9.25" customHeight="1" x14ac:dyDescent="0.2">
      <c r="A91" s="53">
        <v>221.31100000000001</v>
      </c>
      <c r="B91" s="38">
        <f t="shared" si="17"/>
        <v>5</v>
      </c>
      <c r="C91" s="55" t="s">
        <v>236</v>
      </c>
      <c r="D91" s="39" t="str">
        <f t="shared" si="4"/>
        <v xml:space="preserve">                              Radial Reflector</v>
      </c>
      <c r="E91" s="39" t="s">
        <v>35</v>
      </c>
      <c r="F91" s="39" t="s">
        <v>236</v>
      </c>
      <c r="G91" s="39" t="s">
        <v>226</v>
      </c>
      <c r="H91" s="39"/>
      <c r="I91" s="39"/>
      <c r="J91" s="43"/>
      <c r="K91" s="63">
        <f>MARVEL_Cost!C28/N81</f>
        <v>44736.84210526316</v>
      </c>
      <c r="L91" s="49" t="s">
        <v>185</v>
      </c>
      <c r="M91" s="58" t="s">
        <v>237</v>
      </c>
      <c r="N91" s="49">
        <f>1000*'Design Variables'!B19</f>
        <v>19</v>
      </c>
      <c r="O91" s="49" t="s">
        <v>187</v>
      </c>
      <c r="P91" s="49">
        <v>1</v>
      </c>
      <c r="Q91" s="65">
        <v>2024</v>
      </c>
      <c r="R91" s="49" t="s">
        <v>218</v>
      </c>
      <c r="S91" s="58" t="s">
        <v>208</v>
      </c>
      <c r="T91" s="58" t="s">
        <v>209</v>
      </c>
      <c r="U91" s="208"/>
      <c r="V91" s="49"/>
      <c r="W91" s="74" t="s">
        <v>227</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9.25" customHeight="1" x14ac:dyDescent="0.2">
      <c r="A92" s="53">
        <v>221.31200000000001</v>
      </c>
      <c r="B92" s="38">
        <f t="shared" si="17"/>
        <v>5</v>
      </c>
      <c r="C92" s="55" t="s">
        <v>238</v>
      </c>
      <c r="D92" s="39" t="str">
        <f t="shared" si="4"/>
        <v xml:space="preserve">                              Axial Reflector</v>
      </c>
      <c r="E92" s="39" t="s">
        <v>35</v>
      </c>
      <c r="F92" s="39" t="s">
        <v>238</v>
      </c>
      <c r="G92" s="39" t="s">
        <v>226</v>
      </c>
      <c r="H92" s="39"/>
      <c r="I92" s="39"/>
      <c r="J92" s="43"/>
      <c r="K92" s="63">
        <v>44736.84210526316</v>
      </c>
      <c r="L92" s="49" t="s">
        <v>185</v>
      </c>
      <c r="M92" s="58" t="s">
        <v>239</v>
      </c>
      <c r="N92" s="49">
        <v>19</v>
      </c>
      <c r="O92" s="49" t="s">
        <v>187</v>
      </c>
      <c r="P92" s="49">
        <v>1</v>
      </c>
      <c r="Q92" s="65">
        <v>2024</v>
      </c>
      <c r="R92" s="49" t="s">
        <v>218</v>
      </c>
      <c r="S92" s="58" t="s">
        <v>208</v>
      </c>
      <c r="T92" s="58" t="s">
        <v>209</v>
      </c>
      <c r="U92" s="208"/>
      <c r="V92" s="49"/>
      <c r="W92" s="74" t="s">
        <v>227</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76" customHeight="1" x14ac:dyDescent="0.2">
      <c r="A93" s="53">
        <v>221.31100000000001</v>
      </c>
      <c r="B93" s="38">
        <f t="shared" si="17"/>
        <v>5</v>
      </c>
      <c r="C93" s="55" t="s">
        <v>236</v>
      </c>
      <c r="D93" s="39" t="str">
        <f t="shared" si="4"/>
        <v xml:space="preserve">                              Radial Reflector</v>
      </c>
      <c r="E93" s="39" t="s">
        <v>35</v>
      </c>
      <c r="F93" s="39" t="s">
        <v>236</v>
      </c>
      <c r="G93" s="39" t="s">
        <v>228</v>
      </c>
      <c r="H93" s="39"/>
      <c r="I93" s="39"/>
      <c r="J93" s="43"/>
      <c r="K93" s="63">
        <v>80</v>
      </c>
      <c r="L93" s="49" t="s">
        <v>185</v>
      </c>
      <c r="M93" s="58" t="s">
        <v>237</v>
      </c>
      <c r="N93" s="49"/>
      <c r="O93" s="49"/>
      <c r="P93" s="49"/>
      <c r="Q93" s="65">
        <v>2022</v>
      </c>
      <c r="R93" s="49" t="s">
        <v>218</v>
      </c>
      <c r="S93" s="58" t="s">
        <v>229</v>
      </c>
      <c r="T93" s="58" t="s">
        <v>230</v>
      </c>
      <c r="U93" s="208"/>
      <c r="V93" s="49"/>
      <c r="W93" s="74" t="s">
        <v>156</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76" customHeight="1" x14ac:dyDescent="0.2">
      <c r="A94" s="53">
        <v>221.31200000000001</v>
      </c>
      <c r="B94" s="38">
        <f t="shared" si="17"/>
        <v>5</v>
      </c>
      <c r="C94" s="55" t="s">
        <v>238</v>
      </c>
      <c r="D94" s="39" t="str">
        <f t="shared" si="4"/>
        <v xml:space="preserve">                              Axial Reflector</v>
      </c>
      <c r="E94" s="39" t="s">
        <v>35</v>
      </c>
      <c r="F94" s="39" t="s">
        <v>238</v>
      </c>
      <c r="G94" s="39" t="s">
        <v>228</v>
      </c>
      <c r="H94" s="39"/>
      <c r="I94" s="39"/>
      <c r="J94" s="43"/>
      <c r="K94" s="63">
        <v>80</v>
      </c>
      <c r="L94" s="49" t="s">
        <v>185</v>
      </c>
      <c r="M94" s="58" t="s">
        <v>239</v>
      </c>
      <c r="N94" s="49"/>
      <c r="O94" s="49"/>
      <c r="P94" s="49"/>
      <c r="Q94" s="65">
        <v>2022</v>
      </c>
      <c r="R94" s="49" t="s">
        <v>218</v>
      </c>
      <c r="S94" s="58" t="s">
        <v>229</v>
      </c>
      <c r="T94" s="58" t="s">
        <v>230</v>
      </c>
      <c r="U94" s="208"/>
      <c r="V94" s="49"/>
      <c r="W94" s="74" t="s">
        <v>156</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38.75" customHeight="1" x14ac:dyDescent="0.2">
      <c r="A95" s="53">
        <v>221.31100000000001</v>
      </c>
      <c r="B95" s="38">
        <f t="shared" si="17"/>
        <v>5</v>
      </c>
      <c r="C95" s="55" t="s">
        <v>236</v>
      </c>
      <c r="D95" s="39" t="str">
        <f t="shared" si="4"/>
        <v xml:space="preserve">                              Radial Reflector</v>
      </c>
      <c r="E95" s="39" t="s">
        <v>35</v>
      </c>
      <c r="F95" s="39" t="s">
        <v>236</v>
      </c>
      <c r="G95" s="39" t="s">
        <v>240</v>
      </c>
      <c r="H95" s="39"/>
      <c r="I95" s="39"/>
      <c r="J95" s="43"/>
      <c r="K95" s="63">
        <v>134.1</v>
      </c>
      <c r="L95" s="49" t="s">
        <v>185</v>
      </c>
      <c r="M95" s="58" t="s">
        <v>237</v>
      </c>
      <c r="N95" s="49"/>
      <c r="O95" s="49"/>
      <c r="P95" s="49"/>
      <c r="Q95" s="65">
        <v>2017</v>
      </c>
      <c r="R95" s="49" t="s">
        <v>218</v>
      </c>
      <c r="S95" s="58" t="s">
        <v>241</v>
      </c>
      <c r="T95" s="58"/>
      <c r="U95" s="208"/>
      <c r="V95" s="49"/>
      <c r="W95" s="74" t="s">
        <v>156</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0" customHeight="1" x14ac:dyDescent="0.2">
      <c r="A96" s="53">
        <v>221.31200000000001</v>
      </c>
      <c r="B96" s="38">
        <f t="shared" si="17"/>
        <v>5</v>
      </c>
      <c r="C96" s="55" t="s">
        <v>238</v>
      </c>
      <c r="D96" s="39" t="str">
        <f t="shared" si="4"/>
        <v xml:space="preserve">                              Axial Reflector</v>
      </c>
      <c r="E96" s="39" t="s">
        <v>35</v>
      </c>
      <c r="F96" s="39" t="s">
        <v>238</v>
      </c>
      <c r="G96" s="39" t="s">
        <v>240</v>
      </c>
      <c r="H96" s="39"/>
      <c r="I96" s="39"/>
      <c r="J96" s="43"/>
      <c r="K96" s="63">
        <v>134.1</v>
      </c>
      <c r="L96" s="49" t="s">
        <v>185</v>
      </c>
      <c r="M96" s="58" t="s">
        <v>239</v>
      </c>
      <c r="N96" s="49"/>
      <c r="O96" s="49"/>
      <c r="P96" s="49"/>
      <c r="Q96" s="65">
        <v>2017</v>
      </c>
      <c r="R96" s="49" t="s">
        <v>218</v>
      </c>
      <c r="S96" s="58" t="s">
        <v>241</v>
      </c>
      <c r="T96" s="58"/>
      <c r="U96" s="208"/>
      <c r="V96" s="49"/>
      <c r="W96" s="74" t="s">
        <v>156</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6" ht="20" customHeight="1" x14ac:dyDescent="0.2">
      <c r="A97" s="53">
        <v>221.32</v>
      </c>
      <c r="B97" s="38">
        <f>IF(ISNUMBER(A97),
IF(AND(A97=INT(A97), MOD(A97, 10) = 0), 0,
IF(AND(A97=INT(A97), LEN(A97)=2), 1,
IF(AND(A97=INT(A97), LEN(A97)=3), 2,
LEN(A97) - FIND(".", A97) + 2)
)
),
"")</f>
        <v>4</v>
      </c>
      <c r="C97" s="55" t="s">
        <v>242</v>
      </c>
      <c r="D97" s="39" t="str">
        <f t="shared" si="4"/>
        <v xml:space="preserve">                        Shield</v>
      </c>
      <c r="E97" s="39"/>
      <c r="F97" s="39"/>
      <c r="G97" s="39"/>
      <c r="H97" s="39"/>
      <c r="I97" s="39"/>
      <c r="J97" s="43"/>
      <c r="K97" s="60"/>
      <c r="L97" s="49"/>
      <c r="M97" s="58"/>
      <c r="N97" s="49"/>
      <c r="O97" s="49"/>
      <c r="P97" s="49"/>
      <c r="Q97" s="65"/>
      <c r="R97" s="49"/>
      <c r="S97" s="58"/>
      <c r="T97" s="58"/>
      <c r="U97" s="208"/>
      <c r="V97" s="49"/>
      <c r="W97" s="74"/>
      <c r="X97" s="77"/>
      <c r="Y97" s="77"/>
      <c r="Z97" s="74"/>
      <c r="AA97" s="76"/>
      <c r="AB97" s="76"/>
      <c r="AC97" s="74"/>
      <c r="AD97" s="76"/>
      <c r="AE97" s="76"/>
      <c r="AF97" s="76"/>
      <c r="AG97" s="74"/>
    </row>
    <row r="98" spans="1:36" s="33" customFormat="1" ht="40" customHeight="1" x14ac:dyDescent="0.15">
      <c r="A98" s="53">
        <v>221.321</v>
      </c>
      <c r="B98" s="38">
        <f>IF(ISNUMBER(A98),
IF(AND(A98=INT(A98), MOD(A98, 10) = 0), 0,
IF(AND(A98=INT(A98), LEN(A98)=2), 1,
IF(AND(A98=INT(A98), LEN(A98)=3), 2,
LEN(A98) - FIND(".", A98) + 2)
)
),
"")</f>
        <v>5</v>
      </c>
      <c r="C98" s="55" t="s">
        <v>243</v>
      </c>
      <c r="D98" s="39" t="str">
        <f t="shared" si="4"/>
        <v xml:space="preserve">                              In Vessel Shield Materials</v>
      </c>
      <c r="E98" s="39" t="s">
        <v>35</v>
      </c>
      <c r="F98" s="39" t="s">
        <v>244</v>
      </c>
      <c r="G98" s="39" t="s">
        <v>216</v>
      </c>
      <c r="H98" s="39"/>
      <c r="I98" s="39"/>
      <c r="J98" s="43">
        <f>MARVEL_Cost!C30</f>
        <v>647990.6</v>
      </c>
      <c r="K98" s="60">
        <f>K78</f>
        <v>14285.714285714286</v>
      </c>
      <c r="L98" s="49" t="s">
        <v>185</v>
      </c>
      <c r="M98" s="58" t="s">
        <v>245</v>
      </c>
      <c r="N98" s="49">
        <f>N78</f>
        <v>28</v>
      </c>
      <c r="O98" s="49" t="s">
        <v>187</v>
      </c>
      <c r="P98" s="49">
        <v>1</v>
      </c>
      <c r="Q98" s="65">
        <v>2024</v>
      </c>
      <c r="R98" s="49" t="s">
        <v>218</v>
      </c>
      <c r="S98" s="58" t="s">
        <v>208</v>
      </c>
      <c r="T98" s="58"/>
      <c r="U98" s="208"/>
      <c r="V98" s="49"/>
      <c r="W98" s="74" t="s">
        <v>156</v>
      </c>
      <c r="X98" s="77">
        <f>0.9*$J98</f>
        <v>583191.54</v>
      </c>
      <c r="Y98" s="77">
        <f>1.5*J98</f>
        <v>971985.89999999991</v>
      </c>
      <c r="Z98" s="74" t="s">
        <v>44</v>
      </c>
      <c r="AA98" s="76">
        <f t="shared" ref="AA95:AA103" si="18">0.9*K98</f>
        <v>12857.142857142859</v>
      </c>
      <c r="AB98" s="76">
        <f t="shared" ref="AB95:AB103" si="19">1.3*K98</f>
        <v>18571.428571428572</v>
      </c>
      <c r="AC98" s="74" t="s">
        <v>44</v>
      </c>
      <c r="AD98" s="76" t="s">
        <v>45</v>
      </c>
      <c r="AE98" s="76" t="s">
        <v>46</v>
      </c>
      <c r="AF98" s="76" t="s">
        <v>47</v>
      </c>
      <c r="AG98" s="74" t="s">
        <v>48</v>
      </c>
    </row>
    <row r="99" spans="1:36" s="33" customFormat="1" ht="40" customHeight="1" x14ac:dyDescent="0.15">
      <c r="A99" s="53">
        <v>221.322</v>
      </c>
      <c r="B99" s="38">
        <f>IF(ISNUMBER(A99),
IF(AND(A99=INT(A99), MOD(A99, 10) = 0), 0,
IF(AND(A99=INT(A99), LEN(A99)=2), 1,
IF(AND(A99=INT(A99), LEN(A99)=3), 2,
LEN(A99) - FIND(".", A99) + 2)
)
),
"")</f>
        <v>5</v>
      </c>
      <c r="C99" s="55" t="s">
        <v>246</v>
      </c>
      <c r="D99" s="39" t="str">
        <f t="shared" si="4"/>
        <v xml:space="preserve">                              Out The Vessel Shield Materials</v>
      </c>
      <c r="E99" s="39" t="s">
        <v>35</v>
      </c>
      <c r="F99" s="39" t="s">
        <v>247</v>
      </c>
      <c r="G99" s="39" t="s">
        <v>248</v>
      </c>
      <c r="H99" s="39"/>
      <c r="I99" s="39"/>
      <c r="J99" s="43"/>
      <c r="K99" s="60">
        <v>20</v>
      </c>
      <c r="L99" s="49" t="s">
        <v>185</v>
      </c>
      <c r="M99" s="58" t="s">
        <v>249</v>
      </c>
      <c r="N99" s="49">
        <f>'Design Variables'!B43</f>
        <v>925.3</v>
      </c>
      <c r="O99" s="49" t="s">
        <v>187</v>
      </c>
      <c r="P99" s="49">
        <v>1</v>
      </c>
      <c r="Q99" s="65">
        <v>2024</v>
      </c>
      <c r="R99" s="49" t="s">
        <v>218</v>
      </c>
      <c r="S99" s="58" t="s">
        <v>208</v>
      </c>
      <c r="T99" s="58"/>
      <c r="U99" s="209"/>
      <c r="V99" s="49"/>
      <c r="W99" s="74" t="s">
        <v>156</v>
      </c>
      <c r="X99" s="77">
        <f>0.9*$J99</f>
        <v>0</v>
      </c>
      <c r="Y99" s="77">
        <f>1.5*J99</f>
        <v>0</v>
      </c>
      <c r="Z99" s="74" t="s">
        <v>44</v>
      </c>
      <c r="AA99" s="76">
        <f t="shared" si="18"/>
        <v>18</v>
      </c>
      <c r="AB99" s="76">
        <f t="shared" si="19"/>
        <v>26</v>
      </c>
      <c r="AC99" s="74" t="s">
        <v>44</v>
      </c>
      <c r="AD99" s="76" t="s">
        <v>45</v>
      </c>
      <c r="AE99" s="76" t="s">
        <v>46</v>
      </c>
      <c r="AF99" s="76" t="s">
        <v>47</v>
      </c>
      <c r="AG99" s="74" t="s">
        <v>48</v>
      </c>
    </row>
    <row r="100" spans="1:33" ht="92" customHeight="1" x14ac:dyDescent="0.2">
      <c r="A100" s="85">
        <v>221.33</v>
      </c>
      <c r="B100" s="86">
        <f>IF(ISNUMBER(A100),
IF(AND(A100=INT(A100), MOD(A100, 10) = 0), 0,
IF(AND(A100=INT(A100), LEN(A100)=2), 1,
IF(AND(A100=INT(A100), LEN(A100)=3), 2,
LEN(A100) - FIND(".", A100) + 2)
)
),
"")</f>
        <v>4</v>
      </c>
      <c r="C100" s="55" t="s">
        <v>250</v>
      </c>
      <c r="D100" s="39" t="str">
        <f t="shared" si="4"/>
        <v xml:space="preserve">                        Moderator</v>
      </c>
      <c r="E100" s="39" t="s">
        <v>35</v>
      </c>
      <c r="F100" s="39" t="s">
        <v>250</v>
      </c>
      <c r="G100" s="39" t="s">
        <v>228</v>
      </c>
      <c r="H100" s="84"/>
      <c r="I100" s="84"/>
      <c r="K100" s="60">
        <v>80</v>
      </c>
      <c r="L100" s="49" t="s">
        <v>185</v>
      </c>
      <c r="M100" s="58" t="s">
        <v>251</v>
      </c>
      <c r="O100" s="49" t="s">
        <v>187</v>
      </c>
      <c r="Q100" s="65">
        <v>2022</v>
      </c>
      <c r="R100" s="49" t="s">
        <v>218</v>
      </c>
      <c r="S100" s="58" t="s">
        <v>229</v>
      </c>
      <c r="T100" s="62" t="s">
        <v>230</v>
      </c>
      <c r="W100" s="74" t="s">
        <v>156</v>
      </c>
      <c r="Z100" s="74" t="s">
        <v>44</v>
      </c>
      <c r="AA100" s="76">
        <f t="shared" si="18"/>
        <v>72</v>
      </c>
      <c r="AB100" s="76">
        <f t="shared" si="19"/>
        <v>104</v>
      </c>
      <c r="AC100" s="74" t="s">
        <v>44</v>
      </c>
      <c r="AD100" s="76" t="s">
        <v>45</v>
      </c>
      <c r="AE100" s="76" t="s">
        <v>46</v>
      </c>
      <c r="AF100" s="76" t="s">
        <v>47</v>
      </c>
      <c r="AG100" s="74" t="s">
        <v>48</v>
      </c>
    </row>
    <row r="101" spans="1:33" ht="92" customHeight="1" x14ac:dyDescent="0.2">
      <c r="A101" s="85">
        <v>221.33</v>
      </c>
      <c r="B101" s="86">
        <f>IF(ISNUMBER(A101),
    IF(AND(A101=INT(A101), MOD(A101, 10) = 0), 0,
        IF(AND(A101=INT(A101), LEN(A101)=2), 1,
            IF(AND(A101=INT(A101), LEN(A101)=3), 2,
                LEN(A101) - FIND(".", A101) + 2)
        )
    ),
"")</f>
        <v>4</v>
      </c>
      <c r="C101" s="55" t="s">
        <v>250</v>
      </c>
      <c r="D101" s="39" t="str">
        <f t="shared" ref="D98:D129" si="20">REPT("   ", B101*2) &amp; C101</f>
        <v xml:space="preserve">                        Moderator</v>
      </c>
      <c r="E101" s="39" t="s">
        <v>35</v>
      </c>
      <c r="F101" s="39" t="s">
        <v>250</v>
      </c>
      <c r="G101" s="39" t="s">
        <v>252</v>
      </c>
      <c r="H101" s="84"/>
      <c r="I101" s="84"/>
      <c r="K101" s="60">
        <f>2*K100</f>
        <v>160</v>
      </c>
      <c r="L101" s="49" t="s">
        <v>185</v>
      </c>
      <c r="M101" s="58" t="s">
        <v>251</v>
      </c>
      <c r="O101" s="49" t="s">
        <v>187</v>
      </c>
      <c r="Q101" s="65">
        <v>2022</v>
      </c>
      <c r="R101" s="49" t="s">
        <v>218</v>
      </c>
      <c r="S101" s="58" t="s">
        <v>253</v>
      </c>
      <c r="T101" s="62"/>
      <c r="W101" s="74" t="s">
        <v>156</v>
      </c>
      <c r="Z101" s="74" t="s">
        <v>44</v>
      </c>
      <c r="AA101" s="76">
        <f t="shared" si="18"/>
        <v>144</v>
      </c>
      <c r="AB101" s="76">
        <f t="shared" si="19"/>
        <v>208</v>
      </c>
      <c r="AC101" s="74" t="s">
        <v>44</v>
      </c>
      <c r="AD101" s="76" t="s">
        <v>45</v>
      </c>
      <c r="AE101" s="76" t="s">
        <v>46</v>
      </c>
      <c r="AF101" s="76" t="s">
        <v>47</v>
      </c>
      <c r="AG101" s="74" t="s">
        <v>48</v>
      </c>
    </row>
    <row r="102" spans="1:33" ht="92" customHeight="1" x14ac:dyDescent="0.2">
      <c r="A102" s="85">
        <v>221.33</v>
      </c>
      <c r="B102" s="86">
        <f>IF(ISNUMBER(A102),
IF(AND(A102=INT(A102), MOD(A102, 10) = 0), 0,
IF(AND(A102=INT(A102), LEN(A102)=2), 1,
IF(AND(A102=INT(A102), LEN(A102)=3), 2,
LEN(A102) - FIND(".", A102) + 2)
)
),
"")</f>
        <v>4</v>
      </c>
      <c r="C102" s="55" t="s">
        <v>250</v>
      </c>
      <c r="D102" s="39" t="str">
        <f t="shared" si="20"/>
        <v xml:space="preserve">                        Moderator</v>
      </c>
      <c r="E102" s="39" t="s">
        <v>35</v>
      </c>
      <c r="F102" s="39" t="s">
        <v>250</v>
      </c>
      <c r="G102" s="39" t="s">
        <v>254</v>
      </c>
      <c r="H102" s="84"/>
      <c r="I102" s="84"/>
      <c r="K102" s="60">
        <v>1520</v>
      </c>
      <c r="L102" s="49" t="s">
        <v>185</v>
      </c>
      <c r="M102" s="58" t="s">
        <v>251</v>
      </c>
      <c r="O102" s="49" t="s">
        <v>187</v>
      </c>
      <c r="Q102" s="65">
        <v>2017</v>
      </c>
      <c r="R102" s="49" t="s">
        <v>218</v>
      </c>
      <c r="S102" s="58" t="s">
        <v>255</v>
      </c>
      <c r="T102" s="62" t="s">
        <v>256</v>
      </c>
      <c r="W102" s="74" t="s">
        <v>156</v>
      </c>
      <c r="Z102" s="74" t="s">
        <v>44</v>
      </c>
      <c r="AA102" s="76">
        <f t="shared" si="18"/>
        <v>1368</v>
      </c>
      <c r="AB102" s="76">
        <f t="shared" si="19"/>
        <v>1976</v>
      </c>
      <c r="AC102" s="74" t="s">
        <v>44</v>
      </c>
      <c r="AD102" s="76" t="s">
        <v>45</v>
      </c>
      <c r="AE102" s="76" t="s">
        <v>46</v>
      </c>
      <c r="AF102" s="76" t="s">
        <v>47</v>
      </c>
      <c r="AG102" s="74" t="s">
        <v>48</v>
      </c>
    </row>
    <row r="103" spans="1:33" ht="92" customHeight="1" x14ac:dyDescent="0.2">
      <c r="A103" s="85">
        <v>221.33</v>
      </c>
      <c r="B103" s="86">
        <f>IF(ISNUMBER(A103),
    IF(AND(A103=INT(A103), MOD(A103, 10) = 0), 0,
        IF(AND(A103=INT(A103), LEN(A103)=2), 1,
            IF(AND(A103=INT(A103), LEN(A103)=3), 2,
                LEN(A103) - FIND(".", A103) + 2)
        )
    ),
"")</f>
        <v>4</v>
      </c>
      <c r="C103" s="55" t="s">
        <v>250</v>
      </c>
      <c r="D103" s="39" t="str">
        <f t="shared" si="20"/>
        <v xml:space="preserve">                        Moderator</v>
      </c>
      <c r="E103" s="39" t="s">
        <v>35</v>
      </c>
      <c r="F103" s="39" t="s">
        <v>250</v>
      </c>
      <c r="G103" s="39" t="s">
        <v>257</v>
      </c>
      <c r="H103" s="84"/>
      <c r="I103" s="84"/>
      <c r="K103" s="60">
        <v>1520</v>
      </c>
      <c r="L103" s="49" t="s">
        <v>185</v>
      </c>
      <c r="M103" s="58" t="s">
        <v>251</v>
      </c>
      <c r="O103" s="49" t="s">
        <v>187</v>
      </c>
      <c r="Q103" s="65">
        <v>2017</v>
      </c>
      <c r="R103" s="49" t="s">
        <v>218</v>
      </c>
      <c r="S103" s="58"/>
      <c r="T103" s="62" t="s">
        <v>258</v>
      </c>
      <c r="W103" s="74" t="s">
        <v>156</v>
      </c>
      <c r="Z103" s="74" t="s">
        <v>44</v>
      </c>
      <c r="AA103" s="76">
        <f t="shared" si="18"/>
        <v>1368</v>
      </c>
      <c r="AB103" s="76">
        <f t="shared" si="19"/>
        <v>1976</v>
      </c>
      <c r="AC103" s="74" t="s">
        <v>44</v>
      </c>
      <c r="AD103" s="76" t="s">
        <v>45</v>
      </c>
      <c r="AE103" s="76" t="s">
        <v>46</v>
      </c>
      <c r="AF103" s="76" t="s">
        <v>47</v>
      </c>
      <c r="AG103" s="74" t="s">
        <v>48</v>
      </c>
    </row>
    <row r="104" spans="1:33" ht="92" customHeight="1" x14ac:dyDescent="0.2">
      <c r="A104" s="85">
        <v>221.34</v>
      </c>
      <c r="B104" s="86">
        <f>IF(ISNUMBER(A104),
IF(AND(A104=INT(A104), MOD(A104, 10) = 0), 0,
IF(AND(A104=INT(A104), LEN(A104)=2), 1,
IF(AND(A104=INT(A104), LEN(A104)=3), 2,
LEN(A104) - FIND(".", A104) + 2)
)
),
"")</f>
        <v>4</v>
      </c>
      <c r="C104" s="55" t="s">
        <v>259</v>
      </c>
      <c r="D104" s="39" t="str">
        <f t="shared" si="20"/>
        <v xml:space="preserve">                        Moderator (Booster)</v>
      </c>
      <c r="E104" s="39" t="s">
        <v>35</v>
      </c>
      <c r="F104" s="39" t="s">
        <v>260</v>
      </c>
      <c r="G104" s="39" t="s">
        <v>228</v>
      </c>
      <c r="H104" s="84"/>
      <c r="I104" s="84"/>
      <c r="K104" s="60">
        <v>80</v>
      </c>
      <c r="L104" s="49" t="s">
        <v>185</v>
      </c>
      <c r="M104" s="58" t="s">
        <v>261</v>
      </c>
      <c r="O104" s="49" t="s">
        <v>187</v>
      </c>
      <c r="Q104" s="65">
        <v>2022</v>
      </c>
      <c r="R104" s="49" t="s">
        <v>218</v>
      </c>
      <c r="S104" s="58" t="s">
        <v>229</v>
      </c>
      <c r="T104" s="62" t="s">
        <v>230</v>
      </c>
      <c r="W104" s="74" t="s">
        <v>156</v>
      </c>
      <c r="Z104" s="74" t="s">
        <v>44</v>
      </c>
      <c r="AA104" s="76">
        <f t="shared" si="18"/>
        <v>72</v>
      </c>
      <c r="AB104" s="76">
        <f t="shared" si="19"/>
        <v>104</v>
      </c>
      <c r="AC104" s="74" t="s">
        <v>44</v>
      </c>
      <c r="AD104" s="76" t="s">
        <v>45</v>
      </c>
      <c r="AE104" s="76" t="s">
        <v>46</v>
      </c>
      <c r="AF104" s="76" t="s">
        <v>47</v>
      </c>
      <c r="AG104" s="74" t="s">
        <v>48</v>
      </c>
    </row>
    <row r="105" spans="1:33" ht="92" customHeight="1" x14ac:dyDescent="0.2">
      <c r="A105" s="85">
        <v>221.34</v>
      </c>
      <c r="B105" s="86">
        <f>IF(ISNUMBER(A105),
IF(AND(A105=INT(A105), MOD(A105, 10) = 0), 0,
IF(AND(A105=INT(A105), LEN(A105)=2), 1,
IF(AND(A105=INT(A105), LEN(A105)=3), 2,
LEN(A105) - FIND(".", A105) + 2)
)
),
"")</f>
        <v>4</v>
      </c>
      <c r="C105" s="55" t="s">
        <v>259</v>
      </c>
      <c r="D105" s="39" t="str">
        <f t="shared" si="20"/>
        <v xml:space="preserve">                        Moderator (Booster)</v>
      </c>
      <c r="E105" s="39" t="s">
        <v>35</v>
      </c>
      <c r="F105" s="39" t="s">
        <v>260</v>
      </c>
      <c r="G105" s="39" t="s">
        <v>257</v>
      </c>
      <c r="H105" s="84"/>
      <c r="I105" s="84"/>
      <c r="K105" s="60">
        <v>1520</v>
      </c>
      <c r="L105" s="49" t="s">
        <v>185</v>
      </c>
      <c r="M105" s="58" t="s">
        <v>262</v>
      </c>
      <c r="O105" s="49" t="s">
        <v>187</v>
      </c>
      <c r="Q105" s="65">
        <v>2017</v>
      </c>
      <c r="R105" s="49" t="s">
        <v>218</v>
      </c>
      <c r="S105" s="58"/>
      <c r="T105" s="62" t="s">
        <v>258</v>
      </c>
      <c r="W105" s="74" t="s">
        <v>156</v>
      </c>
      <c r="Z105" s="74" t="s">
        <v>44</v>
      </c>
      <c r="AA105" s="76">
        <f t="shared" si="18"/>
        <v>1368</v>
      </c>
      <c r="AB105" s="76">
        <f t="shared" si="19"/>
        <v>1976</v>
      </c>
      <c r="AC105" s="74" t="s">
        <v>44</v>
      </c>
      <c r="AD105" s="76" t="s">
        <v>45</v>
      </c>
      <c r="AE105" s="76" t="s">
        <v>46</v>
      </c>
      <c r="AF105" s="76" t="s">
        <v>47</v>
      </c>
      <c r="AG105" s="74" t="s">
        <v>48</v>
      </c>
    </row>
    <row r="106" spans="1:33" ht="92" customHeight="1" x14ac:dyDescent="0.2">
      <c r="A106" s="85">
        <v>221.34</v>
      </c>
      <c r="B106" s="86">
        <f>IF(ISNUMBER(A106),
IF(AND(A106=INT(A106), MOD(A106, 10) = 0), 0,
IF(AND(A106=INT(A106), LEN(A106)=2), 1,
IF(AND(A106=INT(A106), LEN(A106)=3), 2,
LEN(A106) - FIND(".", A106) + 2)
)
),
"")</f>
        <v>4</v>
      </c>
      <c r="C106" s="55" t="s">
        <v>259</v>
      </c>
      <c r="D106" s="39" t="str">
        <f t="shared" si="20"/>
        <v xml:space="preserve">                        Moderator (Booster)</v>
      </c>
      <c r="E106" s="39" t="s">
        <v>35</v>
      </c>
      <c r="F106" s="39" t="s">
        <v>260</v>
      </c>
      <c r="G106" s="39" t="s">
        <v>254</v>
      </c>
      <c r="H106" s="84"/>
      <c r="I106" s="84"/>
      <c r="K106" s="60">
        <v>1520</v>
      </c>
      <c r="L106" s="49" t="s">
        <v>185</v>
      </c>
      <c r="M106" s="58" t="s">
        <v>263</v>
      </c>
      <c r="O106" s="49" t="s">
        <v>187</v>
      </c>
      <c r="Q106" s="65">
        <v>2017</v>
      </c>
      <c r="R106" s="49" t="s">
        <v>218</v>
      </c>
      <c r="S106" s="58" t="s">
        <v>255</v>
      </c>
      <c r="T106" s="62" t="s">
        <v>256</v>
      </c>
      <c r="W106" s="74" t="s">
        <v>156</v>
      </c>
      <c r="Z106" s="74" t="s">
        <v>44</v>
      </c>
      <c r="AA106" s="76">
        <f t="shared" si="18"/>
        <v>1368</v>
      </c>
      <c r="AB106" s="76">
        <f t="shared" si="19"/>
        <v>1976</v>
      </c>
      <c r="AC106" s="74" t="s">
        <v>44</v>
      </c>
      <c r="AD106" s="76" t="s">
        <v>45</v>
      </c>
      <c r="AE106" s="76" t="s">
        <v>46</v>
      </c>
      <c r="AF106" s="76" t="s">
        <v>47</v>
      </c>
      <c r="AG106" s="74" t="s">
        <v>48</v>
      </c>
    </row>
    <row r="107" spans="1:33" ht="40" customHeight="1" x14ac:dyDescent="0.2">
      <c r="A107" s="53">
        <v>222</v>
      </c>
      <c r="B107" s="38">
        <f>IF(ISNUMBER(A107),
IF(AND(A107=INT(A107), MOD(A107, 10) = 0), 0,
IF(AND(A107=INT(A107), LEN(A107)=2), 1,
IF(AND(A107=INT(A107), LEN(A107)=3), 2,
LEN(A107) - FIND(".", A107) + 2)
)
),
"")</f>
        <v>2</v>
      </c>
      <c r="C107" s="55" t="s">
        <v>264</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20" customHeight="1" x14ac:dyDescent="0.2">
      <c r="A108" s="53">
        <v>222.1</v>
      </c>
      <c r="B108" s="38">
        <f>IF(ISNUMBER(A108),
    IF(AND(A108=INT(A108), MOD(A108, 10) = 0), 0,
        IF(AND(A108=INT(A108), LEN(A108)=2), 1,
            IF(AND(A108=INT(A108), LEN(A108)=3), 2,
                LEN(A108) - FIND(".", A108) + 2)
        )
    ),
"")</f>
        <v>3</v>
      </c>
      <c r="C108" s="55" t="s">
        <v>265</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81.75" customHeight="1" x14ac:dyDescent="0.2">
      <c r="A109" s="42">
        <v>222.11</v>
      </c>
      <c r="B109" s="38">
        <f>IF(ISNUMBER(A109),
IF(AND(A109=INT(A109), MOD(A109, 10) = 0), 0,
IF(AND(A109=INT(A109), LEN(A109)=2), 1,
IF(AND(A109=INT(A109), LEN(A109)=3), 2,
LEN(A109) - FIND(".", A109) + 2)
)
),
"")</f>
        <v>4</v>
      </c>
      <c r="C109" s="55" t="s">
        <v>266</v>
      </c>
      <c r="D109" s="39" t="str">
        <f t="shared" si="20"/>
        <v xml:space="preserve">                        Primary Pump</v>
      </c>
      <c r="E109" s="39" t="s">
        <v>267</v>
      </c>
      <c r="F109" s="39" t="s">
        <v>266</v>
      </c>
      <c r="G109" s="39" t="s">
        <v>268</v>
      </c>
      <c r="H109" s="39"/>
      <c r="I109" s="39"/>
      <c r="J109" s="43"/>
      <c r="K109" s="60">
        <f>12.5*705.48</f>
        <v>8818.5</v>
      </c>
      <c r="L109" s="49" t="s">
        <v>269</v>
      </c>
      <c r="M109" s="58" t="s">
        <v>270</v>
      </c>
      <c r="N109" s="49"/>
      <c r="O109" s="49"/>
      <c r="P109" s="49">
        <v>0.71</v>
      </c>
      <c r="Q109" s="65">
        <v>2003</v>
      </c>
      <c r="R109" s="49" t="s">
        <v>85</v>
      </c>
      <c r="S109" s="58" t="s">
        <v>271</v>
      </c>
      <c r="T109" s="212" t="s">
        <v>272</v>
      </c>
      <c r="U109" s="215" t="s">
        <v>273</v>
      </c>
      <c r="V109" s="212"/>
      <c r="W109" s="74" t="s">
        <v>156</v>
      </c>
      <c r="X109" s="77">
        <f t="shared" ref="X106:X111" si="21">0.9*$J109</f>
        <v>0</v>
      </c>
      <c r="Y109" s="77">
        <f t="shared" ref="Y106:Y111" si="22">1.5*J109</f>
        <v>0</v>
      </c>
      <c r="Z109" s="74" t="s">
        <v>44</v>
      </c>
      <c r="AA109" s="76">
        <f t="shared" ref="AA106:AA111" si="23">0.9*K109</f>
        <v>7936.6500000000005</v>
      </c>
      <c r="AB109" s="76">
        <f t="shared" ref="AB106:AB111" si="24">1.3*K109</f>
        <v>11464.050000000001</v>
      </c>
      <c r="AC109" s="74" t="s">
        <v>44</v>
      </c>
      <c r="AD109" s="76" t="s">
        <v>45</v>
      </c>
      <c r="AE109" s="76" t="s">
        <v>46</v>
      </c>
      <c r="AF109" s="76" t="s">
        <v>47</v>
      </c>
      <c r="AG109" s="74" t="s">
        <v>48</v>
      </c>
    </row>
    <row r="110" spans="1:33" ht="38.75" customHeight="1" x14ac:dyDescent="0.2">
      <c r="A110" s="42">
        <v>222.12</v>
      </c>
      <c r="B110" s="38">
        <f>IF(ISNUMBER(A110),
IF(AND(A110=INT(A110), MOD(A110, 10) = 0), 0,
IF(AND(A110=INT(A110), LEN(A110)=2), 1,
IF(AND(A110=INT(A110), LEN(A110)=3), 2,
LEN(A110) - FIND(".", A110) + 2)
)
),
"")</f>
        <v>4</v>
      </c>
      <c r="C110" s="55" t="s">
        <v>274</v>
      </c>
      <c r="D110" s="39" t="str">
        <f t="shared" si="20"/>
        <v xml:space="preserve">                        Secondary Pump</v>
      </c>
      <c r="E110" s="39" t="s">
        <v>267</v>
      </c>
      <c r="F110" s="39" t="s">
        <v>274</v>
      </c>
      <c r="G110" s="39" t="s">
        <v>268</v>
      </c>
      <c r="H110" s="39"/>
      <c r="I110" s="39"/>
      <c r="J110" s="43"/>
      <c r="K110" s="60">
        <v>705.48</v>
      </c>
      <c r="L110" s="49" t="s">
        <v>269</v>
      </c>
      <c r="M110" s="58" t="s">
        <v>275</v>
      </c>
      <c r="N110" s="49"/>
      <c r="O110" s="49"/>
      <c r="P110" s="49">
        <v>0.71</v>
      </c>
      <c r="Q110" s="65">
        <v>2003</v>
      </c>
      <c r="R110" s="49" t="s">
        <v>85</v>
      </c>
      <c r="S110" s="58" t="s">
        <v>276</v>
      </c>
      <c r="T110" s="209"/>
      <c r="U110" s="209"/>
      <c r="V110" s="209"/>
      <c r="W110" s="74" t="s">
        <v>156</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32" customHeight="1" x14ac:dyDescent="0.2">
      <c r="A111" s="42">
        <v>222.13</v>
      </c>
      <c r="B111" s="38">
        <f>IF(ISNUMBER(A111),
IF(AND(A111=INT(A111), MOD(A111, 10) = 0), 0,
IF(AND(A111=INT(A111), LEN(A111)=2), 1,
IF(AND(A111=INT(A111), LEN(A111)=3), 2,
LEN(A111) - FIND(".", A111) + 2)
)
),
"")</f>
        <v>4</v>
      </c>
      <c r="C111" s="55" t="s">
        <v>277</v>
      </c>
      <c r="D111" s="39" t="str">
        <f t="shared" si="20"/>
        <v xml:space="preserve">                        Compressor</v>
      </c>
      <c r="E111" s="39" t="s">
        <v>267</v>
      </c>
      <c r="F111" s="39" t="s">
        <v>117</v>
      </c>
      <c r="G111" s="39" t="s">
        <v>118</v>
      </c>
      <c r="H111" s="39"/>
      <c r="I111" s="39"/>
      <c r="J111" s="43"/>
      <c r="K111" s="60">
        <v>7100000</v>
      </c>
      <c r="L111" s="49" t="s">
        <v>278</v>
      </c>
      <c r="M111" s="58"/>
      <c r="N111" s="49"/>
      <c r="O111" s="49"/>
      <c r="P111" s="49"/>
      <c r="Q111" s="65">
        <v>2020</v>
      </c>
      <c r="R111" s="49" t="s">
        <v>85</v>
      </c>
      <c r="S111" s="58" t="s">
        <v>279</v>
      </c>
      <c r="T111" s="62" t="s">
        <v>280</v>
      </c>
      <c r="U111" s="66"/>
      <c r="V111" s="62" t="s">
        <v>281</v>
      </c>
      <c r="W111" s="74" t="s">
        <v>156</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40" customHeight="1" x14ac:dyDescent="0.2">
      <c r="A112" s="53">
        <v>222.2</v>
      </c>
      <c r="B112" s="38">
        <f>IF(ISNUMBER(A112),
IF(AND(A112=INT(A112), MOD(A112, 10) = 0), 0,
IF(AND(A112=INT(A112), LEN(A112)=2), 1,
IF(AND(A112=INT(A112), LEN(A112)=3), 2,
LEN(A112) - FIND(".", A112) + 2)
)
),
"")</f>
        <v>3</v>
      </c>
      <c r="C112" s="55" t="s">
        <v>282</v>
      </c>
      <c r="D112" s="39" t="str">
        <f t="shared" si="20"/>
        <v xml:space="preserve">                  Reactor Heat Transfer Piping System</v>
      </c>
      <c r="E112" s="39" t="s">
        <v>35</v>
      </c>
      <c r="F112" s="39" t="s">
        <v>117</v>
      </c>
      <c r="G112" s="39" t="s">
        <v>118</v>
      </c>
      <c r="H112" s="39"/>
      <c r="I112" s="39"/>
      <c r="J112" s="43"/>
      <c r="K112" s="60">
        <v>20000</v>
      </c>
      <c r="L112" s="49" t="s">
        <v>50</v>
      </c>
      <c r="M112" s="45" t="s">
        <v>51</v>
      </c>
      <c r="N112" s="49"/>
      <c r="O112" s="49"/>
      <c r="P112" s="49"/>
      <c r="Q112" s="65">
        <v>2017</v>
      </c>
      <c r="R112" s="49" t="s">
        <v>152</v>
      </c>
      <c r="S112" s="58" t="s">
        <v>283</v>
      </c>
      <c r="T112" s="58" t="s">
        <v>196</v>
      </c>
      <c r="U112" s="49"/>
      <c r="V112" s="49"/>
      <c r="W112" s="74" t="s">
        <v>156</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40" customHeight="1" x14ac:dyDescent="0.2">
      <c r="A113" s="53">
        <v>222.2</v>
      </c>
      <c r="B113" s="38">
        <f>IF(ISNUMBER(A113),
    IF(AND(A113=INT(A113), MOD(A113, 10) = 0), 0,
        IF(AND(A113=INT(A113), LEN(A113)=2), 1,
            IF(AND(A113=INT(A113), LEN(A113)=3), 2,
                LEN(A113) - FIND(".", A113) + 2)
        )
    ),
"")</f>
        <v>3</v>
      </c>
      <c r="C113" s="55" t="s">
        <v>282</v>
      </c>
      <c r="D113" s="39" t="str">
        <f t="shared" si="20"/>
        <v xml:space="preserve">                  Reactor Heat Transfer Piping System</v>
      </c>
      <c r="E113" s="39" t="s">
        <v>35</v>
      </c>
      <c r="F113" s="39" t="s">
        <v>117</v>
      </c>
      <c r="G113" s="39" t="s">
        <v>284</v>
      </c>
      <c r="H113" s="39"/>
      <c r="I113" s="39"/>
      <c r="J113" s="43"/>
      <c r="K113" s="60">
        <v>20000</v>
      </c>
      <c r="L113" s="49" t="s">
        <v>50</v>
      </c>
      <c r="M113" s="45" t="s">
        <v>51</v>
      </c>
      <c r="N113" s="49"/>
      <c r="O113" s="49"/>
      <c r="P113" s="49"/>
      <c r="Q113" s="65">
        <v>2017</v>
      </c>
      <c r="R113" s="49" t="s">
        <v>152</v>
      </c>
      <c r="S113" s="58" t="s">
        <v>283</v>
      </c>
      <c r="T113" s="58" t="s">
        <v>196</v>
      </c>
      <c r="U113" s="49"/>
      <c r="V113" s="49"/>
      <c r="W113" s="74" t="s">
        <v>156</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40" customHeight="1" x14ac:dyDescent="0.2">
      <c r="A114" s="53">
        <v>222.2</v>
      </c>
      <c r="B114" s="38">
        <f>IF(ISNUMBER(A114),
IF(AND(A114=INT(A114), MOD(A114, 10) = 0), 0,
IF(AND(A114=INT(A114), LEN(A114)=2), 1,
IF(AND(A114=INT(A114), LEN(A114)=3), 2,
LEN(A114) - FIND(".", A114) + 2)
)
),
"")</f>
        <v>3</v>
      </c>
      <c r="C114" s="55" t="s">
        <v>282</v>
      </c>
      <c r="D114" s="39" t="str">
        <f t="shared" si="20"/>
        <v xml:space="preserve">                  Reactor Heat Transfer Piping System</v>
      </c>
      <c r="E114" s="39" t="s">
        <v>35</v>
      </c>
      <c r="F114" s="39" t="s">
        <v>117</v>
      </c>
      <c r="G114" s="39" t="s">
        <v>285</v>
      </c>
      <c r="H114" s="39"/>
      <c r="I114" s="39"/>
      <c r="J114" s="43"/>
      <c r="K114" s="60">
        <v>10000</v>
      </c>
      <c r="L114" s="49" t="s">
        <v>286</v>
      </c>
      <c r="M114" s="45" t="s">
        <v>287</v>
      </c>
      <c r="N114" s="49">
        <v>1</v>
      </c>
      <c r="O114" s="49"/>
      <c r="P114" s="49">
        <v>0.7</v>
      </c>
      <c r="Q114" s="65">
        <v>2017</v>
      </c>
      <c r="R114" s="49" t="s">
        <v>152</v>
      </c>
      <c r="S114" s="58" t="s">
        <v>288</v>
      </c>
      <c r="T114" s="58"/>
      <c r="U114" s="49"/>
      <c r="V114" s="49"/>
      <c r="W114" s="74" t="s">
        <v>156</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0" customHeight="1" x14ac:dyDescent="0.2">
      <c r="A115" s="53">
        <v>222.3</v>
      </c>
      <c r="B115" s="38">
        <f>IF(ISNUMBER(A115),
IF(AND(A115=INT(A115), MOD(A115, 10) = 0), 0,
IF(AND(A115=INT(A115), LEN(A115)=2), 1,
IF(AND(A115=INT(A115), LEN(A115)=3), 2,
LEN(A115) - FIND(".", A115) + 2)
)
),
"")</f>
        <v>3</v>
      </c>
      <c r="C115" s="55" t="s">
        <v>289</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40" customHeight="1" x14ac:dyDescent="0.2">
      <c r="A116" s="53">
        <v>222.31</v>
      </c>
      <c r="B116" s="38">
        <f>IF(ISNUMBER(A116),
    IF(AND(A116=INT(A116), MOD(A116, 10) = 0), 0,
        IF(AND(A116=INT(A116), LEN(A116)=2), 1,
            IF(AND(A116=INT(A116), LEN(A116)=3), 2,
                LEN(A116) - FIND(".", A116) + 2)
        )
    ),
"")</f>
        <v>4</v>
      </c>
      <c r="C116" s="55" t="s">
        <v>290</v>
      </c>
      <c r="D116" s="39" t="str">
        <f t="shared" si="20"/>
        <v xml:space="preserve">                        Primary Heat Exchanger</v>
      </c>
      <c r="E116" s="39" t="s">
        <v>35</v>
      </c>
      <c r="F116" s="39" t="s">
        <v>291</v>
      </c>
      <c r="G116" s="39" t="s">
        <v>292</v>
      </c>
      <c r="H116" s="39"/>
      <c r="I116" s="39"/>
      <c r="J116" s="43"/>
      <c r="K116" s="60">
        <v>50</v>
      </c>
      <c r="L116" s="49" t="s">
        <v>185</v>
      </c>
      <c r="M116" s="58" t="s">
        <v>293</v>
      </c>
      <c r="N116" s="49"/>
      <c r="O116" s="49" t="s">
        <v>187</v>
      </c>
      <c r="P116" s="49"/>
      <c r="Q116" s="65">
        <v>2004</v>
      </c>
      <c r="R116" s="49" t="s">
        <v>152</v>
      </c>
      <c r="S116" s="58" t="s">
        <v>294</v>
      </c>
      <c r="T116" s="62" t="s">
        <v>295</v>
      </c>
      <c r="U116" s="49"/>
      <c r="V116" s="49"/>
      <c r="W116" s="74" t="s">
        <v>156</v>
      </c>
      <c r="X116" s="77">
        <f>0.9*$J116</f>
        <v>0</v>
      </c>
      <c r="Y116" s="77">
        <f>1.5*J116</f>
        <v>0</v>
      </c>
      <c r="Z116" s="74" t="s">
        <v>44</v>
      </c>
      <c r="AA116" s="76">
        <f t="shared" ref="AA113:AA118" si="25">0.9*K116</f>
        <v>45</v>
      </c>
      <c r="AB116" s="76">
        <f t="shared" ref="AB113:AB118" si="26">1.3*K116</f>
        <v>65</v>
      </c>
      <c r="AC116" s="74" t="s">
        <v>44</v>
      </c>
      <c r="AD116" s="76" t="s">
        <v>45</v>
      </c>
      <c r="AE116" s="76" t="s">
        <v>46</v>
      </c>
      <c r="AF116" s="76" t="s">
        <v>47</v>
      </c>
      <c r="AG116" s="74" t="s">
        <v>48</v>
      </c>
    </row>
    <row r="117" spans="1:33" ht="40" customHeight="1" x14ac:dyDescent="0.2">
      <c r="A117" s="53">
        <v>222.31</v>
      </c>
      <c r="B117" s="38">
        <f>IF(ISNUMBER(A117),
    IF(AND(A117=INT(A117), MOD(A117, 10) = 0), 0,
        IF(AND(A117=INT(A117), LEN(A117)=2), 1,
            IF(AND(A117=INT(A117), LEN(A117)=3), 2,
                LEN(A117) - FIND(".", A117) + 2)
        )
    ),
"")</f>
        <v>4</v>
      </c>
      <c r="C117" s="55" t="s">
        <v>290</v>
      </c>
      <c r="D117" s="39" t="str">
        <f t="shared" si="20"/>
        <v xml:space="preserve">                        Primary Heat Exchanger</v>
      </c>
      <c r="E117" s="39" t="s">
        <v>35</v>
      </c>
      <c r="F117" s="39" t="s">
        <v>291</v>
      </c>
      <c r="G117" s="39" t="s">
        <v>296</v>
      </c>
      <c r="H117" s="39"/>
      <c r="I117" s="39"/>
      <c r="J117" s="43"/>
      <c r="K117" s="60">
        <v>120</v>
      </c>
      <c r="L117" s="49" t="s">
        <v>185</v>
      </c>
      <c r="M117" s="58" t="s">
        <v>293</v>
      </c>
      <c r="N117" s="49"/>
      <c r="O117" s="49" t="s">
        <v>187</v>
      </c>
      <c r="P117" s="49"/>
      <c r="Q117" s="65">
        <v>2013</v>
      </c>
      <c r="R117" s="49" t="s">
        <v>152</v>
      </c>
      <c r="S117" s="58" t="s">
        <v>294</v>
      </c>
      <c r="T117" s="62" t="s">
        <v>297</v>
      </c>
      <c r="U117" s="49"/>
      <c r="V117" s="49"/>
      <c r="W117" s="74" t="s">
        <v>156</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40" customHeight="1" x14ac:dyDescent="0.2">
      <c r="A118" s="53">
        <v>222.32</v>
      </c>
      <c r="B118" s="38">
        <f>IF(ISNUMBER(A118),
    IF(AND(A118=INT(A118), MOD(A118, 10) = 0), 0,
        IF(AND(A118=INT(A118), LEN(A118)=2), 1,
            IF(AND(A118=INT(A118), LEN(A118)=3), 2,
                LEN(A118) - FIND(".", A118) + 2)
        )
    ),
"")</f>
        <v>4</v>
      </c>
      <c r="C118" s="55" t="s">
        <v>298</v>
      </c>
      <c r="D118" s="39" t="str">
        <f t="shared" si="20"/>
        <v xml:space="preserve">                        Secondary Heat Exchanger</v>
      </c>
      <c r="E118" s="39" t="s">
        <v>35</v>
      </c>
      <c r="F118" s="39" t="s">
        <v>291</v>
      </c>
      <c r="G118" s="39" t="s">
        <v>292</v>
      </c>
      <c r="H118" s="39"/>
      <c r="I118" s="39"/>
      <c r="J118" s="43"/>
      <c r="K118" s="60">
        <v>50</v>
      </c>
      <c r="L118" s="49" t="s">
        <v>185</v>
      </c>
      <c r="M118" s="58" t="s">
        <v>299</v>
      </c>
      <c r="N118" s="49"/>
      <c r="O118" s="49" t="s">
        <v>187</v>
      </c>
      <c r="P118" s="49"/>
      <c r="Q118" s="65">
        <v>2004</v>
      </c>
      <c r="R118" s="49" t="s">
        <v>152</v>
      </c>
      <c r="S118" s="58" t="s">
        <v>294</v>
      </c>
      <c r="T118" s="62" t="s">
        <v>295</v>
      </c>
      <c r="U118" s="49"/>
      <c r="V118" s="49"/>
      <c r="W118" s="74" t="s">
        <v>156</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40" customHeight="1" x14ac:dyDescent="0.2">
      <c r="A119" s="53">
        <v>222.32</v>
      </c>
      <c r="B119" s="38">
        <f>IF(ISNUMBER(A119),
    IF(AND(A119=INT(A119), MOD(A119, 10) = 0), 0,
        IF(AND(A119=INT(A119), LEN(A119)=2), 1,
            IF(AND(A119=INT(A119), LEN(A119)=3), 2,
                LEN(A119) - FIND(".", A119) + 2)
        )
    ),
"")</f>
        <v>4</v>
      </c>
      <c r="C119" s="55" t="s">
        <v>298</v>
      </c>
      <c r="D119" s="39" t="str">
        <f t="shared" si="20"/>
        <v xml:space="preserve">                        Secondary Heat Exchanger</v>
      </c>
      <c r="E119" s="39" t="s">
        <v>35</v>
      </c>
      <c r="F119" s="39" t="s">
        <v>291</v>
      </c>
      <c r="G119" s="39" t="s">
        <v>296</v>
      </c>
      <c r="H119" s="39"/>
      <c r="I119" s="39"/>
      <c r="J119" s="43"/>
      <c r="K119" s="60">
        <v>120</v>
      </c>
      <c r="L119" s="49" t="s">
        <v>185</v>
      </c>
      <c r="M119" s="58" t="s">
        <v>299</v>
      </c>
      <c r="N119" s="49"/>
      <c r="O119" s="49" t="s">
        <v>187</v>
      </c>
      <c r="P119" s="49"/>
      <c r="Q119" s="65">
        <v>2013</v>
      </c>
      <c r="R119" s="49" t="s">
        <v>152</v>
      </c>
      <c r="S119" s="58" t="s">
        <v>294</v>
      </c>
      <c r="T119" s="62" t="s">
        <v>297</v>
      </c>
      <c r="U119" s="49"/>
      <c r="V119" s="49"/>
      <c r="W119" s="74" t="s">
        <v>156</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40" customHeight="1" x14ac:dyDescent="0.2">
      <c r="A120" s="53">
        <v>222.5</v>
      </c>
      <c r="B120" s="38">
        <f>IF(ISNUMBER(A120),
IF(AND(A120=INT(A120), MOD(A120, 10) = 0), 0,
IF(AND(A120=INT(A120), LEN(A120)=2), 1,
IF(AND(A120=INT(A120), LEN(A120)=3), 2,
LEN(A120) - FIND(".", A120) + 2)
)
),
"")</f>
        <v>3</v>
      </c>
      <c r="C120" s="55" t="s">
        <v>300</v>
      </c>
      <c r="D120" s="39" t="str">
        <f t="shared" si="20"/>
        <v xml:space="preserve">                  Initial Coolant Inventory</v>
      </c>
      <c r="E120" s="39" t="s">
        <v>35</v>
      </c>
      <c r="F120" s="39" t="s">
        <v>301</v>
      </c>
      <c r="G120" s="39" t="s">
        <v>302</v>
      </c>
      <c r="H120" s="39"/>
      <c r="I120" s="39"/>
      <c r="J120" s="43"/>
      <c r="K120" s="60">
        <v>170</v>
      </c>
      <c r="L120" s="49" t="s">
        <v>185</v>
      </c>
      <c r="M120" s="58" t="s">
        <v>303</v>
      </c>
      <c r="N120" s="49"/>
      <c r="O120" s="49" t="s">
        <v>187</v>
      </c>
      <c r="P120" s="49"/>
      <c r="Q120" s="65">
        <v>2024</v>
      </c>
      <c r="R120" s="49" t="s">
        <v>218</v>
      </c>
      <c r="S120" s="58" t="s">
        <v>304</v>
      </c>
      <c r="T120" s="62" t="s">
        <v>304</v>
      </c>
      <c r="U120" s="80" t="s">
        <v>305</v>
      </c>
      <c r="V120" s="49" t="s">
        <v>306</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40" customHeight="1" x14ac:dyDescent="0.2">
      <c r="A121" s="53">
        <v>222.5</v>
      </c>
      <c r="B121" s="38">
        <f>IF(ISNUMBER(A121),
    IF(AND(A121=INT(A121), MOD(A121, 10) = 0), 0,
        IF(AND(A121=INT(A121), LEN(A121)=2), 1,
            IF(AND(A121=INT(A121), LEN(A121)=3), 2,
                LEN(A121) - FIND(".", A121) + 2)
        )
    ),
"")</f>
        <v>3</v>
      </c>
      <c r="C121" s="55" t="s">
        <v>300</v>
      </c>
      <c r="D121" s="39" t="str">
        <f t="shared" si="20"/>
        <v xml:space="preserve">                  Initial Coolant Inventory</v>
      </c>
      <c r="E121" s="39" t="s">
        <v>35</v>
      </c>
      <c r="F121" s="39" t="s">
        <v>301</v>
      </c>
      <c r="G121" s="39" t="s">
        <v>307</v>
      </c>
      <c r="H121" s="39"/>
      <c r="I121" s="39"/>
      <c r="J121" s="43"/>
      <c r="K121" s="60">
        <v>118</v>
      </c>
      <c r="L121" s="49" t="s">
        <v>185</v>
      </c>
      <c r="M121" s="58" t="s">
        <v>303</v>
      </c>
      <c r="N121" s="49"/>
      <c r="O121" s="49" t="s">
        <v>187</v>
      </c>
      <c r="P121" s="49"/>
      <c r="Q121" s="65">
        <v>2023</v>
      </c>
      <c r="R121" s="49" t="s">
        <v>218</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40" customHeight="1" x14ac:dyDescent="0.2">
      <c r="A122" s="53">
        <v>222.6</v>
      </c>
      <c r="B122" s="38">
        <f t="shared" ref="B119:B126" si="27">IF(ISNUMBER(A122),
IF(AND(A122=INT(A122), MOD(A122, 10) = 0), 0,
IF(AND(A122=INT(A122), LEN(A122)=2), 1,
IF(AND(A122=INT(A122), LEN(A122)=3), 2,
LEN(A122) - FIND(".", A122) + 2)
)
),
"")</f>
        <v>3</v>
      </c>
      <c r="C122" s="55" t="s">
        <v>308</v>
      </c>
      <c r="D122" s="39" t="str">
        <f t="shared" si="20"/>
        <v xml:space="preserve">                  Integrated Heat Transfer Vessel</v>
      </c>
      <c r="E122" s="39"/>
      <c r="F122" s="39" t="s">
        <v>117</v>
      </c>
      <c r="G122" s="39" t="s">
        <v>118</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40" customHeight="1" x14ac:dyDescent="0.2">
      <c r="A123" s="53">
        <v>222.61</v>
      </c>
      <c r="B123" s="38">
        <f t="shared" si="27"/>
        <v>4</v>
      </c>
      <c r="C123" s="55" t="s">
        <v>308</v>
      </c>
      <c r="D123" s="39" t="str">
        <f t="shared" si="20"/>
        <v xml:space="preserve">                        Integrated Heat Transfer Vessel</v>
      </c>
      <c r="E123" s="39" t="s">
        <v>35</v>
      </c>
      <c r="F123" s="39" t="s">
        <v>117</v>
      </c>
      <c r="G123" s="39" t="s">
        <v>118</v>
      </c>
      <c r="H123" s="39"/>
      <c r="I123" s="39"/>
      <c r="J123" s="43"/>
      <c r="K123" s="60">
        <v>50</v>
      </c>
      <c r="L123" s="49" t="s">
        <v>185</v>
      </c>
      <c r="M123" s="58" t="s">
        <v>309</v>
      </c>
      <c r="N123" s="49"/>
      <c r="O123" s="49" t="s">
        <v>187</v>
      </c>
      <c r="P123" s="49"/>
      <c r="Q123" s="65">
        <v>2004</v>
      </c>
      <c r="R123" s="49" t="s">
        <v>85</v>
      </c>
      <c r="S123" s="58" t="s">
        <v>294</v>
      </c>
      <c r="T123" s="62" t="s">
        <v>295</v>
      </c>
      <c r="U123" s="80"/>
      <c r="V123" s="212" t="s">
        <v>310</v>
      </c>
      <c r="W123" s="74" t="s">
        <v>156</v>
      </c>
      <c r="X123" s="77">
        <f>0.9*$J123</f>
        <v>0</v>
      </c>
      <c r="Y123" s="77">
        <f>1.5*J123</f>
        <v>0</v>
      </c>
      <c r="Z123" s="74" t="s">
        <v>44</v>
      </c>
      <c r="AA123" s="76">
        <f>0.9*K123</f>
        <v>45</v>
      </c>
      <c r="AB123" s="76">
        <f>1.3*K123</f>
        <v>65</v>
      </c>
      <c r="AC123" s="74" t="s">
        <v>44</v>
      </c>
      <c r="AD123" s="76" t="s">
        <v>45</v>
      </c>
      <c r="AE123" s="76" t="s">
        <v>46</v>
      </c>
      <c r="AF123" s="76" t="s">
        <v>47</v>
      </c>
      <c r="AG123" s="74" t="s">
        <v>48</v>
      </c>
    </row>
    <row r="124" spans="1:33" ht="40" customHeight="1" x14ac:dyDescent="0.2">
      <c r="A124" s="53">
        <v>222.62</v>
      </c>
      <c r="B124" s="38">
        <f t="shared" si="27"/>
        <v>4</v>
      </c>
      <c r="C124" s="55" t="s">
        <v>311</v>
      </c>
      <c r="D124" s="39" t="str">
        <f t="shared" si="20"/>
        <v xml:space="preserve">                        Integrated Heat Transfer System Support</v>
      </c>
      <c r="E124" s="39" t="s">
        <v>35</v>
      </c>
      <c r="F124" s="39" t="s">
        <v>117</v>
      </c>
      <c r="G124" s="39" t="s">
        <v>118</v>
      </c>
      <c r="H124" s="39"/>
      <c r="I124" s="39"/>
      <c r="J124" s="43"/>
      <c r="K124" s="60">
        <f>3171011/N124</f>
        <v>8.1938268733850137</v>
      </c>
      <c r="L124" s="49" t="s">
        <v>185</v>
      </c>
      <c r="M124" s="58" t="s">
        <v>309</v>
      </c>
      <c r="N124" s="49">
        <v>387000</v>
      </c>
      <c r="O124" s="49" t="s">
        <v>187</v>
      </c>
      <c r="P124" s="49">
        <v>0.85</v>
      </c>
      <c r="Q124" s="65">
        <v>2018</v>
      </c>
      <c r="R124" s="49" t="s">
        <v>85</v>
      </c>
      <c r="S124" s="58" t="s">
        <v>188</v>
      </c>
      <c r="T124" s="62" t="s">
        <v>295</v>
      </c>
      <c r="U124" s="80"/>
      <c r="V124" s="209"/>
      <c r="W124" s="74" t="s">
        <v>156</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0" customHeight="1" x14ac:dyDescent="0.2">
      <c r="A125" s="53">
        <v>223</v>
      </c>
      <c r="B125" s="38">
        <f t="shared" si="27"/>
        <v>2</v>
      </c>
      <c r="C125" s="55" t="s">
        <v>312</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0" customHeight="1" x14ac:dyDescent="0.2">
      <c r="A126" s="53">
        <v>223.2</v>
      </c>
      <c r="B126" s="38">
        <f t="shared" si="27"/>
        <v>3</v>
      </c>
      <c r="C126" s="55" t="s">
        <v>313</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40" customHeight="1" x14ac:dyDescent="0.2">
      <c r="A127" s="53">
        <v>223.21</v>
      </c>
      <c r="B127" s="38">
        <f t="shared" si="27"/>
        <v>4</v>
      </c>
      <c r="C127" s="55" t="s">
        <v>314</v>
      </c>
      <c r="D127" s="39" t="str">
        <f t="shared" si="20"/>
        <v xml:space="preserve">                        Rvacs (Cooling Vessel)</v>
      </c>
      <c r="E127" s="39" t="s">
        <v>35</v>
      </c>
      <c r="F127" s="39"/>
      <c r="G127" s="45"/>
      <c r="H127" s="45"/>
      <c r="I127" s="45"/>
      <c r="J127" s="65"/>
      <c r="K127" s="60">
        <f>K68</f>
        <v>757.20768746061754</v>
      </c>
      <c r="L127" s="49" t="s">
        <v>185</v>
      </c>
      <c r="M127" s="58" t="s">
        <v>315</v>
      </c>
      <c r="N127" s="49"/>
      <c r="O127" s="49"/>
      <c r="P127" s="49"/>
      <c r="Q127" s="65">
        <v>2017</v>
      </c>
      <c r="R127" s="49" t="s">
        <v>85</v>
      </c>
      <c r="S127" s="58" t="s">
        <v>195</v>
      </c>
      <c r="T127" s="62" t="s">
        <v>196</v>
      </c>
      <c r="U127" s="49"/>
      <c r="V127" s="49"/>
      <c r="W127" s="74" t="s">
        <v>156</v>
      </c>
      <c r="X127" s="77">
        <f t="shared" ref="X124:X129" si="28">0.9*$J127</f>
        <v>0</v>
      </c>
      <c r="Y127" s="77">
        <f t="shared" ref="Y124:Y129" si="29">1.5*J127</f>
        <v>0</v>
      </c>
      <c r="Z127" s="74" t="s">
        <v>44</v>
      </c>
      <c r="AA127" s="76">
        <f t="shared" ref="AA124:AA129" si="30">0.9*K127</f>
        <v>681.48691871455583</v>
      </c>
      <c r="AB127" s="76">
        <f t="shared" ref="AB124:AB129" si="31">1.3*K127</f>
        <v>984.36999369880277</v>
      </c>
      <c r="AC127" s="74" t="s">
        <v>44</v>
      </c>
      <c r="AD127" s="76" t="s">
        <v>45</v>
      </c>
      <c r="AE127" s="76" t="s">
        <v>46</v>
      </c>
      <c r="AF127" s="76" t="s">
        <v>47</v>
      </c>
      <c r="AG127" s="74" t="s">
        <v>48</v>
      </c>
    </row>
    <row r="128" spans="1:33" ht="40" customHeight="1" x14ac:dyDescent="0.2">
      <c r="A128" s="53">
        <v>223.22</v>
      </c>
      <c r="B128" s="38">
        <f t="shared" si="27"/>
        <v>4</v>
      </c>
      <c r="C128" s="55" t="s">
        <v>316</v>
      </c>
      <c r="D128" s="39" t="str">
        <f t="shared" si="20"/>
        <v xml:space="preserve">                        Rvacs (Intake Vessel)</v>
      </c>
      <c r="E128" s="39" t="s">
        <v>35</v>
      </c>
      <c r="F128" s="39"/>
      <c r="G128" s="45"/>
      <c r="H128" s="45"/>
      <c r="I128" s="45"/>
      <c r="J128" s="65"/>
      <c r="K128" s="60">
        <f>K127</f>
        <v>757.20768746061754</v>
      </c>
      <c r="L128" s="49" t="s">
        <v>185</v>
      </c>
      <c r="M128" s="58" t="s">
        <v>317</v>
      </c>
      <c r="N128" s="49"/>
      <c r="O128" s="49"/>
      <c r="P128" s="49"/>
      <c r="Q128" s="65">
        <v>2017</v>
      </c>
      <c r="R128" s="49" t="s">
        <v>85</v>
      </c>
      <c r="S128" s="58" t="s">
        <v>195</v>
      </c>
      <c r="T128" s="62" t="s">
        <v>196</v>
      </c>
      <c r="U128" s="49"/>
      <c r="V128" s="49"/>
      <c r="W128" s="74" t="s">
        <v>156</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40" customHeight="1" x14ac:dyDescent="0.2">
      <c r="A129" s="53">
        <v>226</v>
      </c>
      <c r="B129" s="38">
        <f t="shared" si="27"/>
        <v>2</v>
      </c>
      <c r="C129" s="55" t="s">
        <v>318</v>
      </c>
      <c r="D129" s="39" t="str">
        <f t="shared" si="20"/>
        <v xml:space="preserve">            Other Reactor Plant Equipment</v>
      </c>
      <c r="E129" s="39" t="s">
        <v>35</v>
      </c>
      <c r="F129" s="39" t="s">
        <v>117</v>
      </c>
      <c r="G129" s="45" t="s">
        <v>284</v>
      </c>
      <c r="H129" s="45"/>
      <c r="I129" s="45"/>
      <c r="J129" s="60">
        <f>MARVEL_Cost!C42</f>
        <v>456297</v>
      </c>
      <c r="K129" s="60"/>
      <c r="L129" s="49"/>
      <c r="M129" s="58"/>
      <c r="N129" s="49"/>
      <c r="O129" s="49"/>
      <c r="P129" s="49"/>
      <c r="Q129" s="65">
        <v>2024</v>
      </c>
      <c r="R129" s="49" t="s">
        <v>152</v>
      </c>
      <c r="S129" s="58" t="s">
        <v>319</v>
      </c>
      <c r="T129" s="49"/>
      <c r="U129" s="49"/>
      <c r="V129" s="49"/>
      <c r="W129" s="74" t="s">
        <v>156</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40" customHeight="1" x14ac:dyDescent="0.2">
      <c r="A130" s="53">
        <v>226</v>
      </c>
      <c r="B130" s="38">
        <v>2</v>
      </c>
      <c r="C130" s="55" t="s">
        <v>318</v>
      </c>
      <c r="D130" s="39" t="str">
        <f t="shared" si="20"/>
        <v xml:space="preserve">            Other Reactor Plant Equipment</v>
      </c>
      <c r="E130" s="39" t="s">
        <v>35</v>
      </c>
      <c r="F130" s="39" t="s">
        <v>117</v>
      </c>
      <c r="G130" s="45" t="s">
        <v>118</v>
      </c>
      <c r="H130" s="45"/>
      <c r="I130" s="45"/>
      <c r="J130" s="60"/>
      <c r="K130" s="60">
        <f>8844770/N130*8.15527886031535</f>
        <v>118207.77405377067</v>
      </c>
      <c r="L130" s="49" t="s">
        <v>278</v>
      </c>
      <c r="M130" s="58" t="s">
        <v>320</v>
      </c>
      <c r="N130" s="49">
        <v>610.21</v>
      </c>
      <c r="O130" s="49" t="s">
        <v>321</v>
      </c>
      <c r="P130" s="49">
        <v>0.6</v>
      </c>
      <c r="Q130" s="65">
        <v>2023</v>
      </c>
      <c r="R130" s="49" t="s">
        <v>85</v>
      </c>
      <c r="S130" s="58" t="s">
        <v>322</v>
      </c>
      <c r="T130" s="49" t="s">
        <v>323</v>
      </c>
      <c r="U130" s="72" t="s">
        <v>324</v>
      </c>
      <c r="V130" s="49" t="s">
        <v>325</v>
      </c>
      <c r="W130" s="74" t="s">
        <v>156</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57.25" customHeight="1" x14ac:dyDescent="0.2">
      <c r="A131" s="53">
        <v>227</v>
      </c>
      <c r="B131" s="38">
        <f>IF(ISNUMBER(A131),
    IF(AND(A131=INT(A131), MOD(A131, 10) = 0), 0,
        IF(AND(A131=INT(A131), LEN(A131)=2), 1,
            IF(AND(A131=INT(A131), LEN(A131)=3), 2,
                LEN(A131) - FIND(".", A131) + 2)
        )
    ),
"")</f>
        <v>2</v>
      </c>
      <c r="C131" s="55" t="s">
        <v>326</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72</v>
      </c>
      <c r="S131" s="58" t="s">
        <v>327</v>
      </c>
      <c r="T131" s="58" t="s">
        <v>328</v>
      </c>
      <c r="U131" s="72" t="s">
        <v>329</v>
      </c>
      <c r="V131" s="49" t="s">
        <v>330</v>
      </c>
      <c r="W131" s="74" t="s">
        <v>156</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0" customHeight="1" x14ac:dyDescent="0.2">
      <c r="A132" s="53">
        <v>228</v>
      </c>
      <c r="B132" s="38">
        <f t="shared" ref="B129:B145" si="32">IF(ISNUMBER(A132),
IF(AND(A132=INT(A132), MOD(A132, 10) = 0), 0,
IF(AND(A132=INT(A132), LEN(A132)=2), 1,
IF(AND(A132=INT(A132), LEN(A132)=3), 2,
LEN(A132) - FIND(".", A132) + 2)
)
),
"")</f>
        <v>2</v>
      </c>
      <c r="C132" s="55" t="s">
        <v>331</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85</v>
      </c>
      <c r="S132" s="58" t="s">
        <v>319</v>
      </c>
      <c r="T132" s="49"/>
      <c r="U132" s="49"/>
      <c r="V132" s="49"/>
      <c r="W132" s="74" t="s">
        <v>156</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0" customHeight="1" x14ac:dyDescent="0.2">
      <c r="A133" s="37">
        <v>23</v>
      </c>
      <c r="B133" s="38">
        <f t="shared" si="32"/>
        <v>1</v>
      </c>
      <c r="C133" s="55" t="s">
        <v>332</v>
      </c>
      <c r="D133" s="39" t="str">
        <f t="shared" ref="D130:D161"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0" customHeight="1" x14ac:dyDescent="0.2">
      <c r="A134" s="53">
        <v>232</v>
      </c>
      <c r="B134" s="38">
        <f t="shared" si="32"/>
        <v>2</v>
      </c>
      <c r="C134" s="55" t="s">
        <v>333</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0" customHeight="1" x14ac:dyDescent="0.2">
      <c r="A135" s="53">
        <v>232.1</v>
      </c>
      <c r="B135" s="38">
        <f t="shared" si="32"/>
        <v>3</v>
      </c>
      <c r="C135" s="55" t="s">
        <v>334</v>
      </c>
      <c r="D135" s="39" t="str">
        <f t="shared" si="33"/>
        <v xml:space="preserve">                  Electricity Generation Systems</v>
      </c>
      <c r="E135" s="39" t="s">
        <v>35</v>
      </c>
      <c r="F135" s="39"/>
      <c r="G135" s="45"/>
      <c r="H135" s="45"/>
      <c r="I135" s="45"/>
      <c r="J135" s="65"/>
      <c r="K135" s="43">
        <v>12504</v>
      </c>
      <c r="L135" s="49" t="s">
        <v>335</v>
      </c>
      <c r="M135" s="45" t="s">
        <v>336</v>
      </c>
      <c r="N135" s="49">
        <v>1</v>
      </c>
      <c r="O135" s="49"/>
      <c r="P135" s="45">
        <v>0.77700000000000002</v>
      </c>
      <c r="Q135" s="65">
        <v>2023</v>
      </c>
      <c r="R135" s="49" t="s">
        <v>85</v>
      </c>
      <c r="S135" s="58" t="s">
        <v>337</v>
      </c>
      <c r="T135" s="58" t="s">
        <v>337</v>
      </c>
      <c r="U135" s="72" t="s">
        <v>338</v>
      </c>
      <c r="V135" s="49"/>
      <c r="W135" s="74" t="s">
        <v>339</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57.25" customHeight="1" x14ac:dyDescent="0.2">
      <c r="A136" s="53">
        <v>236</v>
      </c>
      <c r="B136" s="38">
        <f t="shared" si="32"/>
        <v>2</v>
      </c>
      <c r="C136" s="55" t="s">
        <v>340</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85</v>
      </c>
      <c r="S136" s="58" t="s">
        <v>327</v>
      </c>
      <c r="T136" s="58" t="s">
        <v>328</v>
      </c>
      <c r="U136" s="72" t="s">
        <v>329</v>
      </c>
      <c r="V136" s="49"/>
      <c r="W136" s="74" t="s">
        <v>156</v>
      </c>
      <c r="X136" s="77">
        <f>0.9*$J136</f>
        <v>900000</v>
      </c>
      <c r="Y136" s="77">
        <f>1.5*J136</f>
        <v>1500000</v>
      </c>
      <c r="Z136" s="74" t="s">
        <v>44</v>
      </c>
      <c r="AA136" s="76"/>
      <c r="AB136" s="76"/>
      <c r="AC136" s="74"/>
      <c r="AD136" s="76"/>
      <c r="AE136" s="76"/>
      <c r="AF136" s="76"/>
      <c r="AG136" s="74"/>
    </row>
    <row r="137" spans="1:33" ht="20" customHeight="1" x14ac:dyDescent="0.2">
      <c r="A137" s="37">
        <v>24</v>
      </c>
      <c r="B137" s="38">
        <f t="shared" si="32"/>
        <v>1</v>
      </c>
      <c r="C137" s="55" t="s">
        <v>341</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0" customHeight="1" x14ac:dyDescent="0.2">
      <c r="A138" s="37">
        <v>241</v>
      </c>
      <c r="B138" s="38">
        <f t="shared" si="32"/>
        <v>2</v>
      </c>
      <c r="C138" s="73" t="s">
        <v>342</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85</v>
      </c>
      <c r="S138" s="207" t="s">
        <v>343</v>
      </c>
      <c r="T138" s="207" t="s">
        <v>344</v>
      </c>
      <c r="U138" s="49"/>
      <c r="V138" s="49"/>
      <c r="W138" s="74" t="s">
        <v>339</v>
      </c>
      <c r="X138" s="77">
        <f t="shared" ref="X135:X140" si="34">0.9*$J138</f>
        <v>0</v>
      </c>
      <c r="Y138" s="77">
        <f t="shared" ref="Y135:Y140" si="35">1.5*J138</f>
        <v>0</v>
      </c>
      <c r="Z138" s="74"/>
      <c r="AA138" s="76">
        <f t="shared" ref="AA135:AA140" si="36">0.9*K138</f>
        <v>11348.108816041417</v>
      </c>
      <c r="AB138" s="76">
        <f t="shared" ref="AB135:AB140" si="37">1.3*K138</f>
        <v>16391.712734282046</v>
      </c>
      <c r="AC138" s="74" t="s">
        <v>44</v>
      </c>
      <c r="AD138" s="76">
        <v>0.1</v>
      </c>
      <c r="AE138" s="76">
        <v>1</v>
      </c>
      <c r="AF138" s="76">
        <v>0</v>
      </c>
      <c r="AG138" s="74" t="s">
        <v>48</v>
      </c>
    </row>
    <row r="139" spans="1:33" ht="20" customHeight="1" x14ac:dyDescent="0.2">
      <c r="A139" s="37">
        <v>242</v>
      </c>
      <c r="B139" s="38">
        <f t="shared" si="32"/>
        <v>2</v>
      </c>
      <c r="C139" s="73" t="s">
        <v>345</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85</v>
      </c>
      <c r="S139" s="208"/>
      <c r="T139" s="208"/>
      <c r="U139" s="49"/>
      <c r="V139" s="49"/>
      <c r="W139" s="74" t="s">
        <v>339</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0" customHeight="1" x14ac:dyDescent="0.2">
      <c r="A140" s="37">
        <v>243</v>
      </c>
      <c r="B140" s="38">
        <f t="shared" si="32"/>
        <v>2</v>
      </c>
      <c r="C140" s="73" t="s">
        <v>346</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85</v>
      </c>
      <c r="S140" s="208"/>
      <c r="T140" s="208"/>
      <c r="U140" s="49"/>
      <c r="V140" s="49"/>
      <c r="W140" s="74" t="s">
        <v>339</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0" customHeight="1" x14ac:dyDescent="0.2">
      <c r="A141" s="37">
        <v>244</v>
      </c>
      <c r="B141" s="38">
        <f t="shared" si="32"/>
        <v>2</v>
      </c>
      <c r="C141" s="73" t="s">
        <v>347</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85</v>
      </c>
      <c r="S141" s="208"/>
      <c r="T141" s="208"/>
      <c r="U141" s="49"/>
      <c r="V141" s="49"/>
      <c r="W141" s="74" t="s">
        <v>339</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0" customHeight="1" x14ac:dyDescent="0.2">
      <c r="A142" s="37">
        <v>245</v>
      </c>
      <c r="B142" s="38">
        <f t="shared" si="32"/>
        <v>2</v>
      </c>
      <c r="C142" s="73" t="s">
        <v>348</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85</v>
      </c>
      <c r="S142" s="208"/>
      <c r="T142" s="208"/>
      <c r="U142" s="49"/>
      <c r="V142" s="49"/>
      <c r="W142" s="74" t="s">
        <v>339</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0" customHeight="1" x14ac:dyDescent="0.2">
      <c r="A143" s="37">
        <v>246</v>
      </c>
      <c r="B143" s="38">
        <f t="shared" si="32"/>
        <v>2</v>
      </c>
      <c r="C143" s="73" t="s">
        <v>349</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85</v>
      </c>
      <c r="S143" s="209"/>
      <c r="T143" s="209"/>
      <c r="U143" s="49"/>
      <c r="V143" s="49"/>
      <c r="W143" s="74" t="s">
        <v>339</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0" customHeight="1" x14ac:dyDescent="0.2">
      <c r="A144" s="37">
        <v>25</v>
      </c>
      <c r="B144" s="38">
        <f t="shared" si="32"/>
        <v>1</v>
      </c>
      <c r="C144" s="55" t="s">
        <v>350</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3" ht="21.75" customHeight="1" x14ac:dyDescent="0.2">
      <c r="A145" s="53">
        <v>251</v>
      </c>
      <c r="B145" s="38">
        <f t="shared" si="32"/>
        <v>2</v>
      </c>
      <c r="C145" s="55" t="s">
        <v>351</v>
      </c>
      <c r="D145" s="39" t="str">
        <f t="shared" si="33"/>
        <v xml:space="preserve">            First Core Mining</v>
      </c>
      <c r="E145" s="39" t="s">
        <v>35</v>
      </c>
      <c r="F145" s="39"/>
      <c r="G145" s="45"/>
      <c r="H145" s="45"/>
      <c r="I145" s="45"/>
      <c r="J145" s="65"/>
      <c r="K145" s="65">
        <v>184</v>
      </c>
      <c r="L145" s="49" t="s">
        <v>185</v>
      </c>
      <c r="M145" s="45" t="s">
        <v>352</v>
      </c>
      <c r="N145" s="49"/>
      <c r="O145" s="49"/>
      <c r="P145" s="49"/>
      <c r="Q145" s="65">
        <v>2022</v>
      </c>
      <c r="R145" s="49" t="s">
        <v>218</v>
      </c>
      <c r="S145" s="212" t="s">
        <v>353</v>
      </c>
      <c r="T145" s="212" t="s">
        <v>354</v>
      </c>
      <c r="U145" s="49"/>
      <c r="V145" s="49"/>
      <c r="W145" s="74" t="s">
        <v>43</v>
      </c>
      <c r="X145" s="77">
        <f t="shared" ref="X142:X148" si="38">0.9*$J145</f>
        <v>0</v>
      </c>
      <c r="Y145" s="77">
        <f t="shared" ref="Y142:Y148" si="39">1.5*J145</f>
        <v>0</v>
      </c>
      <c r="Z145" s="74" t="s">
        <v>44</v>
      </c>
      <c r="AA145" s="76">
        <f t="shared" ref="AA142:AA148" si="40">0.9*K145</f>
        <v>165.6</v>
      </c>
      <c r="AB145" s="76">
        <f t="shared" ref="AB142:AB148" si="41">1.3*K145</f>
        <v>239.20000000000002</v>
      </c>
      <c r="AC145" s="74" t="s">
        <v>44</v>
      </c>
      <c r="AD145" s="76" t="s">
        <v>45</v>
      </c>
      <c r="AE145" s="76" t="s">
        <v>46</v>
      </c>
      <c r="AF145" s="76" t="s">
        <v>47</v>
      </c>
      <c r="AG145" s="74" t="s">
        <v>48</v>
      </c>
    </row>
    <row r="146" spans="1:33" ht="20" customHeight="1" x14ac:dyDescent="0.2">
      <c r="A146" s="53">
        <v>252</v>
      </c>
      <c r="B146" s="38">
        <f t="shared" si="32"/>
        <v>2</v>
      </c>
      <c r="C146" s="55" t="s">
        <v>355</v>
      </c>
      <c r="D146" s="39" t="str">
        <f t="shared" si="33"/>
        <v xml:space="preserve">            First Core Conversion </v>
      </c>
      <c r="E146" s="39" t="s">
        <v>35</v>
      </c>
      <c r="F146" s="39"/>
      <c r="G146" s="45"/>
      <c r="H146" s="45"/>
      <c r="I146" s="45"/>
      <c r="J146" s="65"/>
      <c r="K146" s="65">
        <v>15.1</v>
      </c>
      <c r="L146" s="49" t="s">
        <v>185</v>
      </c>
      <c r="M146" s="45" t="s">
        <v>352</v>
      </c>
      <c r="N146" s="49"/>
      <c r="O146" s="49"/>
      <c r="P146" s="49"/>
      <c r="Q146" s="65">
        <v>2022</v>
      </c>
      <c r="R146" s="49" t="s">
        <v>218</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0" customHeight="1" x14ac:dyDescent="0.2">
      <c r="A147" s="53">
        <v>253</v>
      </c>
      <c r="B147" s="38">
        <f t="shared" si="32"/>
        <v>2</v>
      </c>
      <c r="C147" s="55" t="s">
        <v>356</v>
      </c>
      <c r="D147" s="39" t="str">
        <f t="shared" si="33"/>
        <v xml:space="preserve">            First Core Enrichment </v>
      </c>
      <c r="E147" s="39" t="s">
        <v>267</v>
      </c>
      <c r="F147" s="39"/>
      <c r="G147" s="45"/>
      <c r="H147" s="45"/>
      <c r="I147" s="45"/>
      <c r="J147" s="65"/>
      <c r="K147" s="65">
        <v>184.2</v>
      </c>
      <c r="L147" s="49" t="s">
        <v>357</v>
      </c>
      <c r="M147" s="58" t="s">
        <v>358</v>
      </c>
      <c r="N147" s="49"/>
      <c r="O147" s="49"/>
      <c r="P147" s="49">
        <v>1</v>
      </c>
      <c r="Q147" s="65">
        <v>2022</v>
      </c>
      <c r="R147" s="49" t="s">
        <v>218</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0" customHeight="1" x14ac:dyDescent="0.2">
      <c r="A148" s="53">
        <v>254</v>
      </c>
      <c r="B148" s="38">
        <f t="shared" si="32"/>
        <v>2</v>
      </c>
      <c r="C148" s="55" t="s">
        <v>359</v>
      </c>
      <c r="D148" s="39" t="str">
        <f t="shared" si="33"/>
        <v xml:space="preserve">            First Core Fuel Assembly Fabrication </v>
      </c>
      <c r="E148" s="39" t="s">
        <v>35</v>
      </c>
      <c r="F148" s="39" t="s">
        <v>360</v>
      </c>
      <c r="G148" s="45" t="s">
        <v>361</v>
      </c>
      <c r="H148" s="45" t="s">
        <v>362</v>
      </c>
      <c r="I148" s="45" t="s">
        <v>363</v>
      </c>
      <c r="J148" s="65"/>
      <c r="K148" s="65">
        <v>1520</v>
      </c>
      <c r="L148" s="49" t="s">
        <v>185</v>
      </c>
      <c r="M148" s="58" t="s">
        <v>364</v>
      </c>
      <c r="N148" s="49"/>
      <c r="O148" s="49"/>
      <c r="P148" s="49"/>
      <c r="Q148" s="65">
        <v>2023</v>
      </c>
      <c r="R148" s="49" t="s">
        <v>218</v>
      </c>
      <c r="S148" s="208"/>
      <c r="T148" s="208"/>
      <c r="U148" s="49"/>
      <c r="V148" s="49"/>
      <c r="W148" s="74" t="s">
        <v>156</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0" customHeight="1" x14ac:dyDescent="0.2">
      <c r="A149" s="53">
        <v>254</v>
      </c>
      <c r="B149" s="38">
        <f>IF(ISNUMBER(A149),
    IF(AND(A149=INT(A149), MOD(A149, 10) = 0), 0,
        IF(AND(A149=INT(A149), LEN(A149)=2), 1,
            IF(AND(A149=INT(A149), LEN(A149)=3), 2,
                LEN(A149) - FIND(".", A149) + 2)
        )
    ),
"")</f>
        <v>2</v>
      </c>
      <c r="C149" s="55" t="s">
        <v>359</v>
      </c>
      <c r="D149" s="39" t="str">
        <f t="shared" si="33"/>
        <v xml:space="preserve">            First Core Fuel Assembly Fabrication </v>
      </c>
      <c r="E149" s="39" t="s">
        <v>35</v>
      </c>
      <c r="F149" s="39" t="s">
        <v>360</v>
      </c>
      <c r="G149" s="45" t="s">
        <v>361</v>
      </c>
      <c r="H149" s="45" t="s">
        <v>362</v>
      </c>
      <c r="I149" s="45" t="s">
        <v>365</v>
      </c>
      <c r="J149" s="65"/>
      <c r="K149" s="65">
        <v>250</v>
      </c>
      <c r="L149" s="49" t="s">
        <v>185</v>
      </c>
      <c r="M149" s="58" t="s">
        <v>364</v>
      </c>
      <c r="N149" s="49"/>
      <c r="O149" s="49"/>
      <c r="P149" s="49"/>
      <c r="Q149" s="65">
        <v>2023</v>
      </c>
      <c r="R149" s="49" t="s">
        <v>218</v>
      </c>
      <c r="S149" s="208"/>
      <c r="T149" s="208"/>
      <c r="U149" s="49"/>
      <c r="V149" s="49"/>
      <c r="W149" s="74" t="s">
        <v>156</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0" customHeight="1" x14ac:dyDescent="0.2">
      <c r="A150" s="53">
        <v>254</v>
      </c>
      <c r="B150" s="38">
        <f>IF(ISNUMBER(A150),
    IF(AND(A150=INT(A150), MOD(A150, 10) = 0), 0,
        IF(AND(A150=INT(A150), LEN(A150)=2), 1,
            IF(AND(A150=INT(A150), LEN(A150)=3), 2,
                LEN(A150) - FIND(".", A150) + 2)
        )
    ),
"")</f>
        <v>2</v>
      </c>
      <c r="C150" s="55" t="s">
        <v>359</v>
      </c>
      <c r="D150" s="39" t="str">
        <f t="shared" si="33"/>
        <v xml:space="preserve">            First Core Fuel Assembly Fabrication </v>
      </c>
      <c r="E150" s="39" t="s">
        <v>35</v>
      </c>
      <c r="F150" s="39" t="s">
        <v>360</v>
      </c>
      <c r="G150" s="45" t="s">
        <v>268</v>
      </c>
      <c r="H150" s="45"/>
      <c r="I150" s="45"/>
      <c r="J150" s="65"/>
      <c r="K150" s="65">
        <v>10000</v>
      </c>
      <c r="L150" s="49" t="s">
        <v>185</v>
      </c>
      <c r="M150" s="58" t="s">
        <v>364</v>
      </c>
      <c r="N150" s="49"/>
      <c r="O150" s="49"/>
      <c r="P150" s="49"/>
      <c r="Q150" s="65">
        <v>2009</v>
      </c>
      <c r="R150" s="49" t="s">
        <v>218</v>
      </c>
      <c r="S150" s="209"/>
      <c r="T150" s="209"/>
      <c r="U150" s="49"/>
      <c r="V150" s="49"/>
      <c r="W150" s="74" t="s">
        <v>156</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40" customHeight="1" x14ac:dyDescent="0.2">
      <c r="A151" s="37">
        <v>26</v>
      </c>
      <c r="B151" s="38">
        <f>IF(ISNUMBER(A151),
IF(AND(A151=INT(A151), MOD(A151, 10) = 0), 0,
IF(AND(A151=INT(A151), LEN(A151)=2), 1,
IF(AND(A151=INT(A151), LEN(A151)=3), 2,
LEN(A151) - FIND(".", A151) + 2)
)
),
"")</f>
        <v>1</v>
      </c>
      <c r="C151" s="55" t="s">
        <v>366</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152</v>
      </c>
      <c r="S151" s="58" t="s">
        <v>367</v>
      </c>
      <c r="T151" s="58" t="s">
        <v>368</v>
      </c>
      <c r="U151" s="49"/>
      <c r="V151" s="49"/>
      <c r="W151" s="74" t="s">
        <v>156</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0" customHeight="1" x14ac:dyDescent="0.2">
      <c r="A152" s="50">
        <v>30</v>
      </c>
      <c r="B152" s="38">
        <f>IF(ISNUMBER(A152),
    IF(AND(A152=INT(A152), MOD(A152, 10) = 0), 0,
        IF(AND(A152=INT(A152), LEN(A152)=2), 1,
            IF(AND(A152=INT(A152), LEN(A152)=3), 2,
                LEN(A152) - FIND(".", A152) + 2)
        )
    ),
"")</f>
        <v>0</v>
      </c>
      <c r="C152" s="55" t="s">
        <v>369</v>
      </c>
      <c r="D152" s="39" t="str">
        <f t="shared" si="33"/>
        <v>Capitalized Indirect Services Cost</v>
      </c>
      <c r="E152" s="39"/>
      <c r="F152" s="39"/>
      <c r="G152" s="39"/>
      <c r="H152" s="39"/>
      <c r="I152" s="39"/>
      <c r="J152" s="67"/>
      <c r="K152" s="51"/>
      <c r="L152" s="50"/>
      <c r="M152" s="50"/>
      <c r="N152" s="50"/>
      <c r="O152" s="50"/>
      <c r="P152" s="50"/>
      <c r="Q152" s="67"/>
      <c r="R152" s="50"/>
      <c r="S152" s="50"/>
      <c r="T152" s="50"/>
      <c r="U152" s="50"/>
      <c r="V152" s="50"/>
      <c r="W152" s="74"/>
      <c r="X152" s="77"/>
      <c r="Y152" s="77"/>
      <c r="Z152" s="74"/>
      <c r="AA152" s="76"/>
      <c r="AB152" s="76"/>
      <c r="AC152" s="74"/>
      <c r="AD152" s="76"/>
      <c r="AE152" s="76"/>
      <c r="AF152" s="76"/>
      <c r="AG152" s="74"/>
    </row>
    <row r="153" spans="1:33" ht="38.75" customHeight="1" x14ac:dyDescent="0.2">
      <c r="A153" s="50">
        <v>31</v>
      </c>
      <c r="B153" s="38">
        <v>1</v>
      </c>
      <c r="C153" s="55" t="s">
        <v>370</v>
      </c>
      <c r="D153" s="39" t="str">
        <f t="shared" si="33"/>
        <v xml:space="preserve">      Factory &amp; field indirect costs</v>
      </c>
      <c r="E153" s="39"/>
      <c r="F153" s="39"/>
      <c r="G153" s="39"/>
      <c r="H153" s="39"/>
      <c r="I153" s="39"/>
      <c r="J153" s="67"/>
      <c r="K153" s="68"/>
      <c r="L153" s="49"/>
      <c r="M153" s="58"/>
      <c r="N153" s="50"/>
      <c r="O153" s="50"/>
      <c r="P153" s="50"/>
      <c r="Q153" s="65"/>
      <c r="R153" s="49"/>
      <c r="S153" s="50"/>
      <c r="T153" s="50"/>
      <c r="U153" s="50"/>
      <c r="V153" s="50"/>
      <c r="W153" s="74"/>
      <c r="X153" s="77"/>
      <c r="Y153" s="77"/>
      <c r="Z153" s="74"/>
      <c r="AA153" s="76"/>
      <c r="AB153" s="76"/>
      <c r="AC153" s="74"/>
      <c r="AD153" s="76"/>
      <c r="AE153" s="76"/>
      <c r="AF153" s="76"/>
      <c r="AG153" s="74"/>
    </row>
    <row r="154" spans="1:33" ht="20" customHeight="1" x14ac:dyDescent="0.2">
      <c r="A154" s="50">
        <v>32</v>
      </c>
      <c r="B154" s="38">
        <v>1</v>
      </c>
      <c r="C154" s="55" t="s">
        <v>371</v>
      </c>
      <c r="D154" s="39" t="str">
        <f t="shared" si="33"/>
        <v xml:space="preserve">      Factory and construction supervision</v>
      </c>
      <c r="E154" s="39"/>
      <c r="F154" s="39"/>
      <c r="G154" s="39"/>
      <c r="H154" s="39"/>
      <c r="I154" s="39"/>
      <c r="J154" s="67"/>
      <c r="K154" s="51"/>
      <c r="L154" s="50"/>
      <c r="M154" s="50"/>
      <c r="N154" s="50"/>
      <c r="O154" s="50"/>
      <c r="P154" s="50"/>
      <c r="Q154" s="65"/>
      <c r="R154" s="49"/>
      <c r="S154" s="50"/>
      <c r="T154" s="50"/>
      <c r="U154" s="50"/>
      <c r="V154" s="50"/>
      <c r="W154" s="74"/>
      <c r="X154" s="77"/>
      <c r="Y154" s="77"/>
      <c r="Z154" s="74"/>
      <c r="AA154" s="76"/>
      <c r="AB154" s="76"/>
      <c r="AC154" s="74"/>
      <c r="AD154" s="76"/>
      <c r="AE154" s="76"/>
      <c r="AF154" s="76"/>
      <c r="AG154" s="74"/>
    </row>
    <row r="155" spans="1:33" ht="20" customHeight="1" x14ac:dyDescent="0.2">
      <c r="A155" s="37">
        <v>33</v>
      </c>
      <c r="B155" s="38">
        <f t="shared" ref="B152:B166" si="42">IF(ISNUMBER(A155),
IF(AND(A155=INT(A155), MOD(A155, 10) = 0), 0,
IF(AND(A155=INT(A155), LEN(A155)=2), 1,
IF(AND(A155=INT(A155), LEN(A155)=3), 2,
LEN(A155) - FIND(".", A155) + 2)
)
),
"")</f>
        <v>1</v>
      </c>
      <c r="C155" s="55" t="s">
        <v>372</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72</v>
      </c>
      <c r="S155" s="211" t="s">
        <v>319</v>
      </c>
      <c r="T155" s="46"/>
      <c r="U155" s="46"/>
      <c r="V155" s="46"/>
      <c r="W155" s="74" t="s">
        <v>76</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40" customHeight="1" x14ac:dyDescent="0.2">
      <c r="A156" s="37">
        <v>34</v>
      </c>
      <c r="B156" s="38">
        <f t="shared" si="42"/>
        <v>1</v>
      </c>
      <c r="C156" s="55" t="s">
        <v>373</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72</v>
      </c>
      <c r="S156" s="208"/>
      <c r="T156" s="46"/>
      <c r="U156" s="46"/>
      <c r="V156" s="46"/>
      <c r="W156" s="74" t="s">
        <v>76</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0" customHeight="1" x14ac:dyDescent="0.2">
      <c r="A157" s="37">
        <v>35</v>
      </c>
      <c r="B157" s="38">
        <f t="shared" si="42"/>
        <v>1</v>
      </c>
      <c r="C157" s="55" t="s">
        <v>374</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8"/>
      <c r="T157" s="49"/>
      <c r="U157" s="49"/>
      <c r="V157" s="49"/>
      <c r="W157" s="74" t="s">
        <v>76</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0" customHeight="1" x14ac:dyDescent="0.2">
      <c r="A158" s="37">
        <v>36</v>
      </c>
      <c r="B158" s="38">
        <f t="shared" si="42"/>
        <v>1</v>
      </c>
      <c r="C158" s="55" t="s">
        <v>375</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9"/>
      <c r="T158" s="49"/>
      <c r="U158" s="49"/>
      <c r="V158" s="49"/>
      <c r="W158" s="74" t="s">
        <v>76</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0" customHeight="1" x14ac:dyDescent="0.2">
      <c r="A159" s="37">
        <v>40</v>
      </c>
      <c r="B159" s="38">
        <f t="shared" si="42"/>
        <v>0</v>
      </c>
      <c r="C159" s="55" t="s">
        <v>376</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0" customHeight="1" x14ac:dyDescent="0.2">
      <c r="A160" s="37">
        <v>41</v>
      </c>
      <c r="B160" s="38">
        <f t="shared" si="42"/>
        <v>1</v>
      </c>
      <c r="C160" s="55" t="s">
        <v>377</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378</v>
      </c>
      <c r="U160" s="49" t="s">
        <v>379</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0" customHeight="1" x14ac:dyDescent="0.2">
      <c r="A161" s="50">
        <v>60</v>
      </c>
      <c r="B161" s="38">
        <f t="shared" si="42"/>
        <v>0</v>
      </c>
      <c r="C161" s="55" t="s">
        <v>380</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0" customHeight="1" x14ac:dyDescent="0.2">
      <c r="A162" s="37">
        <v>62</v>
      </c>
      <c r="B162" s="38">
        <f t="shared" si="42"/>
        <v>1</v>
      </c>
      <c r="C162" s="55" t="s">
        <v>381</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0" customHeight="1" x14ac:dyDescent="0.2">
      <c r="A163" s="37">
        <v>70</v>
      </c>
      <c r="B163" s="38">
        <f t="shared" si="42"/>
        <v>0</v>
      </c>
      <c r="C163" s="69" t="s">
        <v>382</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0" customHeight="1" x14ac:dyDescent="0.2">
      <c r="A164" s="37">
        <v>71</v>
      </c>
      <c r="B164" s="38">
        <f t="shared" si="42"/>
        <v>1</v>
      </c>
      <c r="C164" s="55" t="s">
        <v>383</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94.75" customHeight="1" x14ac:dyDescent="0.2">
      <c r="A165" s="53">
        <v>711</v>
      </c>
      <c r="B165" s="38">
        <f t="shared" si="42"/>
        <v>2</v>
      </c>
      <c r="C165" s="55" t="s">
        <v>384</v>
      </c>
      <c r="D165" s="39" t="str">
        <f t="shared" ref="D162:D189" si="43">REPT("   ", B165*2) &amp; C165</f>
        <v xml:space="preserve">            Operators </v>
      </c>
      <c r="E165" s="39" t="s">
        <v>267</v>
      </c>
      <c r="F165" s="39"/>
      <c r="G165" s="39"/>
      <c r="H165" s="39"/>
      <c r="I165" s="39"/>
      <c r="J165" s="43"/>
      <c r="K165" s="60">
        <v>178500</v>
      </c>
      <c r="L165" s="49" t="s">
        <v>385</v>
      </c>
      <c r="M165" s="58" t="s">
        <v>386</v>
      </c>
      <c r="N165" s="49"/>
      <c r="O165" s="49"/>
      <c r="P165" s="49">
        <v>1</v>
      </c>
      <c r="Q165" s="65">
        <v>2024</v>
      </c>
      <c r="R165" s="49" t="s">
        <v>53</v>
      </c>
      <c r="S165" s="58"/>
      <c r="T165" s="58" t="s">
        <v>387</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40" customHeight="1" x14ac:dyDescent="0.2">
      <c r="A166" s="53">
        <v>712</v>
      </c>
      <c r="B166" s="38">
        <f t="shared" si="42"/>
        <v>2</v>
      </c>
      <c r="C166" s="55" t="s">
        <v>388</v>
      </c>
      <c r="D166" s="39" t="str">
        <f t="shared" si="43"/>
        <v xml:space="preserve">            Remote Monitoring Technicians </v>
      </c>
      <c r="E166" s="39" t="s">
        <v>267</v>
      </c>
      <c r="F166" s="39" t="s">
        <v>389</v>
      </c>
      <c r="G166" s="39" t="s">
        <v>390</v>
      </c>
      <c r="H166" s="39"/>
      <c r="I166" s="39"/>
      <c r="J166" s="43"/>
      <c r="K166" s="60">
        <v>178500</v>
      </c>
      <c r="L166" s="49" t="s">
        <v>385</v>
      </c>
      <c r="M166" s="58" t="s">
        <v>391</v>
      </c>
      <c r="N166" s="49"/>
      <c r="O166" s="49"/>
      <c r="P166" s="49">
        <v>1</v>
      </c>
      <c r="Q166" s="65">
        <v>2024</v>
      </c>
      <c r="R166" s="49" t="s">
        <v>53</v>
      </c>
      <c r="S166" s="58"/>
      <c r="T166" s="58" t="s">
        <v>387</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13.25" customHeight="1" x14ac:dyDescent="0.2">
      <c r="A167" s="53">
        <v>713</v>
      </c>
      <c r="B167" s="38">
        <f t="shared" si="42"/>
        <v>2</v>
      </c>
      <c r="C167" s="55" t="s">
        <v>392</v>
      </c>
      <c r="D167" s="39" t="str">
        <f t="shared" si="43"/>
        <v xml:space="preserve">            Security Staff </v>
      </c>
      <c r="E167" s="39" t="s">
        <v>267</v>
      </c>
      <c r="F167" s="39"/>
      <c r="G167" s="39"/>
      <c r="H167" s="39"/>
      <c r="I167" s="39"/>
      <c r="J167" s="43"/>
      <c r="K167" s="60">
        <v>178500</v>
      </c>
      <c r="L167" s="49" t="s">
        <v>385</v>
      </c>
      <c r="M167" s="58" t="s">
        <v>393</v>
      </c>
      <c r="N167" s="49"/>
      <c r="O167" s="49"/>
      <c r="P167" s="49">
        <v>1</v>
      </c>
      <c r="Q167" s="65">
        <v>2024</v>
      </c>
      <c r="R167" s="49" t="s">
        <v>53</v>
      </c>
      <c r="S167" s="58"/>
      <c r="T167" s="58" t="s">
        <v>387</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0" customHeight="1" x14ac:dyDescent="0.2">
      <c r="A168" s="37">
        <v>72</v>
      </c>
      <c r="B168" s="38">
        <f t="shared" si="42"/>
        <v>1</v>
      </c>
      <c r="C168" s="55" t="s">
        <v>394</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76" customHeight="1" x14ac:dyDescent="0.2">
      <c r="A169" s="37">
        <v>721</v>
      </c>
      <c r="B169" s="38">
        <f t="shared" si="42"/>
        <v>2</v>
      </c>
      <c r="C169" s="55" t="s">
        <v>301</v>
      </c>
      <c r="D169" s="39" t="str">
        <f t="shared" si="43"/>
        <v xml:space="preserve">            Coolant</v>
      </c>
      <c r="E169" s="39" t="s">
        <v>267</v>
      </c>
      <c r="F169" s="39" t="s">
        <v>301</v>
      </c>
      <c r="G169" s="39" t="s">
        <v>302</v>
      </c>
      <c r="H169" s="39"/>
      <c r="I169" s="39"/>
      <c r="J169" s="43"/>
      <c r="K169" s="60">
        <v>170</v>
      </c>
      <c r="L169" s="49" t="s">
        <v>185</v>
      </c>
      <c r="M169" s="58" t="s">
        <v>395</v>
      </c>
      <c r="N169" s="49"/>
      <c r="O169" s="49" t="s">
        <v>187</v>
      </c>
      <c r="P169" s="49"/>
      <c r="Q169" s="65">
        <v>2024</v>
      </c>
      <c r="R169" s="49" t="s">
        <v>218</v>
      </c>
      <c r="S169" s="58" t="s">
        <v>304</v>
      </c>
      <c r="T169" s="62" t="s">
        <v>304</v>
      </c>
      <c r="U169" s="80" t="s">
        <v>305</v>
      </c>
      <c r="V169" s="49" t="s">
        <v>306</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38.75" customHeight="1" x14ac:dyDescent="0.2">
      <c r="A170" s="37">
        <v>721</v>
      </c>
      <c r="B170" s="38">
        <f>IF(ISNUMBER(A170),
    IF(AND(A170=INT(A170), MOD(A170, 10) = 0), 0,
        IF(AND(A170=INT(A170), LEN(A170)=2), 1,
            IF(AND(A170=INT(A170), LEN(A170)=3), 2,
                LEN(A170) - FIND(".", A170) + 2)
        )
    ),
"")</f>
        <v>2</v>
      </c>
      <c r="C170" s="55" t="s">
        <v>301</v>
      </c>
      <c r="D170" s="39" t="str">
        <f t="shared" si="43"/>
        <v xml:space="preserve">            Coolant</v>
      </c>
      <c r="E170" s="39" t="s">
        <v>267</v>
      </c>
      <c r="F170" s="39" t="s">
        <v>301</v>
      </c>
      <c r="G170" s="39" t="s">
        <v>307</v>
      </c>
      <c r="H170" s="39"/>
      <c r="I170" s="39"/>
      <c r="J170" s="43"/>
      <c r="K170" s="60">
        <v>118</v>
      </c>
      <c r="L170" s="49" t="s">
        <v>185</v>
      </c>
      <c r="M170" s="58" t="s">
        <v>395</v>
      </c>
      <c r="N170" s="49"/>
      <c r="O170" s="49" t="s">
        <v>187</v>
      </c>
      <c r="P170" s="49"/>
      <c r="Q170" s="65">
        <v>2023</v>
      </c>
      <c r="R170" s="49" t="s">
        <v>218</v>
      </c>
      <c r="S170" s="58" t="s">
        <v>396</v>
      </c>
      <c r="T170" s="62"/>
      <c r="U170" s="80"/>
      <c r="V170" s="49" t="s">
        <v>397</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06.75" customHeight="1" x14ac:dyDescent="0.2">
      <c r="A171" s="37">
        <v>73</v>
      </c>
      <c r="B171" s="38">
        <f t="shared" ref="B168:B176" si="44">IF(ISNUMBER(A171),
IF(AND(A171=INT(A171), MOD(A171, 10) = 0), 0,
IF(AND(A171=INT(A171), LEN(A171)=2), 1,
IF(AND(A171=INT(A171), LEN(A171)=3), 2,
LEN(A171) - FIND(".", A171) + 2)
)
),
"")</f>
        <v>1</v>
      </c>
      <c r="C171" s="55" t="s">
        <v>398</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58" t="s">
        <v>399</v>
      </c>
      <c r="T171" s="62" t="s">
        <v>400</v>
      </c>
      <c r="U171" s="80" t="s">
        <v>400</v>
      </c>
      <c r="V171" s="49"/>
      <c r="W171" s="3" t="s">
        <v>58</v>
      </c>
      <c r="X171" s="77">
        <f>0.9*$J171</f>
        <v>96462</v>
      </c>
      <c r="Y171" s="77">
        <f>1.5*J171</f>
        <v>160770</v>
      </c>
      <c r="Z171" s="74" t="s">
        <v>44</v>
      </c>
      <c r="AA171" s="76"/>
      <c r="AB171" s="76"/>
      <c r="AC171" s="74"/>
      <c r="AD171" s="76"/>
      <c r="AE171" s="76"/>
      <c r="AF171" s="76"/>
      <c r="AG171" s="74"/>
    </row>
    <row r="172" spans="1:33" ht="169.25" customHeight="1" x14ac:dyDescent="0.2">
      <c r="A172" s="37">
        <v>75</v>
      </c>
      <c r="B172" s="38">
        <f t="shared" si="44"/>
        <v>1</v>
      </c>
      <c r="C172" s="55" t="s">
        <v>401</v>
      </c>
      <c r="D172" s="39" t="str">
        <f t="shared" si="43"/>
        <v xml:space="preserve">      Capital Plant Expenditures</v>
      </c>
      <c r="E172" s="39"/>
      <c r="F172" s="39"/>
      <c r="G172" s="39"/>
      <c r="H172" s="39"/>
      <c r="I172" s="39"/>
      <c r="J172" s="43"/>
      <c r="K172" s="60"/>
      <c r="L172" s="49"/>
      <c r="M172" s="58"/>
      <c r="N172" s="49"/>
      <c r="O172" s="49"/>
      <c r="P172" s="49"/>
      <c r="Q172" s="65"/>
      <c r="R172" s="49"/>
      <c r="S172" s="58" t="s">
        <v>402</v>
      </c>
      <c r="T172" s="58" t="s">
        <v>402</v>
      </c>
      <c r="U172" s="49"/>
      <c r="V172" s="58" t="s">
        <v>403</v>
      </c>
      <c r="W172" s="74"/>
      <c r="X172" s="77"/>
      <c r="Y172" s="77"/>
      <c r="Z172" s="74"/>
      <c r="AA172" s="76"/>
      <c r="AB172" s="76"/>
      <c r="AC172" s="74"/>
      <c r="AD172" s="76"/>
      <c r="AE172" s="76"/>
      <c r="AF172" s="76"/>
      <c r="AG172" s="74"/>
    </row>
    <row r="173" spans="1:33" ht="17" customHeight="1" x14ac:dyDescent="0.2">
      <c r="A173" s="37">
        <v>751</v>
      </c>
      <c r="B173" s="38">
        <f t="shared" si="44"/>
        <v>2</v>
      </c>
      <c r="C173" s="55" t="s">
        <v>794</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212" t="s">
        <v>402</v>
      </c>
      <c r="T173" s="212" t="s">
        <v>402</v>
      </c>
      <c r="U173" s="49"/>
      <c r="V173" s="212" t="s">
        <v>403</v>
      </c>
      <c r="W173" s="74"/>
      <c r="X173" s="77"/>
      <c r="Y173" s="77"/>
      <c r="Z173" s="74"/>
      <c r="AA173" s="76"/>
      <c r="AB173" s="76"/>
      <c r="AC173" s="74"/>
      <c r="AD173" s="76"/>
      <c r="AE173" s="76"/>
      <c r="AF173" s="76"/>
      <c r="AG173" s="74"/>
    </row>
    <row r="174" spans="1:33" ht="20" customHeight="1" x14ac:dyDescent="0.2">
      <c r="A174" s="37">
        <v>752</v>
      </c>
      <c r="B174" s="38">
        <f t="shared" si="44"/>
        <v>2</v>
      </c>
      <c r="C174" s="55" t="s">
        <v>795</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0" customHeight="1" x14ac:dyDescent="0.2">
      <c r="A175" s="37">
        <v>753</v>
      </c>
      <c r="B175" s="38">
        <f t="shared" si="44"/>
        <v>2</v>
      </c>
      <c r="C175" s="55" t="s">
        <v>406</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0" customHeight="1" x14ac:dyDescent="0.2">
      <c r="A176" s="37">
        <v>754</v>
      </c>
      <c r="B176" s="38">
        <f t="shared" si="44"/>
        <v>2</v>
      </c>
      <c r="C176" s="55" t="s">
        <v>407</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38.75" customHeight="1" x14ac:dyDescent="0.2">
      <c r="A177" s="37">
        <v>755</v>
      </c>
      <c r="B177" s="38">
        <f t="shared" si="44"/>
        <v>2</v>
      </c>
      <c r="C177" s="55" t="s">
        <v>796</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208"/>
      <c r="T177" s="208"/>
      <c r="U177" s="49"/>
      <c r="V177" s="208"/>
      <c r="W177" s="74"/>
      <c r="X177" s="77"/>
      <c r="Y177" s="77"/>
      <c r="Z177" s="74"/>
      <c r="AA177" s="76"/>
      <c r="AB177" s="76"/>
      <c r="AC177" s="74"/>
      <c r="AD177" s="76"/>
      <c r="AE177" s="76"/>
      <c r="AF177" s="76"/>
      <c r="AG177" s="74"/>
    </row>
    <row r="178" spans="1:33" ht="34" customHeight="1" x14ac:dyDescent="0.2">
      <c r="A178" s="37">
        <v>757</v>
      </c>
      <c r="B178" s="38">
        <f t="shared" si="44"/>
        <v>2</v>
      </c>
      <c r="C178" s="55" t="s">
        <v>797</v>
      </c>
      <c r="D178" s="39" t="str">
        <f t="shared" si="43"/>
        <v xml:space="preserve">            Annualized Moderator Booster Replacements</v>
      </c>
      <c r="E178" s="39"/>
      <c r="F178" s="39"/>
      <c r="G178" s="39"/>
      <c r="H178" s="39"/>
      <c r="I178" s="39"/>
      <c r="J178" s="43"/>
      <c r="K178" s="60"/>
      <c r="L178" s="49"/>
      <c r="M178" s="58"/>
      <c r="N178" s="49"/>
      <c r="O178" s="49"/>
      <c r="P178" s="49"/>
      <c r="Q178" s="65"/>
      <c r="R178" s="49"/>
      <c r="S178" s="208"/>
      <c r="T178" s="208"/>
      <c r="U178" s="49"/>
      <c r="V178" s="208"/>
      <c r="W178" s="74"/>
      <c r="X178" s="77"/>
      <c r="Y178" s="77"/>
      <c r="Z178" s="74"/>
      <c r="AA178" s="76"/>
      <c r="AB178" s="76"/>
      <c r="AC178" s="74"/>
      <c r="AD178" s="76"/>
      <c r="AE178" s="76"/>
      <c r="AF178" s="76"/>
      <c r="AG178" s="74"/>
    </row>
    <row r="179" spans="1:33" ht="34" customHeight="1" x14ac:dyDescent="0.2">
      <c r="A179" s="37">
        <v>759</v>
      </c>
      <c r="B179" s="38">
        <f t="shared" si="44"/>
        <v>2</v>
      </c>
      <c r="C179" s="55" t="s">
        <v>798</v>
      </c>
      <c r="D179" s="39" t="str">
        <f t="shared" si="43"/>
        <v xml:space="preserve">            Annualized Plant Maintenance (Misc.)</v>
      </c>
      <c r="E179" s="39"/>
      <c r="F179" s="39"/>
      <c r="G179" s="39"/>
      <c r="H179" s="39"/>
      <c r="I179" s="39"/>
      <c r="J179" s="43"/>
      <c r="K179" s="60"/>
      <c r="L179" s="49"/>
      <c r="M179" s="58"/>
      <c r="N179" s="49"/>
      <c r="O179" s="49"/>
      <c r="P179" s="49"/>
      <c r="Q179" s="65"/>
      <c r="R179" s="49"/>
      <c r="S179" s="209"/>
      <c r="T179" s="209"/>
      <c r="U179" s="49"/>
      <c r="V179" s="209"/>
      <c r="W179" s="74"/>
      <c r="X179" s="77"/>
      <c r="Y179" s="77"/>
      <c r="Z179" s="74"/>
      <c r="AA179" s="76"/>
      <c r="AB179" s="76"/>
      <c r="AC179" s="74"/>
      <c r="AD179" s="76"/>
      <c r="AE179" s="76"/>
      <c r="AF179" s="76"/>
      <c r="AG179" s="74"/>
    </row>
    <row r="180" spans="1:33" ht="42" customHeight="1" x14ac:dyDescent="0.2">
      <c r="A180" s="37">
        <v>759.1</v>
      </c>
      <c r="B180" s="38">
        <f>IF(ISNUMBER(A180),IF(AND(A180=INT(A180),MOD(A180,10)=0),0,IF(AND(A180=INT(A180),LEN(A180)=2),1,IF(AND(A180=INT(A180),LEN(A180)=3),2,LEN(A180)-FIND(".",A180)+2))),"")</f>
        <v>3</v>
      </c>
      <c r="C180" s="55" t="s">
        <v>799</v>
      </c>
      <c r="D180" s="39" t="str">
        <f>REPT("   ",B180*2)&amp;C180</f>
        <v>                  Annualized Building and Structural Maintenance (Accounts 212–215)</v>
      </c>
      <c r="E180" s="39"/>
      <c r="F180" s="39"/>
      <c r="G180" s="39"/>
      <c r="H180" s="39"/>
      <c r="I180" s="39"/>
      <c r="J180" s="43"/>
      <c r="K180" s="60"/>
      <c r="L180" s="49"/>
      <c r="M180" s="58"/>
      <c r="N180" s="49"/>
      <c r="O180" s="49"/>
      <c r="P180" s="49"/>
      <c r="Q180" s="65"/>
      <c r="R180" s="49"/>
      <c r="S180" s="209"/>
      <c r="T180" s="209"/>
      <c r="U180" s="49"/>
      <c r="V180" s="209"/>
      <c r="W180" s="74"/>
      <c r="X180" s="77"/>
      <c r="Y180" s="77"/>
      <c r="Z180" s="74"/>
      <c r="AA180" s="76"/>
      <c r="AB180" s="76"/>
      <c r="AC180" s="74"/>
      <c r="AD180" s="76"/>
      <c r="AE180" s="76"/>
      <c r="AF180" s="76"/>
      <c r="AG180" s="74"/>
    </row>
    <row r="181" spans="1:33" ht="42" customHeight="1" x14ac:dyDescent="0.2">
      <c r="A181" s="37">
        <v>759.2</v>
      </c>
      <c r="B181" s="38">
        <f>IF(ISNUMBER(A181),IF(AND(A181=INT(A181),MOD(A181,10)=0),0,IF(AND(A181=INT(A181),LEN(A181)=2),1,IF(AND(A181=INT(A181),LEN(A181)=3),2,LEN(A181)-FIND(".",A181)+2))),"")</f>
        <v>3</v>
      </c>
      <c r="C181" s="55" t="s">
        <v>800</v>
      </c>
      <c r="D181" s="39" t="str">
        <f>REPT("   ",B181*2)&amp;C181</f>
        <v>                  Annualized Main Heat Transport System Maintenance (Accounts 222.1–222.3 and 222.6)</v>
      </c>
      <c r="E181" s="39"/>
      <c r="F181" s="39"/>
      <c r="G181" s="39"/>
      <c r="H181" s="39"/>
      <c r="I181" s="39"/>
      <c r="J181" s="43"/>
      <c r="K181" s="60"/>
      <c r="L181" s="49"/>
      <c r="M181" s="58"/>
      <c r="N181" s="49"/>
      <c r="O181" s="49"/>
      <c r="P181" s="49"/>
      <c r="Q181" s="65"/>
      <c r="R181" s="49"/>
      <c r="S181" s="209"/>
      <c r="T181" s="209"/>
      <c r="U181" s="49"/>
      <c r="V181" s="209"/>
      <c r="W181" s="74"/>
      <c r="X181" s="77"/>
      <c r="Y181" s="77"/>
      <c r="Z181" s="74"/>
      <c r="AA181" s="76"/>
      <c r="AB181" s="76"/>
      <c r="AC181" s="74"/>
      <c r="AD181" s="76"/>
      <c r="AE181" s="76"/>
      <c r="AF181" s="76"/>
      <c r="AG181" s="74"/>
    </row>
    <row r="182" spans="1:33" ht="42" customHeight="1" x14ac:dyDescent="0.2">
      <c r="A182" s="37">
        <v>759.3</v>
      </c>
      <c r="B182" s="38">
        <f>IF(ISNUMBER(A182),IF(AND(A182=INT(A182),MOD(A182,10)=0),0,IF(AND(A182=INT(A182),LEN(A182)=2),1,IF(AND(A182=INT(A182),LEN(A182)=3),2,LEN(A182)-FIND(".",A182)+2))),"")</f>
        <v>3</v>
      </c>
      <c r="C182" s="55" t="s">
        <v>801</v>
      </c>
      <c r="D182" s="39" t="str">
        <f>REPT("   ",B182*2)&amp;C182</f>
        <v>                  Annualized Safety System Maintenance (Account 223)</v>
      </c>
      <c r="E182" s="39"/>
      <c r="F182" s="39"/>
      <c r="G182" s="39"/>
      <c r="H182" s="39"/>
      <c r="I182" s="39"/>
      <c r="J182" s="43"/>
      <c r="K182" s="60"/>
      <c r="L182" s="49"/>
      <c r="M182" s="58"/>
      <c r="N182" s="49"/>
      <c r="O182" s="49"/>
      <c r="P182" s="49"/>
      <c r="Q182" s="65"/>
      <c r="R182" s="49"/>
      <c r="S182" s="209"/>
      <c r="T182" s="209"/>
      <c r="U182" s="49"/>
      <c r="V182" s="209"/>
      <c r="W182" s="74"/>
      <c r="X182" s="77"/>
      <c r="Y182" s="77"/>
      <c r="Z182" s="74"/>
      <c r="AA182" s="76"/>
      <c r="AB182" s="76"/>
      <c r="AC182" s="74"/>
      <c r="AD182" s="76"/>
      <c r="AE182" s="76"/>
      <c r="AF182" s="76"/>
      <c r="AG182" s="74"/>
    </row>
    <row r="183" spans="1:33" ht="42" customHeight="1" x14ac:dyDescent="0.2">
      <c r="A183" s="37">
        <v>759.4</v>
      </c>
      <c r="B183" s="38">
        <f>IF(ISNUMBER(A183),IF(AND(A183=INT(A183),MOD(A183,10)=0),0,IF(AND(A183=INT(A183),LEN(A183)=2),1,IF(AND(A183=INT(A183),LEN(A183)=3),2,LEN(A183)-FIND(".",A183)+2))),"")</f>
        <v>3</v>
      </c>
      <c r="C183" s="55" t="s">
        <v>802</v>
      </c>
      <c r="D183" s="39" t="str">
        <f>REPT("   ",B183*2)&amp;C183</f>
        <v>                  Annualized Reactor Plant Equipment Maintenance (Accounts 221.11, 226, and 228)</v>
      </c>
      <c r="E183" s="39"/>
      <c r="F183" s="39"/>
      <c r="G183" s="39"/>
      <c r="H183" s="39"/>
      <c r="I183" s="39"/>
      <c r="J183" s="43"/>
      <c r="K183" s="60"/>
      <c r="L183" s="49"/>
      <c r="M183" s="58"/>
      <c r="N183" s="49"/>
      <c r="O183" s="49"/>
      <c r="P183" s="49"/>
      <c r="Q183" s="65"/>
      <c r="R183" s="49"/>
      <c r="S183" s="209"/>
      <c r="T183" s="209"/>
      <c r="U183" s="49"/>
      <c r="V183" s="209"/>
      <c r="W183" s="74"/>
      <c r="X183" s="77"/>
      <c r="Y183" s="77"/>
      <c r="Z183" s="74"/>
      <c r="AA183" s="76"/>
      <c r="AB183" s="76"/>
      <c r="AC183" s="74"/>
      <c r="AD183" s="76"/>
      <c r="AE183" s="76"/>
      <c r="AF183" s="76"/>
      <c r="AG183" s="74"/>
    </row>
    <row r="184" spans="1:33" ht="42" customHeight="1" x14ac:dyDescent="0.2">
      <c r="A184" s="37">
        <v>759.5</v>
      </c>
      <c r="B184" s="38">
        <f>IF(ISNUMBER(A184),IF(AND(A184=INT(A184),MOD(A184,10)=0),0,IF(AND(A184=INT(A184),LEN(A184)=2),1,IF(AND(A184=INT(A184),LEN(A184)=3),2,LEN(A184)-FIND(".",A184)+2))),"")</f>
        <v>3</v>
      </c>
      <c r="C184" s="55" t="s">
        <v>803</v>
      </c>
      <c r="D184" s="39" t="str">
        <f>REPT("   ",B184*2)&amp;C184</f>
        <v>                  Annualized Reactor I&amp;C Maintenance (Account 227)</v>
      </c>
      <c r="E184" s="39"/>
      <c r="F184" s="39"/>
      <c r="G184" s="39"/>
      <c r="H184" s="39"/>
      <c r="I184" s="39"/>
      <c r="J184" s="43"/>
      <c r="K184" s="60"/>
      <c r="L184" s="49"/>
      <c r="M184" s="58"/>
      <c r="N184" s="49"/>
      <c r="O184" s="49"/>
      <c r="P184" s="49"/>
      <c r="Q184" s="65"/>
      <c r="R184" s="49"/>
      <c r="S184" s="209"/>
      <c r="T184" s="209"/>
      <c r="U184" s="49"/>
      <c r="V184" s="209"/>
      <c r="W184" s="74"/>
      <c r="X184" s="77"/>
      <c r="Y184" s="77"/>
      <c r="Z184" s="74"/>
      <c r="AA184" s="76"/>
      <c r="AB184" s="76"/>
      <c r="AC184" s="74"/>
      <c r="AD184" s="76"/>
      <c r="AE184" s="76"/>
      <c r="AF184" s="76"/>
      <c r="AG184" s="74"/>
    </row>
    <row r="185" spans="1:33" ht="42" customHeight="1" x14ac:dyDescent="0.2">
      <c r="A185" s="37">
        <v>759.6</v>
      </c>
      <c r="B185" s="38">
        <f>IF(ISNUMBER(A185),IF(AND(A185=INT(A185),MOD(A185,10)=0),0,IF(AND(A185=INT(A185),LEN(A185)=2),1,IF(AND(A185=INT(A185),LEN(A185)=3),2,LEN(A185)-FIND(".",A185)+2))),"")</f>
        <v>3</v>
      </c>
      <c r="C185" s="55" t="s">
        <v>804</v>
      </c>
      <c r="D185" s="39" t="str">
        <f>REPT("   ",B185*2)&amp;C185</f>
        <v>                  Annualized Energy Conversion System Maintenance (Account 23)</v>
      </c>
      <c r="E185" s="39"/>
      <c r="F185" s="39"/>
      <c r="G185" s="39"/>
      <c r="H185" s="39"/>
      <c r="I185" s="39"/>
      <c r="J185" s="43"/>
      <c r="K185" s="60"/>
      <c r="L185" s="49"/>
      <c r="M185" s="58"/>
      <c r="N185" s="49"/>
      <c r="O185" s="49"/>
      <c r="P185" s="49"/>
      <c r="Q185" s="65"/>
      <c r="R185" s="49"/>
      <c r="S185" s="209"/>
      <c r="T185" s="209"/>
      <c r="U185" s="49"/>
      <c r="V185" s="209"/>
      <c r="W185" s="74"/>
      <c r="X185" s="77"/>
      <c r="Y185" s="77"/>
      <c r="Z185" s="74"/>
      <c r="AA185" s="76"/>
      <c r="AB185" s="76"/>
      <c r="AC185" s="74"/>
      <c r="AD185" s="76"/>
      <c r="AE185" s="76"/>
      <c r="AF185" s="76"/>
      <c r="AG185" s="74"/>
    </row>
    <row r="186" spans="1:33" ht="42" customHeight="1" x14ac:dyDescent="0.2">
      <c r="A186" s="37">
        <v>759.7</v>
      </c>
      <c r="B186" s="38">
        <f>IF(ISNUMBER(A186),IF(AND(A186=INT(A186),MOD(A186,10)=0),0,IF(AND(A186=INT(A186),LEN(A186)=2),1,IF(AND(A186=INT(A186),LEN(A186)=3),2,LEN(A186)-FIND(".",A186)+2))),"")</f>
        <v>3</v>
      </c>
      <c r="C186" s="55" t="s">
        <v>805</v>
      </c>
      <c r="D186" s="39" t="str">
        <f>REPT("   ",B186*2)&amp;C186</f>
        <v>                  Annualized Electrical Equipment Maintenance (Account 24)</v>
      </c>
      <c r="E186" s="39"/>
      <c r="F186" s="39"/>
      <c r="G186" s="39"/>
      <c r="H186" s="39"/>
      <c r="I186" s="39"/>
      <c r="J186" s="43"/>
      <c r="K186" s="60"/>
      <c r="L186" s="49"/>
      <c r="M186" s="58"/>
      <c r="N186" s="49"/>
      <c r="O186" s="49"/>
      <c r="P186" s="49"/>
      <c r="Q186" s="65"/>
      <c r="R186" s="49"/>
      <c r="S186" s="209"/>
      <c r="T186" s="209"/>
      <c r="U186" s="49"/>
      <c r="V186" s="209"/>
      <c r="W186" s="74"/>
      <c r="X186" s="77"/>
      <c r="Y186" s="77"/>
      <c r="Z186" s="74"/>
      <c r="AA186" s="76"/>
      <c r="AB186" s="76"/>
      <c r="AC186" s="74"/>
      <c r="AD186" s="76"/>
      <c r="AE186" s="76"/>
      <c r="AF186" s="76"/>
      <c r="AG186" s="74"/>
    </row>
    <row r="187" spans="1:33" ht="42" customHeight="1" x14ac:dyDescent="0.2">
      <c r="A187" s="37">
        <v>759.8</v>
      </c>
      <c r="B187" s="38">
        <f>IF(ISNUMBER(A187),IF(AND(A187=INT(A187),MOD(A187,10)=0),0,IF(AND(A187=INT(A187),LEN(A187)=2),1,IF(AND(A187=INT(A187),LEN(A187)=3),2,LEN(A187)-FIND(".",A187)+2))),"")</f>
        <v>3</v>
      </c>
      <c r="C187" s="55" t="s">
        <v>806</v>
      </c>
      <c r="D187" s="39" t="str">
        <f>REPT("   ",B187*2)&amp;C187</f>
        <v>                  Annualized Miscellaneous Equipment Maintenance (Account 26)</v>
      </c>
      <c r="E187" s="39"/>
      <c r="F187" s="39"/>
      <c r="G187" s="39"/>
      <c r="H187" s="39"/>
      <c r="I187" s="39"/>
      <c r="J187" s="43"/>
      <c r="K187" s="60"/>
      <c r="L187" s="49"/>
      <c r="M187" s="58"/>
      <c r="N187" s="49"/>
      <c r="O187" s="49"/>
      <c r="P187" s="49"/>
      <c r="Q187" s="65"/>
      <c r="R187" s="49"/>
      <c r="S187" s="209"/>
      <c r="T187" s="209"/>
      <c r="U187" s="49"/>
      <c r="V187" s="209"/>
      <c r="W187" s="74"/>
      <c r="X187" s="77"/>
      <c r="Y187" s="77"/>
      <c r="Z187" s="74"/>
      <c r="AA187" s="76"/>
      <c r="AB187" s="76"/>
      <c r="AC187" s="74"/>
      <c r="AD187" s="76"/>
      <c r="AE187" s="76"/>
      <c r="AF187" s="76"/>
      <c r="AG187" s="74"/>
    </row>
    <row r="188" spans="1:33" ht="40" customHeight="1" x14ac:dyDescent="0.2">
      <c r="A188" s="37">
        <v>78</v>
      </c>
      <c r="B188" s="38">
        <f>IF(ISNUMBER(A188),
    IF(AND(A188=INT(A188), MOD(A188, 10) = 0), 0,
        IF(AND(A188=INT(A188), LEN(A188)=2), 1,
            IF(AND(A188=INT(A188), LEN(A188)=3), 2,
                LEN(A188) - FIND(".", A188) + 2)
        )
    ),
"")</f>
        <v>1</v>
      </c>
      <c r="C188" s="55" t="s">
        <v>411</v>
      </c>
      <c r="D188" s="39" t="str">
        <f t="shared" si="43"/>
        <v xml:space="preserve">      Annualized Decommissioning Cost</v>
      </c>
      <c r="E188" s="39"/>
      <c r="F188" s="39"/>
      <c r="G188" s="39"/>
      <c r="H188" s="39"/>
      <c r="I188" s="39"/>
      <c r="J188" s="43"/>
      <c r="K188" s="70"/>
      <c r="L188" s="49"/>
      <c r="M188" s="45"/>
      <c r="N188" s="49"/>
      <c r="O188" s="49"/>
      <c r="P188" s="49"/>
      <c r="Q188" s="65"/>
      <c r="R188" s="49"/>
      <c r="S188" s="58"/>
      <c r="T188" s="58"/>
      <c r="U188" s="49"/>
      <c r="V188" s="58" t="s">
        <v>412</v>
      </c>
      <c r="W188" s="74"/>
      <c r="X188" s="77"/>
      <c r="Y188" s="77"/>
      <c r="Z188" s="74"/>
      <c r="AA188" s="76"/>
      <c r="AB188" s="76"/>
      <c r="AC188" s="74"/>
      <c r="AD188" s="76"/>
      <c r="AE188" s="76"/>
      <c r="AF188" s="76"/>
      <c r="AG188" s="74"/>
    </row>
    <row r="189" spans="1:33" ht="20" customHeight="1" x14ac:dyDescent="0.2">
      <c r="A189" s="37">
        <v>80</v>
      </c>
      <c r="B189" s="38">
        <f>IF(ISNUMBER(A189),
IF(AND(A189=INT(A189), MOD(A189, 10) = 0), 0,
IF(AND(A189=INT(A189), LEN(A189)=2), 1,
IF(AND(A189=INT(A189), LEN(A189)=3), 2,
LEN(A189) - FIND(".", A189) + 2)
)
),
"")</f>
        <v>0</v>
      </c>
      <c r="C189" s="69" t="s">
        <v>413</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4"/>
      <c r="X189" s="77"/>
      <c r="Y189" s="77"/>
      <c r="Z189" s="74"/>
      <c r="AA189" s="76"/>
      <c r="AB189" s="76"/>
      <c r="AC189" s="74"/>
      <c r="AD189" s="76"/>
      <c r="AE189" s="76"/>
      <c r="AF189" s="76"/>
      <c r="AG189" s="74"/>
    </row>
    <row r="190" spans="1:33" ht="113.25" customHeight="1" x14ac:dyDescent="0.2">
      <c r="A190" s="37">
        <v>81</v>
      </c>
      <c r="B190" s="38">
        <f>IF(ISNUMBER(A190),
IF(AND(A190=INT(A190), MOD(A190, 10) = 0), 0,
IF(AND(A190=INT(A190), LEN(A190)=2), 1,
IF(AND(A190=INT(A190), LEN(A190)=3), 2,
LEN(A190) - FIND(".", A190) + 2)
)
),
"")</f>
        <v>1</v>
      </c>
      <c r="C190" s="55" t="s">
        <v>414</v>
      </c>
      <c r="D190" s="39" t="str">
        <f t="shared" si="43"/>
        <v xml:space="preserve">      Refueling Operations</v>
      </c>
      <c r="E190" s="39" t="s">
        <v>267</v>
      </c>
      <c r="F190" s="39"/>
      <c r="G190" s="39"/>
      <c r="H190" s="39"/>
      <c r="I190" s="39"/>
      <c r="J190" s="43"/>
      <c r="K190" s="60">
        <v>178500</v>
      </c>
      <c r="L190" s="49" t="s">
        <v>385</v>
      </c>
      <c r="M190" s="58" t="s">
        <v>386</v>
      </c>
      <c r="N190" s="49"/>
      <c r="O190" s="49"/>
      <c r="P190" s="49">
        <v>1</v>
      </c>
      <c r="Q190" s="65">
        <v>2024</v>
      </c>
      <c r="R190" s="49" t="s">
        <v>53</v>
      </c>
      <c r="S190" s="58"/>
      <c r="T190" s="58" t="s">
        <v>387</v>
      </c>
      <c r="U190" s="49"/>
      <c r="V190" s="49"/>
      <c r="W190" s="74" t="s">
        <v>43</v>
      </c>
      <c r="X190" s="77">
        <f>0.9*$J190</f>
        <v>0</v>
      </c>
      <c r="Y190" s="77">
        <f>1.5*J190</f>
        <v>0</v>
      </c>
      <c r="Z190" s="74" t="s">
        <v>44</v>
      </c>
      <c r="AA190" s="76">
        <f>0.9*K190</f>
        <v>160650</v>
      </c>
      <c r="AB190" s="76">
        <f>1.3*K190</f>
        <v>232050</v>
      </c>
      <c r="AC190" s="74" t="s">
        <v>44</v>
      </c>
      <c r="AD190" s="76" t="s">
        <v>45</v>
      </c>
      <c r="AE190" s="76" t="s">
        <v>46</v>
      </c>
      <c r="AF190" s="76" t="s">
        <v>47</v>
      </c>
      <c r="AG190" s="74" t="s">
        <v>48</v>
      </c>
    </row>
    <row r="191" spans="1:33" ht="20" customHeight="1" x14ac:dyDescent="0.2">
      <c r="A191" s="37">
        <v>82</v>
      </c>
      <c r="B191" s="38">
        <f>IF(ISNUMBER(A191),
IF(AND(A191=INT(A191), MOD(A191, 10) = 0), 0,
IF(AND(A191=INT(A191), LEN(A191)=2), 1,
IF(AND(A191=INT(A191), LEN(A191)=3), 2,
LEN(A191) - FIND(".", A191) + 2)
)
),
"")</f>
        <v>1</v>
      </c>
      <c r="C191" s="55" t="s">
        <v>415</v>
      </c>
      <c r="D191" s="39" t="str">
        <f t="shared" si="43"/>
        <v xml:space="preserve">      Additional Nuclear Fuel</v>
      </c>
      <c r="E191" s="39"/>
      <c r="F191" s="39"/>
      <c r="G191" s="39"/>
      <c r="H191" s="39"/>
      <c r="I191" s="39"/>
      <c r="J191" s="43"/>
      <c r="K191" s="60"/>
      <c r="L191" s="49"/>
      <c r="M191" s="58"/>
      <c r="N191" s="49"/>
      <c r="O191" s="49"/>
      <c r="P191" s="49"/>
      <c r="Q191" s="65"/>
      <c r="R191" s="49"/>
      <c r="S191" s="58"/>
      <c r="T191" s="49"/>
      <c r="U191" s="49"/>
      <c r="V191" s="49"/>
      <c r="W191" s="74"/>
      <c r="X191" s="77"/>
      <c r="Y191" s="77"/>
      <c r="Z191" s="74"/>
      <c r="AA191" s="76"/>
      <c r="AB191" s="76"/>
      <c r="AC191" s="74"/>
      <c r="AD191" s="76"/>
      <c r="AE191" s="76"/>
      <c r="AF191" s="76"/>
      <c r="AG191" s="74"/>
    </row>
    <row r="192" spans="1:33" ht="38.75" customHeight="1" x14ac:dyDescent="0.2">
      <c r="A192" s="37">
        <v>83</v>
      </c>
      <c r="B192" s="38">
        <f>IF(ISNUMBER(A192),
IF(AND(A192=INT(A192), MOD(A192, 10) = 0), 0,
IF(AND(A192=INT(A192), LEN(A192)=2), 1,
IF(AND(A192=INT(A192), LEN(A192)=3), 2,
LEN(A192) - FIND(".", A192) + 2)
)
),
"")</f>
        <v>1</v>
      </c>
      <c r="C192" s="55" t="s">
        <v>416</v>
      </c>
      <c r="D192" s="39" t="str">
        <f t="shared" si="43"/>
        <v xml:space="preserve">      Spent Fuel Management</v>
      </c>
      <c r="E192" s="39" t="s">
        <v>35</v>
      </c>
      <c r="F192" s="39"/>
      <c r="G192" s="39"/>
      <c r="H192" s="39"/>
      <c r="I192" s="39"/>
      <c r="J192" s="43"/>
      <c r="K192" s="60">
        <v>1</v>
      </c>
      <c r="L192" s="49" t="s">
        <v>417</v>
      </c>
      <c r="M192" s="58" t="s">
        <v>418</v>
      </c>
      <c r="N192" s="49"/>
      <c r="O192" s="49"/>
      <c r="P192" s="49">
        <v>1</v>
      </c>
      <c r="Q192" s="65">
        <v>2024</v>
      </c>
      <c r="R192" s="49" t="s">
        <v>85</v>
      </c>
      <c r="S192" s="58"/>
      <c r="T192" s="49"/>
      <c r="U192" s="49"/>
      <c r="V192" s="49"/>
      <c r="W192" s="74" t="s">
        <v>43</v>
      </c>
      <c r="X192" s="77">
        <f>0.9*$J192</f>
        <v>0</v>
      </c>
      <c r="Y192" s="77">
        <f>1.5*J192</f>
        <v>0</v>
      </c>
      <c r="Z192" s="74" t="s">
        <v>44</v>
      </c>
      <c r="AA192" s="76">
        <f>0.9*K192</f>
        <v>0.9</v>
      </c>
      <c r="AB192" s="76">
        <f>1.3*K192</f>
        <v>1.3</v>
      </c>
      <c r="AC192" s="74" t="s">
        <v>44</v>
      </c>
      <c r="AD192" s="76" t="s">
        <v>45</v>
      </c>
      <c r="AE192" s="76" t="s">
        <v>46</v>
      </c>
      <c r="AF192" s="76" t="s">
        <v>47</v>
      </c>
      <c r="AG192" s="74" t="s">
        <v>48</v>
      </c>
    </row>
  </sheetData>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9">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9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9">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9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97">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9">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97 Q190:R197" ns2:uid="{00000000-0002-0000-0000-000000000000}">
      <formula1>1950</formula1>
      <formula2>2025</formula2>
    </dataValidation>
    <dataValidation type="decimal" operator="greaterThan" allowBlank="1" showInputMessage="1" showErrorMessage="1" sqref="J2:J127 J130:J131 J134:J141 J145:J189 K2:K9 K11:K48 K52:K54 K57:K59 K61:K63 K67:K79 K84 K94:K104 K106:K147 K149:K189 N1:N67 N71:N83 N85:N103 N105:N1048576" ns2:uid="{00000000-0002-0000-0000-000001000000}">
      <formula1>0</formula1>
    </dataValidation>
    <dataValidation type="list" allowBlank="1" showInputMessage="1" showErrorMessage="1" sqref="M356:M366"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ns2:uid="{00000000-0002-0000-0000-000003000000}">
      <formula1>"$/acres, $/MWe, $/m^3, $/MWt"</formula1>
    </dataValidation>
    <dataValidation type="whole" allowBlank="1" showInputMessage="1" showErrorMessage="1" sqref="P190:P335" ns2:uid="{00000000-0002-0000-0000-000004000000}">
      <formula1>0</formula1>
      <formula2>2</formula2>
    </dataValidation>
    <dataValidation type="decimal" allowBlank="1" showInputMessage="1" showErrorMessage="1" sqref="P2:P80 P82:P134 P141:P197" ns2:uid="{00000000-0002-0000-0000-000005000000}">
      <formula1>0</formula1>
      <formula2>2</formula2>
    </dataValidation>
    <dataValidation type="list" allowBlank="1" showInputMessage="1" showErrorMessage="1" sqref="O2:O80 O82:O131 O134 O141:O197" ns2:uid="{00000000-0002-0000-0000-000006000000}">
      <formula1>"acres, MWe, m^3, MWt, Kg, Drums, kW, $, m^2, kg/s"</formula1>
    </dataValidation>
    <dataValidation type="list" allowBlank="1" showInputMessage="1" showErrorMessage="1" sqref="L2:L80 L82:L110 L112:L134 L141:L197" ns2:uid="{00000000-0002-0000-0000-000007000000}">
      <formula1>"$/m^2,$/MWeHour,$/FTE, $/acres, $/MWe, $/m^3, $/MWt, $/Kg, $/Drum, $/(kg.sec), $/SWU, unitless, $/kWe"</formula1>
    </dataValidation>
    <dataValidation type="list" allowBlank="1" showInputMessage="1" showErrorMessage="1" sqref="O132:O133" ns2:uid="{00000000-0002-0000-0000-000008000000}">
      <formula1>"acres, MWe, m^3, MWt, Kg, Drums, kW, $, m^2, kg/s, kWe"</formula1>
    </dataValidation>
    <dataValidation type="list" allowBlank="1" showInputMessage="1" showErrorMessage="1" sqref="L81 L135:L140" ns2:uid="{00000000-0002-0000-0000-000009000000}">
      <formula1>"$/MWeHour,$/FTE, $/acres, $/MWe, $/m^3, $/MWt, $/Kg, $/Drum, $/(kg.sec), $/SWU, unitless"</formula1>
    </dataValidation>
    <dataValidation type="list" allowBlank="1" showInputMessage="1" showErrorMessage="1" sqref="O81 O135:O140" ns2:uid="{00000000-0002-0000-0000-00000A000000}">
      <formula1>"acres, MWe, m^3, MWt, Kg, Drums, kW, $"</formula1>
    </dataValidation>
    <dataValidation type="decimal" allowBlank="1" showInputMessage="1" showErrorMessage="1" sqref="P81 P135:P140" ns2:uid="{00000000-0002-0000-0000-00000B000000}">
      <formula1>0</formula1>
      <formula2>1</formula2>
    </dataValidation>
    <dataValidation type="list" allowBlank="1" showInputMessage="1" showErrorMessage="1" sqref="E2:E197" ns2:uid="{00000000-0002-0000-0000-00000C000000}">
      <formula1>"standard, nonstandard"</formula1>
    </dataValidation>
    <dataValidation type="list" allowBlank="1" showInputMessage="1" showErrorMessage="1" sqref="R2:R197" ns2:uid="{00000000-0002-0000-0000-00000D000000}">
      <formula1>"NA, General, Labor, Material, Equipment,Lab and Mat and Equip, 'Lab and Equip"</formula1>
    </dataValidation>
    <dataValidation type="list" allowBlank="1" showInputMessage="1" showErrorMessage="1" sqref="L111" ns2:uid="{00000000-0002-0000-0000-00000E000000}">
      <formula1>"$/heatpipe,$/m^2,$/MWeHour,$/FTE, $/acres, $/MWe, $/m^3, $/MWt, $/Kg, $/Drum, $/(kg.sec), $/SWU, unitless, $/kWe"</formula1>
    </dataValidation>
  </dataValidations>
  <hyperlinks>
    <hyperlink ref="U3" r:id="rId1" ns2:uid="{00000000-0004-0000-0000-000000000000}"/>
    <hyperlink ref="U18" r:id="rId2" ns2:uid="{00000000-0004-0000-0000-000001000000}"/>
    <hyperlink ref="U19" r:id="rId3" ns2:uid="{00000000-0004-0000-0000-000002000000}"/>
    <hyperlink ref="U33" r:id="rId4" ns2:uid="{00000000-0004-0000-0000-000003000000}"/>
    <hyperlink ref="U49" r:id="rId5" display="https://inldigitallibrary.inl.gov/sites/sti/sti/Sort_129862.pdf_x000a__x000a_" ns2:uid="{00000000-0004-0000-0000-000004000000}"/>
    <hyperlink ref="U109" r:id="rId6" display="https://www.sciencedirect.com/science/article/pii/S1290072903000218" ns2:uid="{00000000-0004-0000-0000-000005000000}"/>
    <hyperlink ref="U120" r:id="rId7" ns2:uid="{00000000-0004-0000-0000-000006000000}"/>
    <hyperlink ref="U130" r:id="rId8" ns2:uid="{00000000-0004-0000-0000-000007000000}"/>
    <hyperlink ref="U131" r:id="rId9" ns2:uid="{00000000-0004-0000-0000-000008000000}"/>
    <hyperlink ref="U135" r:id="rId10" ns2:uid="{00000000-0004-0000-0000-000009000000}"/>
    <hyperlink ref="U136" r:id="rId11" ns2:uid="{00000000-0004-0000-0000-00000A000000}"/>
    <hyperlink ref="U169" r:id="rId12" ns2:uid="{00000000-0004-0000-0000-00000B000000}"/>
    <hyperlink ref="U5" r:id="rId13" ns2:uid="{1AA8CFB2-19DC-3040-97A6-D1D38821E8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220" t="s">
        <v>419</v>
      </c>
      <c r="B1" s="219" t="s">
        <v>3</v>
      </c>
      <c r="C1" s="217" t="s">
        <v>420</v>
      </c>
    </row>
    <row r="2" spans="1:5" x14ac:dyDescent="0.2">
      <c r="A2" s="218"/>
      <c r="B2" s="218"/>
      <c r="C2" s="218"/>
    </row>
    <row r="3" spans="1:5" ht="21.25" customHeight="1" x14ac:dyDescent="0.2">
      <c r="A3" s="28">
        <v>10</v>
      </c>
      <c r="B3" s="12" t="s">
        <v>33</v>
      </c>
      <c r="C3" s="13">
        <f>C4</f>
        <v>5210451</v>
      </c>
    </row>
    <row r="4" spans="1:5" ht="21.25" customHeight="1" x14ac:dyDescent="0.2">
      <c r="A4" s="29">
        <v>15</v>
      </c>
      <c r="B4" s="10" t="s">
        <v>63</v>
      </c>
      <c r="C4" s="11">
        <v>5210451</v>
      </c>
      <c r="E4" s="11"/>
    </row>
    <row r="5" spans="1:5" ht="21.25" customHeight="1" x14ac:dyDescent="0.2">
      <c r="A5" s="28">
        <v>20</v>
      </c>
      <c r="B5" s="12" t="s">
        <v>68</v>
      </c>
      <c r="C5" s="13">
        <f>C6+C13+C45+C48+C52+C54</f>
        <v>30295715.421999998</v>
      </c>
    </row>
    <row r="6" spans="1:5" ht="21.25" customHeight="1" x14ac:dyDescent="0.2">
      <c r="A6" s="29">
        <v>21</v>
      </c>
      <c r="B6" s="10" t="s">
        <v>69</v>
      </c>
      <c r="C6" s="11">
        <f>C7+C8+C9+C10</f>
        <v>2799006.731999998</v>
      </c>
    </row>
    <row r="7" spans="1:5" ht="21.25" customHeight="1" x14ac:dyDescent="0.2">
      <c r="A7" s="29">
        <v>211</v>
      </c>
      <c r="B7" s="10" t="s">
        <v>421</v>
      </c>
      <c r="C7" s="11"/>
    </row>
    <row r="8" spans="1:5" ht="21.25" customHeight="1" x14ac:dyDescent="0.2">
      <c r="A8" s="29">
        <v>212</v>
      </c>
      <c r="B8" s="10" t="s">
        <v>82</v>
      </c>
      <c r="C8" s="11">
        <v>2573469.8719999981</v>
      </c>
    </row>
    <row r="9" spans="1:5" ht="21.25" customHeight="1" x14ac:dyDescent="0.2">
      <c r="A9" s="29">
        <v>213</v>
      </c>
      <c r="B9" s="10" t="s">
        <v>100</v>
      </c>
      <c r="C9" s="11"/>
    </row>
    <row r="10" spans="1:5" ht="21.25" customHeight="1" x14ac:dyDescent="0.2">
      <c r="A10" s="29">
        <v>214</v>
      </c>
      <c r="B10" s="10" t="s">
        <v>127</v>
      </c>
      <c r="C10" s="11">
        <f>SUM(C11:C11)</f>
        <v>225536.86</v>
      </c>
    </row>
    <row r="11" spans="1:5" ht="21.25" customHeight="1" x14ac:dyDescent="0.2">
      <c r="A11" s="29">
        <v>214.7</v>
      </c>
      <c r="B11" s="10" t="s">
        <v>422</v>
      </c>
      <c r="C11" s="11">
        <v>225536.86</v>
      </c>
      <c r="E11" s="32"/>
    </row>
    <row r="12" spans="1:5" ht="21.25" customHeight="1" x14ac:dyDescent="0.2">
      <c r="A12" s="29">
        <v>217</v>
      </c>
      <c r="B12" s="10" t="s">
        <v>423</v>
      </c>
      <c r="C12" s="11"/>
    </row>
    <row r="13" spans="1:5" ht="21.25" customHeight="1" x14ac:dyDescent="0.2">
      <c r="A13" s="29">
        <v>22</v>
      </c>
      <c r="B13" s="10" t="s">
        <v>181</v>
      </c>
      <c r="C13" s="11">
        <f>C14+C32+C41+C42+C43+C44</f>
        <v>17586712.57</v>
      </c>
    </row>
    <row r="14" spans="1:5" ht="21.25" customHeight="1" x14ac:dyDescent="0.2">
      <c r="A14" s="29">
        <v>221</v>
      </c>
      <c r="B14" s="10" t="s">
        <v>182</v>
      </c>
      <c r="C14" s="11">
        <f>C15+C19+C25</f>
        <v>8937296.5999999996</v>
      </c>
    </row>
    <row r="15" spans="1:5" ht="21.25" customHeight="1" x14ac:dyDescent="0.2">
      <c r="A15" s="29">
        <v>221.1</v>
      </c>
      <c r="B15" s="10" t="s">
        <v>424</v>
      </c>
      <c r="C15" s="11">
        <f>C16+C17+C18</f>
        <v>2004852</v>
      </c>
    </row>
    <row r="16" spans="1:5" ht="21.25" customHeight="1" x14ac:dyDescent="0.2">
      <c r="A16" s="29">
        <v>221.11</v>
      </c>
      <c r="B16" s="10" t="s">
        <v>425</v>
      </c>
      <c r="C16" s="11">
        <v>762382.4</v>
      </c>
    </row>
    <row r="17" spans="1:4" ht="21.25" customHeight="1" x14ac:dyDescent="0.2">
      <c r="A17" s="29">
        <v>221.12</v>
      </c>
      <c r="B17" s="14" t="s">
        <v>426</v>
      </c>
      <c r="C17" s="11">
        <v>1201688.6000000001</v>
      </c>
    </row>
    <row r="18" spans="1:4" ht="21.25" customHeight="1" x14ac:dyDescent="0.2">
      <c r="A18" s="29">
        <v>221.13</v>
      </c>
      <c r="B18" s="14" t="s">
        <v>427</v>
      </c>
      <c r="C18" s="11">
        <v>40781</v>
      </c>
    </row>
    <row r="19" spans="1:4" ht="21.25" customHeight="1" x14ac:dyDescent="0.2">
      <c r="A19" s="29">
        <v>221.2</v>
      </c>
      <c r="B19" s="14" t="s">
        <v>428</v>
      </c>
      <c r="C19" s="11">
        <f>C20</f>
        <v>2114223</v>
      </c>
    </row>
    <row r="20" spans="1:4" ht="22.75" customHeight="1" x14ac:dyDescent="0.2">
      <c r="A20" s="29">
        <v>221.21</v>
      </c>
      <c r="B20" s="14" t="s">
        <v>429</v>
      </c>
      <c r="C20" s="11">
        <f>SUM(C21:C23)</f>
        <v>2114223</v>
      </c>
    </row>
    <row r="21" spans="1:4" ht="21.25" customHeight="1" x14ac:dyDescent="0.2">
      <c r="A21" s="8">
        <v>221.21100000000001</v>
      </c>
      <c r="B21" s="9" t="s">
        <v>205</v>
      </c>
      <c r="C21" s="11">
        <v>1391560</v>
      </c>
      <c r="D21" s="6"/>
    </row>
    <row r="22" spans="1:4" ht="21.25" customHeight="1" x14ac:dyDescent="0.2">
      <c r="A22" s="8">
        <v>221.21199999999999</v>
      </c>
      <c r="B22" s="9" t="s">
        <v>213</v>
      </c>
      <c r="C22" s="11">
        <v>322663</v>
      </c>
    </row>
    <row r="23" spans="1:4" ht="21.25" customHeight="1" x14ac:dyDescent="0.2">
      <c r="A23" s="8">
        <v>221.21299999999999</v>
      </c>
      <c r="B23" s="9" t="s">
        <v>214</v>
      </c>
      <c r="C23" s="11">
        <v>400000</v>
      </c>
    </row>
    <row r="24" spans="1:4" ht="21.25" customHeight="1" x14ac:dyDescent="0.2">
      <c r="A24" s="8">
        <v>221.214</v>
      </c>
      <c r="B24" s="9" t="s">
        <v>221</v>
      </c>
    </row>
    <row r="25" spans="1:4" ht="21.25" customHeight="1" x14ac:dyDescent="0.2">
      <c r="A25" s="29">
        <v>221.3</v>
      </c>
      <c r="B25" s="14" t="s">
        <v>430</v>
      </c>
      <c r="C25" s="11">
        <f>C26+C30+C31</f>
        <v>4818221.5999999996</v>
      </c>
    </row>
    <row r="26" spans="1:4" ht="21.25" customHeight="1" x14ac:dyDescent="0.2">
      <c r="A26" s="29">
        <v>221.31</v>
      </c>
      <c r="B26" s="14" t="s">
        <v>235</v>
      </c>
      <c r="C26" s="11">
        <v>4170231</v>
      </c>
    </row>
    <row r="27" spans="1:4" ht="21.25" customHeight="1" x14ac:dyDescent="0.2">
      <c r="A27" s="31">
        <v>221.31100000000001</v>
      </c>
      <c r="B27" s="14" t="s">
        <v>431</v>
      </c>
      <c r="C27" s="11">
        <v>3200000</v>
      </c>
    </row>
    <row r="28" spans="1:4" ht="21.25" customHeight="1" x14ac:dyDescent="0.2">
      <c r="A28" s="31">
        <v>221.31200000000001</v>
      </c>
      <c r="B28" s="14" t="s">
        <v>432</v>
      </c>
      <c r="C28" s="11">
        <v>850000</v>
      </c>
    </row>
    <row r="29" spans="1:4" ht="21.25" customHeight="1" x14ac:dyDescent="0.2">
      <c r="A29" s="31">
        <v>221.31299999999999</v>
      </c>
      <c r="B29" s="14" t="s">
        <v>433</v>
      </c>
      <c r="C29" s="11">
        <v>120231</v>
      </c>
    </row>
    <row r="30" spans="1:4" ht="21.25" customHeight="1" x14ac:dyDescent="0.2">
      <c r="A30" s="29">
        <v>221.32</v>
      </c>
      <c r="B30" s="14" t="s">
        <v>242</v>
      </c>
      <c r="C30" s="11">
        <v>647990.6</v>
      </c>
    </row>
    <row r="31" spans="1:4" ht="21.25" customHeight="1" x14ac:dyDescent="0.2">
      <c r="A31" s="29">
        <v>221.33</v>
      </c>
      <c r="B31" s="14" t="s">
        <v>250</v>
      </c>
      <c r="C31" s="11">
        <v>0</v>
      </c>
    </row>
    <row r="32" spans="1:4" ht="21.25" customHeight="1" x14ac:dyDescent="0.2">
      <c r="A32" s="29" t="s">
        <v>434</v>
      </c>
      <c r="B32" s="10" t="s">
        <v>264</v>
      </c>
      <c r="C32" s="11">
        <f>C33+C34+C38+C39+C40</f>
        <v>5908950.5999999996</v>
      </c>
    </row>
    <row r="33" spans="1:3" ht="21.25" customHeight="1" x14ac:dyDescent="0.2">
      <c r="A33" s="29">
        <v>222.1</v>
      </c>
      <c r="B33" s="10" t="s">
        <v>435</v>
      </c>
      <c r="C33" s="11">
        <v>0</v>
      </c>
    </row>
    <row r="34" spans="1:3" ht="21.25" customHeight="1" x14ac:dyDescent="0.2">
      <c r="A34" s="29">
        <v>222.2</v>
      </c>
      <c r="B34" s="10" t="s">
        <v>436</v>
      </c>
      <c r="C34" s="11">
        <v>4890230.5999999996</v>
      </c>
    </row>
    <row r="35" spans="1:3" ht="21.25" customHeight="1" x14ac:dyDescent="0.2">
      <c r="A35" s="29">
        <v>222.21</v>
      </c>
      <c r="B35" s="10" t="s">
        <v>437</v>
      </c>
      <c r="C35" s="11">
        <v>1520786</v>
      </c>
    </row>
    <row r="36" spans="1:3" ht="42.75" customHeight="1" x14ac:dyDescent="0.2">
      <c r="A36" s="29">
        <v>222.22</v>
      </c>
      <c r="B36" s="10" t="s">
        <v>438</v>
      </c>
      <c r="C36" s="11">
        <v>3341486</v>
      </c>
    </row>
    <row r="37" spans="1:3" ht="42.75" customHeight="1" x14ac:dyDescent="0.2">
      <c r="A37" s="29">
        <v>222.23</v>
      </c>
      <c r="B37" s="10" t="s">
        <v>439</v>
      </c>
      <c r="C37" s="11">
        <v>27958.6</v>
      </c>
    </row>
    <row r="38" spans="1:3" ht="21.25" customHeight="1" x14ac:dyDescent="0.2">
      <c r="A38" s="29">
        <v>222.3</v>
      </c>
      <c r="B38" s="10" t="s">
        <v>289</v>
      </c>
      <c r="C38" s="11">
        <v>0</v>
      </c>
    </row>
    <row r="39" spans="1:3" ht="21.25" customHeight="1" x14ac:dyDescent="0.2">
      <c r="A39" s="29">
        <v>222.4</v>
      </c>
      <c r="B39" s="10" t="s">
        <v>440</v>
      </c>
      <c r="C39" s="11">
        <v>0</v>
      </c>
    </row>
    <row r="40" spans="1:3" ht="21.25" customHeight="1" x14ac:dyDescent="0.2">
      <c r="A40" s="29">
        <v>222.5</v>
      </c>
      <c r="B40" s="10" t="s">
        <v>441</v>
      </c>
      <c r="C40" s="11">
        <v>1018720</v>
      </c>
    </row>
    <row r="41" spans="1:3" ht="21.25" customHeight="1" x14ac:dyDescent="0.2">
      <c r="A41" s="29" t="s">
        <v>442</v>
      </c>
      <c r="B41" s="10" t="s">
        <v>443</v>
      </c>
      <c r="C41" s="11"/>
    </row>
    <row r="42" spans="1:3" ht="21.25" customHeight="1" x14ac:dyDescent="0.2">
      <c r="A42" s="29" t="s">
        <v>444</v>
      </c>
      <c r="B42" s="10" t="s">
        <v>318</v>
      </c>
      <c r="C42" s="11">
        <v>456297</v>
      </c>
    </row>
    <row r="43" spans="1:3" ht="21.25" customHeight="1" x14ac:dyDescent="0.2">
      <c r="A43" s="29" t="s">
        <v>445</v>
      </c>
      <c r="B43" s="10" t="s">
        <v>326</v>
      </c>
      <c r="C43" s="11">
        <v>2253208.37</v>
      </c>
    </row>
    <row r="44" spans="1:3" ht="21.25" customHeight="1" x14ac:dyDescent="0.2">
      <c r="A44" s="29" t="s">
        <v>446</v>
      </c>
      <c r="B44" s="10" t="s">
        <v>331</v>
      </c>
      <c r="C44" s="11">
        <v>30960</v>
      </c>
    </row>
    <row r="45" spans="1:3" ht="21.25" customHeight="1" x14ac:dyDescent="0.2">
      <c r="A45" s="29">
        <v>23</v>
      </c>
      <c r="B45" s="10" t="s">
        <v>447</v>
      </c>
      <c r="C45" s="11">
        <f>C46</f>
        <v>0</v>
      </c>
    </row>
    <row r="46" spans="1:3" ht="21.25" customHeight="1" x14ac:dyDescent="0.2">
      <c r="A46" s="29">
        <v>232</v>
      </c>
      <c r="B46" s="10" t="s">
        <v>333</v>
      </c>
      <c r="C46" s="11">
        <f>C47</f>
        <v>0</v>
      </c>
    </row>
    <row r="47" spans="1:3" ht="21.25" customHeight="1" x14ac:dyDescent="0.2">
      <c r="A47" s="29">
        <v>232.1</v>
      </c>
      <c r="B47" s="10" t="s">
        <v>334</v>
      </c>
      <c r="C47" s="11">
        <v>0</v>
      </c>
    </row>
    <row r="48" spans="1:3" ht="21.25" customHeight="1" x14ac:dyDescent="0.2">
      <c r="A48" s="29">
        <v>24</v>
      </c>
      <c r="B48" s="10" t="s">
        <v>341</v>
      </c>
      <c r="C48" s="11">
        <f>C49+C50+C51</f>
        <v>73415.62000000001</v>
      </c>
    </row>
    <row r="49" spans="1:3" ht="21.25" customHeight="1" x14ac:dyDescent="0.2">
      <c r="A49" s="29" t="s">
        <v>448</v>
      </c>
      <c r="B49" s="10" t="s">
        <v>449</v>
      </c>
      <c r="C49" s="11">
        <v>1627.02</v>
      </c>
    </row>
    <row r="50" spans="1:3" ht="21.25" customHeight="1" x14ac:dyDescent="0.2">
      <c r="A50" s="29" t="s">
        <v>450</v>
      </c>
      <c r="B50" s="10" t="s">
        <v>451</v>
      </c>
      <c r="C50" s="11">
        <v>0</v>
      </c>
    </row>
    <row r="51" spans="1:3" ht="21.25" customHeight="1" x14ac:dyDescent="0.2">
      <c r="A51" s="29" t="s">
        <v>452</v>
      </c>
      <c r="B51" s="10" t="s">
        <v>453</v>
      </c>
      <c r="C51" s="11">
        <v>71788.600000000006</v>
      </c>
    </row>
    <row r="52" spans="1:3" ht="21.25" customHeight="1" x14ac:dyDescent="0.2">
      <c r="A52" s="29">
        <v>25</v>
      </c>
      <c r="B52" s="10" t="s">
        <v>350</v>
      </c>
      <c r="C52" s="11">
        <f>C53</f>
        <v>9836580.5</v>
      </c>
    </row>
    <row r="53" spans="1:3" ht="21.25" customHeight="1" x14ac:dyDescent="0.2">
      <c r="A53" s="29" t="s">
        <v>454</v>
      </c>
      <c r="B53" s="10" t="s">
        <v>359</v>
      </c>
      <c r="C53" s="11">
        <v>9836580.5</v>
      </c>
    </row>
    <row r="54" spans="1:3" ht="21.25" customHeight="1" x14ac:dyDescent="0.2">
      <c r="A54" s="29">
        <v>26</v>
      </c>
      <c r="B54" s="10" t="s">
        <v>455</v>
      </c>
      <c r="C54" s="11"/>
    </row>
    <row r="55" spans="1:3" ht="21.25" customHeight="1" x14ac:dyDescent="0.2">
      <c r="A55" s="28">
        <v>30</v>
      </c>
      <c r="B55" s="12" t="s">
        <v>369</v>
      </c>
      <c r="C55" s="13">
        <f>C56+C58+C62+C65+C68</f>
        <v>6442742.523737831</v>
      </c>
    </row>
    <row r="56" spans="1:3" ht="21.25" customHeight="1" x14ac:dyDescent="0.2">
      <c r="A56" s="29">
        <v>31</v>
      </c>
      <c r="B56" s="10" t="s">
        <v>456</v>
      </c>
      <c r="C56" s="11">
        <f>C57</f>
        <v>1333020.8</v>
      </c>
    </row>
    <row r="57" spans="1:3" ht="21.25" customHeight="1" x14ac:dyDescent="0.2">
      <c r="A57" s="29">
        <v>317</v>
      </c>
      <c r="B57" s="10" t="s">
        <v>457</v>
      </c>
      <c r="C57" s="11">
        <v>1333020.8</v>
      </c>
    </row>
    <row r="58" spans="1:3" ht="21.25" customHeight="1" x14ac:dyDescent="0.2">
      <c r="A58" s="29">
        <v>33</v>
      </c>
      <c r="B58" s="10" t="s">
        <v>372</v>
      </c>
      <c r="C58" s="11">
        <f>C59</f>
        <v>2407166.4</v>
      </c>
    </row>
    <row r="59" spans="1:3" ht="21.25" customHeight="1" x14ac:dyDescent="0.2">
      <c r="A59" s="29">
        <v>331</v>
      </c>
      <c r="B59" s="10" t="s">
        <v>458</v>
      </c>
      <c r="C59" s="11">
        <f>C60+C61</f>
        <v>2407166.4</v>
      </c>
    </row>
    <row r="60" spans="1:3" ht="21.25" customHeight="1" x14ac:dyDescent="0.2">
      <c r="A60" s="29">
        <v>331.3</v>
      </c>
      <c r="B60" s="10" t="s">
        <v>459</v>
      </c>
      <c r="C60" s="11">
        <v>215000</v>
      </c>
    </row>
    <row r="61" spans="1:3" ht="21.25" customHeight="1" x14ac:dyDescent="0.2">
      <c r="A61" s="29">
        <v>331.5</v>
      </c>
      <c r="B61" s="10" t="s">
        <v>460</v>
      </c>
      <c r="C61" s="11">
        <v>2192166.4</v>
      </c>
    </row>
    <row r="62" spans="1:3" ht="21.25" customHeight="1" x14ac:dyDescent="0.2">
      <c r="A62" s="29">
        <v>34</v>
      </c>
      <c r="B62" s="10" t="s">
        <v>373</v>
      </c>
      <c r="C62" s="11">
        <f>C63+C64</f>
        <v>1665282.8</v>
      </c>
    </row>
    <row r="63" spans="1:3" ht="21.25" customHeight="1" x14ac:dyDescent="0.2">
      <c r="A63" s="29">
        <v>341</v>
      </c>
      <c r="B63" s="10" t="s">
        <v>461</v>
      </c>
      <c r="C63" s="11">
        <v>1635355.8</v>
      </c>
    </row>
    <row r="64" spans="1:3" ht="21.25" customHeight="1" x14ac:dyDescent="0.2">
      <c r="A64" s="29">
        <v>345</v>
      </c>
      <c r="B64" s="10" t="s">
        <v>462</v>
      </c>
      <c r="C64" s="11">
        <v>29927</v>
      </c>
    </row>
    <row r="65" spans="1:3" ht="21.25" customHeight="1" x14ac:dyDescent="0.2">
      <c r="A65" s="29">
        <v>35</v>
      </c>
      <c r="B65" s="10" t="s">
        <v>374</v>
      </c>
      <c r="C65" s="11">
        <f>C66+C67</f>
        <v>620313.58773783164</v>
      </c>
    </row>
    <row r="66" spans="1:3" ht="21.25" customHeight="1" x14ac:dyDescent="0.2">
      <c r="A66" s="29">
        <v>351</v>
      </c>
      <c r="B66" s="10" t="s">
        <v>463</v>
      </c>
      <c r="C66" s="11">
        <v>257261.4</v>
      </c>
    </row>
    <row r="67" spans="1:3" ht="21.25" customHeight="1" x14ac:dyDescent="0.2">
      <c r="A67" s="29">
        <v>352</v>
      </c>
      <c r="B67" s="10" t="s">
        <v>464</v>
      </c>
      <c r="C67" s="11">
        <v>363052.18773783161</v>
      </c>
    </row>
    <row r="68" spans="1:3" ht="21.25" customHeight="1" x14ac:dyDescent="0.2">
      <c r="A68" s="29">
        <v>36</v>
      </c>
      <c r="B68" s="10" t="s">
        <v>375</v>
      </c>
      <c r="C68" s="11">
        <f>C69+C70</f>
        <v>416958.9359999997</v>
      </c>
    </row>
    <row r="69" spans="1:3" ht="21.25" customHeight="1" x14ac:dyDescent="0.2">
      <c r="A69" s="29">
        <v>361</v>
      </c>
      <c r="B69" s="10" t="s">
        <v>463</v>
      </c>
      <c r="C69" s="11"/>
    </row>
    <row r="70" spans="1:3" ht="21.25" customHeight="1" x14ac:dyDescent="0.2">
      <c r="A70" s="29">
        <v>362</v>
      </c>
      <c r="B70" s="10" t="s">
        <v>464</v>
      </c>
      <c r="C70" s="11">
        <v>416958.9359999997</v>
      </c>
    </row>
    <row r="71" spans="1:3" ht="21.25" customHeight="1" x14ac:dyDescent="0.2">
      <c r="A71" s="28">
        <v>40</v>
      </c>
      <c r="B71" s="12" t="s">
        <v>465</v>
      </c>
      <c r="C71" s="13">
        <f>C72</f>
        <v>4169765</v>
      </c>
    </row>
    <row r="72" spans="1:3" ht="21.25" customHeight="1" x14ac:dyDescent="0.2">
      <c r="A72" s="29">
        <v>41</v>
      </c>
      <c r="B72" s="10" t="s">
        <v>466</v>
      </c>
      <c r="C72" s="11">
        <v>4169765</v>
      </c>
    </row>
    <row r="73" spans="1:3" ht="21.25" customHeight="1" x14ac:dyDescent="0.2">
      <c r="A73" s="28">
        <v>50</v>
      </c>
      <c r="B73" s="12" t="s">
        <v>467</v>
      </c>
      <c r="C73" s="13">
        <f>C74</f>
        <v>16408781.6</v>
      </c>
    </row>
    <row r="74" spans="1:3" ht="21.25" customHeight="1" x14ac:dyDescent="0.2">
      <c r="A74" s="29">
        <v>54</v>
      </c>
      <c r="B74" s="10" t="s">
        <v>468</v>
      </c>
      <c r="C74" s="11">
        <v>16408781.6</v>
      </c>
    </row>
    <row r="75" spans="1:3" ht="21.25" customHeight="1" x14ac:dyDescent="0.2">
      <c r="A75" s="28">
        <v>60</v>
      </c>
      <c r="B75" s="12" t="s">
        <v>380</v>
      </c>
      <c r="C75" s="13">
        <f>C76</f>
        <v>6160606</v>
      </c>
    </row>
    <row r="76" spans="1:3" ht="21.25" customHeight="1" x14ac:dyDescent="0.2">
      <c r="A76" s="29">
        <v>61</v>
      </c>
      <c r="B76" s="10" t="s">
        <v>469</v>
      </c>
      <c r="C76" s="11">
        <v>6160606</v>
      </c>
    </row>
    <row r="77" spans="1:3" ht="21.25" customHeight="1" x14ac:dyDescent="0.2">
      <c r="A77" s="29">
        <v>70</v>
      </c>
      <c r="B77" s="10" t="s">
        <v>382</v>
      </c>
      <c r="C77" s="11">
        <f>C78</f>
        <v>2456659.2000000002</v>
      </c>
    </row>
    <row r="78" spans="1:3" ht="21.25" customHeight="1" x14ac:dyDescent="0.2">
      <c r="A78" s="29">
        <v>71</v>
      </c>
      <c r="B78" s="10" t="s">
        <v>383</v>
      </c>
      <c r="C78" s="11">
        <v>2456659.2000000002</v>
      </c>
    </row>
    <row r="79" spans="1:3" ht="64" customHeight="1" x14ac:dyDescent="0.2">
      <c r="A79" s="14" t="s">
        <v>470</v>
      </c>
      <c r="B79" s="10" t="s">
        <v>470</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471</v>
      </c>
      <c r="B1" s="18" t="s">
        <v>472</v>
      </c>
      <c r="C1" s="18" t="s">
        <v>14</v>
      </c>
      <c r="D1" s="18" t="s">
        <v>473</v>
      </c>
    </row>
    <row r="2" spans="1:4" ht="18.75" customHeight="1" x14ac:dyDescent="0.2">
      <c r="A2" s="221" t="s">
        <v>474</v>
      </c>
      <c r="B2" s="222"/>
      <c r="C2" s="222"/>
      <c r="D2" s="223"/>
    </row>
    <row r="3" spans="1:4" ht="18.75" customHeight="1" x14ac:dyDescent="0.2">
      <c r="A3" s="20" t="s">
        <v>475</v>
      </c>
      <c r="B3" s="5">
        <v>83</v>
      </c>
      <c r="C3" s="21" t="s">
        <v>476</v>
      </c>
      <c r="D3" s="21" t="s">
        <v>477</v>
      </c>
    </row>
    <row r="4" spans="1:4" ht="18.75" customHeight="1" x14ac:dyDescent="0.2">
      <c r="A4" s="20" t="s">
        <v>478</v>
      </c>
      <c r="B4" s="5">
        <v>20</v>
      </c>
      <c r="C4" s="21" t="s">
        <v>479</v>
      </c>
      <c r="D4" s="21"/>
    </row>
    <row r="5" spans="1:4" ht="18.75" customHeight="1" x14ac:dyDescent="0.2">
      <c r="A5" s="20" t="s">
        <v>480</v>
      </c>
      <c r="B5" s="5">
        <v>5.5</v>
      </c>
      <c r="C5" s="21" t="s">
        <v>481</v>
      </c>
      <c r="D5" s="21" t="s">
        <v>477</v>
      </c>
    </row>
    <row r="6" spans="1:4" ht="18.75" customHeight="1" x14ac:dyDescent="0.2">
      <c r="A6" s="20" t="s">
        <v>482</v>
      </c>
      <c r="B6" s="5">
        <v>16.5</v>
      </c>
      <c r="C6" s="21" t="s">
        <v>481</v>
      </c>
      <c r="D6" s="21" t="s">
        <v>477</v>
      </c>
    </row>
    <row r="7" spans="1:4" ht="18.75" customHeight="1" x14ac:dyDescent="0.2">
      <c r="A7" s="221" t="s">
        <v>362</v>
      </c>
      <c r="B7" s="222"/>
      <c r="C7" s="222"/>
      <c r="D7" s="223"/>
    </row>
    <row r="8" spans="1:4" ht="18.75" customHeight="1" x14ac:dyDescent="0.2">
      <c r="A8" s="20" t="s">
        <v>483</v>
      </c>
      <c r="B8" s="5">
        <v>145.30000000000001</v>
      </c>
      <c r="C8" s="21" t="s">
        <v>484</v>
      </c>
      <c r="D8" s="21" t="s">
        <v>485</v>
      </c>
    </row>
    <row r="9" spans="1:4" ht="18.75" customHeight="1" x14ac:dyDescent="0.2">
      <c r="A9" s="20" t="s">
        <v>486</v>
      </c>
      <c r="B9" s="5">
        <v>30</v>
      </c>
      <c r="C9" s="21" t="s">
        <v>487</v>
      </c>
      <c r="D9" s="21" t="s">
        <v>488</v>
      </c>
    </row>
    <row r="10" spans="1:4" ht="18.75" customHeight="1" x14ac:dyDescent="0.2">
      <c r="A10" s="20" t="s">
        <v>489</v>
      </c>
      <c r="B10" s="5">
        <v>19.75</v>
      </c>
      <c r="C10" s="21" t="s">
        <v>487</v>
      </c>
      <c r="D10" s="21" t="s">
        <v>490</v>
      </c>
    </row>
    <row r="11" spans="1:4" ht="18.75" customHeight="1" x14ac:dyDescent="0.2">
      <c r="A11" s="20" t="s">
        <v>491</v>
      </c>
      <c r="B11" s="5">
        <v>36</v>
      </c>
      <c r="C11" s="21" t="s">
        <v>492</v>
      </c>
      <c r="D11" s="21" t="s">
        <v>477</v>
      </c>
    </row>
    <row r="12" spans="1:4" ht="18.75" customHeight="1" x14ac:dyDescent="0.2">
      <c r="A12" s="221" t="s">
        <v>235</v>
      </c>
      <c r="B12" s="222"/>
      <c r="C12" s="222"/>
      <c r="D12" s="223"/>
    </row>
    <row r="13" spans="1:4" ht="18.75" customHeight="1" x14ac:dyDescent="0.2">
      <c r="A13" s="20" t="s">
        <v>493</v>
      </c>
      <c r="B13" s="5" t="s">
        <v>223</v>
      </c>
      <c r="C13" s="21" t="s">
        <v>477</v>
      </c>
      <c r="D13" s="21" t="s">
        <v>494</v>
      </c>
    </row>
    <row r="14" spans="1:4" ht="18.75" customHeight="1" x14ac:dyDescent="0.2">
      <c r="A14" s="20" t="s">
        <v>495</v>
      </c>
      <c r="B14" s="5">
        <v>124</v>
      </c>
      <c r="C14" s="21" t="s">
        <v>492</v>
      </c>
      <c r="D14" s="21" t="s">
        <v>496</v>
      </c>
    </row>
    <row r="15" spans="1:4" ht="18.75" customHeight="1" x14ac:dyDescent="0.2">
      <c r="A15" s="20" t="s">
        <v>497</v>
      </c>
      <c r="B15" s="5">
        <v>1</v>
      </c>
      <c r="C15" s="21" t="s">
        <v>481</v>
      </c>
      <c r="D15" s="21" t="s">
        <v>477</v>
      </c>
    </row>
    <row r="16" spans="1:4" ht="21.25" customHeight="1" x14ac:dyDescent="0.2">
      <c r="A16" s="20" t="s">
        <v>498</v>
      </c>
      <c r="B16" s="5">
        <v>818.4</v>
      </c>
      <c r="C16" s="21" t="s">
        <v>499</v>
      </c>
      <c r="D16" s="21" t="s">
        <v>477</v>
      </c>
    </row>
    <row r="17" spans="1:4" ht="18.75" customHeight="1" x14ac:dyDescent="0.2">
      <c r="A17" s="20" t="s">
        <v>500</v>
      </c>
      <c r="B17" s="5">
        <v>318</v>
      </c>
      <c r="C17" s="21" t="s">
        <v>187</v>
      </c>
      <c r="D17" s="21"/>
    </row>
    <row r="18" spans="1:4" ht="21.25" customHeight="1" x14ac:dyDescent="0.2">
      <c r="A18" s="20" t="s">
        <v>501</v>
      </c>
      <c r="B18" s="5">
        <v>570</v>
      </c>
      <c r="C18" s="21" t="s">
        <v>499</v>
      </c>
      <c r="D18" s="21" t="s">
        <v>477</v>
      </c>
    </row>
    <row r="19" spans="1:4" ht="18.75" customHeight="1" x14ac:dyDescent="0.2">
      <c r="A19" s="20" t="s">
        <v>502</v>
      </c>
      <c r="B19" s="5">
        <v>1.9E-2</v>
      </c>
      <c r="C19" s="21" t="s">
        <v>503</v>
      </c>
      <c r="D19" s="21" t="s">
        <v>477</v>
      </c>
    </row>
    <row r="20" spans="1:4" ht="18.75" customHeight="1" x14ac:dyDescent="0.2">
      <c r="A20" s="221" t="s">
        <v>504</v>
      </c>
      <c r="B20" s="222"/>
      <c r="C20" s="222"/>
      <c r="D20" s="223"/>
    </row>
    <row r="21" spans="1:4" ht="18.75" customHeight="1" x14ac:dyDescent="0.2">
      <c r="A21" s="20" t="s">
        <v>505</v>
      </c>
      <c r="B21" s="5">
        <v>4</v>
      </c>
      <c r="C21" s="21" t="s">
        <v>492</v>
      </c>
      <c r="D21" s="21" t="s">
        <v>477</v>
      </c>
    </row>
    <row r="22" spans="1:4" ht="18.75" customHeight="1" x14ac:dyDescent="0.2">
      <c r="A22" s="20" t="s">
        <v>506</v>
      </c>
      <c r="B22" s="5">
        <v>1</v>
      </c>
      <c r="C22" s="21" t="s">
        <v>492</v>
      </c>
      <c r="D22" s="21" t="s">
        <v>477</v>
      </c>
    </row>
    <row r="23" spans="1:4" ht="18.75" customHeight="1" x14ac:dyDescent="0.2">
      <c r="A23" s="20" t="s">
        <v>507</v>
      </c>
      <c r="B23" s="5">
        <v>124</v>
      </c>
      <c r="C23" s="21" t="s">
        <v>492</v>
      </c>
      <c r="D23" s="21" t="s">
        <v>508</v>
      </c>
    </row>
    <row r="24" spans="1:4" ht="18.75" customHeight="1" x14ac:dyDescent="0.2">
      <c r="A24" s="20" t="s">
        <v>509</v>
      </c>
      <c r="B24" s="5">
        <v>1</v>
      </c>
      <c r="C24" s="21" t="s">
        <v>481</v>
      </c>
      <c r="D24" s="21" t="s">
        <v>477</v>
      </c>
    </row>
    <row r="25" spans="1:4" ht="21.25" customHeight="1" x14ac:dyDescent="0.2">
      <c r="A25" s="20" t="s">
        <v>510</v>
      </c>
      <c r="B25" s="5">
        <v>880.8</v>
      </c>
      <c r="C25" s="21" t="s">
        <v>499</v>
      </c>
      <c r="D25" s="21" t="s">
        <v>511</v>
      </c>
    </row>
    <row r="26" spans="1:4" ht="18.75" customHeight="1" x14ac:dyDescent="0.2">
      <c r="A26" s="20" t="s">
        <v>512</v>
      </c>
      <c r="B26" s="5">
        <v>309</v>
      </c>
      <c r="C26" s="21" t="s">
        <v>187</v>
      </c>
      <c r="D26" s="21" t="s">
        <v>477</v>
      </c>
    </row>
    <row r="27" spans="1:4" ht="24" customHeight="1" x14ac:dyDescent="0.2">
      <c r="A27" s="20" t="s">
        <v>513</v>
      </c>
      <c r="B27" s="5">
        <v>49.2</v>
      </c>
      <c r="C27" s="21" t="s">
        <v>499</v>
      </c>
      <c r="D27" s="21" t="s">
        <v>514</v>
      </c>
    </row>
    <row r="28" spans="1:4" ht="18.75" customHeight="1" x14ac:dyDescent="0.2">
      <c r="A28" s="20" t="s">
        <v>515</v>
      </c>
      <c r="B28" s="5">
        <v>14</v>
      </c>
      <c r="C28" s="21" t="s">
        <v>187</v>
      </c>
      <c r="D28" s="21" t="s">
        <v>477</v>
      </c>
    </row>
    <row r="29" spans="1:4" ht="24" customHeight="1" x14ac:dyDescent="0.2">
      <c r="A29" s="20" t="s">
        <v>516</v>
      </c>
      <c r="B29" s="5">
        <v>14</v>
      </c>
      <c r="C29" s="21" t="s">
        <v>187</v>
      </c>
      <c r="D29" s="21" t="s">
        <v>514</v>
      </c>
    </row>
    <row r="30" spans="1:4" ht="18.75" customHeight="1" x14ac:dyDescent="0.2">
      <c r="A30" s="221" t="s">
        <v>517</v>
      </c>
      <c r="B30" s="222"/>
      <c r="C30" s="222"/>
      <c r="D30" s="223"/>
    </row>
    <row r="31" spans="1:4" ht="18.75" customHeight="1" x14ac:dyDescent="0.15">
      <c r="A31" s="20" t="s">
        <v>518</v>
      </c>
      <c r="B31" s="5">
        <v>5</v>
      </c>
      <c r="C31" s="22"/>
      <c r="D31" s="21" t="s">
        <v>477</v>
      </c>
    </row>
    <row r="32" spans="1:4" ht="18.75" customHeight="1" x14ac:dyDescent="0.15">
      <c r="A32" s="20" t="s">
        <v>519</v>
      </c>
      <c r="B32" s="5">
        <v>2</v>
      </c>
      <c r="C32" s="22"/>
      <c r="D32" s="21" t="s">
        <v>477</v>
      </c>
    </row>
    <row r="33" spans="1:4" ht="18.75" customHeight="1" x14ac:dyDescent="0.15">
      <c r="A33" s="20" t="s">
        <v>520</v>
      </c>
      <c r="B33" s="5">
        <v>9</v>
      </c>
      <c r="C33" s="22"/>
      <c r="D33" s="21" t="s">
        <v>477</v>
      </c>
    </row>
    <row r="34" spans="1:4" ht="18.75" customHeight="1" x14ac:dyDescent="0.15">
      <c r="A34" s="20" t="s">
        <v>521</v>
      </c>
      <c r="B34" s="5">
        <v>213</v>
      </c>
      <c r="C34" s="22"/>
      <c r="D34" s="21" t="s">
        <v>477</v>
      </c>
    </row>
    <row r="35" spans="1:4" s="27" customFormat="1" ht="38.75" customHeight="1" x14ac:dyDescent="0.2">
      <c r="A35" s="23" t="s">
        <v>522</v>
      </c>
      <c r="B35" s="24">
        <v>48</v>
      </c>
      <c r="C35" s="25" t="s">
        <v>477</v>
      </c>
      <c r="D35" s="26" t="s">
        <v>523</v>
      </c>
    </row>
    <row r="36" spans="1:4" s="27" customFormat="1" ht="18.75" customHeight="1" x14ac:dyDescent="0.2">
      <c r="A36" s="23" t="s">
        <v>524</v>
      </c>
      <c r="B36" s="24">
        <v>277</v>
      </c>
      <c r="C36" s="25"/>
      <c r="D36" s="26"/>
    </row>
    <row r="37" spans="1:4" ht="18.75" customHeight="1" x14ac:dyDescent="0.2">
      <c r="A37" s="221" t="s">
        <v>525</v>
      </c>
      <c r="B37" s="222"/>
      <c r="C37" s="222"/>
      <c r="D37" s="223"/>
    </row>
    <row r="38" spans="1:4" ht="18.75" customHeight="1" x14ac:dyDescent="0.2">
      <c r="A38" s="20" t="s">
        <v>526</v>
      </c>
      <c r="B38" s="5">
        <v>54.2</v>
      </c>
      <c r="C38" s="21" t="s">
        <v>187</v>
      </c>
      <c r="D38" s="21" t="s">
        <v>527</v>
      </c>
    </row>
    <row r="39" spans="1:4" ht="18.75" customHeight="1" x14ac:dyDescent="0.2">
      <c r="A39" s="20" t="s">
        <v>528</v>
      </c>
      <c r="B39" s="5">
        <v>56.3</v>
      </c>
      <c r="C39" s="21" t="s">
        <v>187</v>
      </c>
      <c r="D39" s="21" t="s">
        <v>529</v>
      </c>
    </row>
    <row r="40" spans="1:4" ht="18.75" customHeight="1" x14ac:dyDescent="0.2">
      <c r="A40" s="20" t="s">
        <v>530</v>
      </c>
      <c r="B40" s="5">
        <v>39.700000000000003</v>
      </c>
      <c r="C40" s="21" t="s">
        <v>187</v>
      </c>
      <c r="D40" s="21" t="s">
        <v>531</v>
      </c>
    </row>
    <row r="41" spans="1:4" ht="18.75" customHeight="1" x14ac:dyDescent="0.2">
      <c r="A41" s="20" t="s">
        <v>532</v>
      </c>
      <c r="B41" s="5">
        <v>95.3</v>
      </c>
      <c r="C41" s="21" t="s">
        <v>187</v>
      </c>
      <c r="D41" s="21" t="s">
        <v>533</v>
      </c>
    </row>
    <row r="42" spans="1:4" ht="18.75" customHeight="1" x14ac:dyDescent="0.2">
      <c r="A42" s="20" t="s">
        <v>534</v>
      </c>
      <c r="B42" s="5">
        <v>2571.9</v>
      </c>
      <c r="C42" s="21" t="s">
        <v>187</v>
      </c>
      <c r="D42" s="21" t="s">
        <v>535</v>
      </c>
    </row>
    <row r="43" spans="1:4" ht="18.75" customHeight="1" x14ac:dyDescent="0.2">
      <c r="A43" s="20" t="s">
        <v>536</v>
      </c>
      <c r="B43" s="5">
        <v>925.3</v>
      </c>
      <c r="C43" s="21" t="s">
        <v>187</v>
      </c>
      <c r="D43" s="21" t="s">
        <v>537</v>
      </c>
    </row>
    <row r="44" spans="1:4" ht="18.75" customHeight="1" x14ac:dyDescent="0.2">
      <c r="A44" s="221" t="s">
        <v>538</v>
      </c>
      <c r="B44" s="222"/>
      <c r="C44" s="222"/>
      <c r="D44" s="223"/>
    </row>
    <row r="45" spans="1:4" ht="18.75" customHeight="1" x14ac:dyDescent="0.2">
      <c r="A45" s="20" t="s">
        <v>539</v>
      </c>
      <c r="B45" s="5">
        <v>8.3000000000000007</v>
      </c>
      <c r="C45" s="21" t="s">
        <v>503</v>
      </c>
      <c r="D45" s="21" t="s">
        <v>540</v>
      </c>
    </row>
    <row r="46" spans="1:4" ht="18.75" customHeight="1" x14ac:dyDescent="0.2">
      <c r="A46" s="221" t="s">
        <v>541</v>
      </c>
      <c r="B46" s="222"/>
      <c r="C46" s="222"/>
      <c r="D46" s="223"/>
    </row>
    <row r="47" spans="1:4" ht="18.75" customHeight="1" x14ac:dyDescent="0.2">
      <c r="A47" s="20" t="s">
        <v>542</v>
      </c>
      <c r="B47" s="5">
        <v>156</v>
      </c>
      <c r="C47" s="21" t="s">
        <v>187</v>
      </c>
      <c r="D47" s="21" t="s">
        <v>543</v>
      </c>
    </row>
    <row r="48" spans="1:4" ht="18.75" customHeight="1" x14ac:dyDescent="0.2">
      <c r="A48" s="20" t="s">
        <v>544</v>
      </c>
      <c r="B48" s="5">
        <v>4</v>
      </c>
      <c r="C48" s="21" t="s">
        <v>492</v>
      </c>
      <c r="D48" s="21" t="s">
        <v>545</v>
      </c>
    </row>
    <row r="49" spans="1:4" ht="18.75" customHeight="1" x14ac:dyDescent="0.2">
      <c r="A49" s="20" t="s">
        <v>546</v>
      </c>
      <c r="B49" s="5">
        <v>0.86</v>
      </c>
      <c r="C49" s="21" t="s">
        <v>503</v>
      </c>
      <c r="D49" s="21" t="s">
        <v>547</v>
      </c>
    </row>
    <row r="50" spans="1:4" ht="18.75" customHeight="1" x14ac:dyDescent="0.2">
      <c r="A50" s="221" t="s">
        <v>548</v>
      </c>
      <c r="B50" s="222"/>
      <c r="C50" s="222"/>
      <c r="D50" s="223"/>
    </row>
    <row r="51" spans="1:4" ht="18.75" customHeight="1" x14ac:dyDescent="0.2">
      <c r="A51" s="20" t="s">
        <v>549</v>
      </c>
      <c r="B51" s="5">
        <v>1.1100000000000001</v>
      </c>
      <c r="C51" s="21" t="s">
        <v>503</v>
      </c>
      <c r="D51" s="21" t="s">
        <v>543</v>
      </c>
    </row>
    <row r="52" spans="1:4" ht="18.75" customHeight="1" x14ac:dyDescent="0.2">
      <c r="A52" s="20" t="s">
        <v>550</v>
      </c>
      <c r="B52" s="5">
        <v>1.587</v>
      </c>
      <c r="C52" s="21" t="s">
        <v>503</v>
      </c>
      <c r="D52" s="21" t="s">
        <v>543</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551</v>
      </c>
      <c r="B1" s="1" t="s">
        <v>39</v>
      </c>
      <c r="C1" s="1" t="s">
        <v>53</v>
      </c>
      <c r="D1" s="1" t="s">
        <v>218</v>
      </c>
      <c r="E1" s="1" t="s">
        <v>152</v>
      </c>
      <c r="F1" s="1" t="s">
        <v>85</v>
      </c>
      <c r="G1" s="1" t="s">
        <v>72</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abSelected="1" zoomScale="150" workbookViewId="0">
      <selection activeCell="B11" sqref="B11"/>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552</v>
      </c>
      <c r="B1" s="34" t="s">
        <v>472</v>
      </c>
      <c r="C1" s="34" t="s">
        <v>553</v>
      </c>
      <c r="D1" s="34" t="s">
        <v>554</v>
      </c>
      <c r="E1" s="34" t="s">
        <v>21</v>
      </c>
    </row>
    <row r="2" spans="1:5" x14ac:dyDescent="0.2">
      <c r="A2" t="s">
        <v>555</v>
      </c>
      <c r="B2" s="2">
        <v>6.5389932052543287E-2</v>
      </c>
    </row>
    <row r="3" spans="1:5" x14ac:dyDescent="0.2">
      <c r="A3" t="s">
        <v>556</v>
      </c>
      <c r="B3">
        <v>5</v>
      </c>
    </row>
    <row r="4" spans="1:5" x14ac:dyDescent="0.2">
      <c r="A4" t="s">
        <v>557</v>
      </c>
      <c r="B4">
        <v>5</v>
      </c>
    </row>
    <row r="5" spans="1:5" x14ac:dyDescent="0.2">
      <c r="A5" t="s">
        <v>558</v>
      </c>
      <c r="B5">
        <v>5</v>
      </c>
    </row>
    <row r="6" spans="1:5" x14ac:dyDescent="0.2">
      <c r="A6" t="s">
        <v>559</v>
      </c>
      <c r="B6">
        <v>1800</v>
      </c>
    </row>
    <row r="7" spans="1:5" x14ac:dyDescent="0.2">
      <c r="A7" t="s">
        <v>560</v>
      </c>
      <c r="B7">
        <v>10</v>
      </c>
    </row>
    <row r="8" spans="1:5" x14ac:dyDescent="0.2">
      <c r="A8" t="s">
        <v>561</v>
      </c>
      <c r="B8">
        <v>0.03</v>
      </c>
    </row>
    <row r="9" spans="1:5" ht="15" customHeight="1" x14ac:dyDescent="0.2">
      <c r="A9" t="s">
        <v>76</v>
      </c>
      <c r="B9">
        <v>0.08</v>
      </c>
      <c r="C9" s="202" t="s">
        <v>562</v>
      </c>
      <c r="D9" s="206" t="s">
        <v>563</v>
      </c>
      <c r="E9" s="204" t="s">
        <v>564</v>
      </c>
    </row>
    <row r="10" spans="1:5" ht="20" customHeight="1" x14ac:dyDescent="0.2">
      <c r="A10" s="3" t="s">
        <v>43</v>
      </c>
      <c r="B10">
        <v>0</v>
      </c>
      <c r="D10" s="205"/>
      <c r="E10" s="205"/>
    </row>
    <row r="11" spans="1:5" ht="128" x14ac:dyDescent="0.2">
      <c r="A11" s="3" t="s">
        <v>58</v>
      </c>
      <c r="B11">
        <v>0.2</v>
      </c>
      <c r="C11" s="201" t="s">
        <v>793</v>
      </c>
      <c r="D11" s="205"/>
      <c r="E11" s="205"/>
    </row>
    <row r="12" spans="1:5" ht="16" x14ac:dyDescent="0.2">
      <c r="A12" s="3" t="s">
        <v>190</v>
      </c>
      <c r="B12">
        <v>0.18443169820109739</v>
      </c>
      <c r="C12" s="117" t="s">
        <v>562</v>
      </c>
      <c r="D12" s="205"/>
      <c r="E12" s="205"/>
    </row>
    <row r="13" spans="1:5" ht="16" x14ac:dyDescent="0.2">
      <c r="A13" s="3" t="s">
        <v>212</v>
      </c>
      <c r="B13">
        <v>0.24138000000000001</v>
      </c>
      <c r="C13" s="117" t="s">
        <v>562</v>
      </c>
      <c r="D13" s="205"/>
      <c r="E13" s="205"/>
    </row>
    <row r="14" spans="1:5" ht="16" x14ac:dyDescent="0.2">
      <c r="A14" s="3" t="s">
        <v>156</v>
      </c>
      <c r="B14" s="82">
        <v>0.22962848022115531</v>
      </c>
      <c r="C14" s="117" t="s">
        <v>562</v>
      </c>
      <c r="D14" s="205"/>
      <c r="E14" s="205"/>
    </row>
    <row r="15" spans="1:5" ht="16" x14ac:dyDescent="0.2">
      <c r="A15" s="3" t="s">
        <v>227</v>
      </c>
      <c r="B15">
        <v>0.41505377678599259</v>
      </c>
      <c r="C15" s="203" t="s">
        <v>562</v>
      </c>
      <c r="D15" s="205"/>
      <c r="E15" s="205"/>
    </row>
    <row r="16" spans="1:5" ht="16" x14ac:dyDescent="0.2">
      <c r="A16" s="3" t="s">
        <v>225</v>
      </c>
      <c r="B16">
        <v>0.39914905811401719</v>
      </c>
      <c r="C16" s="203" t="s">
        <v>562</v>
      </c>
      <c r="D16" s="205"/>
      <c r="E16" s="205"/>
    </row>
    <row r="17" spans="1:5" x14ac:dyDescent="0.2">
      <c r="A17" s="3" t="s">
        <v>339</v>
      </c>
      <c r="B17">
        <v>0.05</v>
      </c>
      <c r="D17" t="s">
        <v>565</v>
      </c>
      <c r="E17" t="s">
        <v>566</v>
      </c>
    </row>
    <row r="18" spans="1:5" ht="20" customHeight="1" x14ac:dyDescent="0.2">
      <c r="A18" t="s">
        <v>764</v>
      </c>
      <c r="B18" s="82">
        <v>0.5</v>
      </c>
      <c r="C18" s="83"/>
      <c r="D18" s="83"/>
      <c r="E18" s="83" t="s">
        <v>765</v>
      </c>
    </row>
    <row r="19" spans="1:5" ht="20" customHeight="1" x14ac:dyDescent="0.2">
      <c r="A19" t="s">
        <v>766</v>
      </c>
      <c r="B19" s="82">
        <v>0.02</v>
      </c>
      <c r="C19" s="83"/>
      <c r="D19" s="83"/>
      <c r="E19" s="83" t="s">
        <v>767</v>
      </c>
    </row>
    <row r="20" spans="1:5" ht="20" customHeight="1" x14ac:dyDescent="0.2">
      <c r="A20" t="s">
        <v>768</v>
      </c>
      <c r="B20" s="82">
        <v>7.4999999999999997E-2</v>
      </c>
      <c r="C20" s="83"/>
      <c r="D20" s="83"/>
      <c r="E20" s="83" t="s">
        <v>769</v>
      </c>
    </row>
    <row r="21" spans="1:5" ht="20" customHeight="1" x14ac:dyDescent="0.2">
      <c r="A21" t="s">
        <v>770</v>
      </c>
      <c r="B21" s="82">
        <v>5.0000000000000001E-3</v>
      </c>
      <c r="C21" s="83"/>
      <c r="D21" s="83"/>
      <c r="E21" s="83" t="s">
        <v>771</v>
      </c>
    </row>
    <row r="22" spans="1:5" ht="20" customHeight="1" x14ac:dyDescent="0.2">
      <c r="A22" t="s">
        <v>772</v>
      </c>
      <c r="B22" s="82">
        <v>0.05</v>
      </c>
      <c r="C22" s="83"/>
      <c r="D22" s="83"/>
      <c r="E22" s="83" t="s">
        <v>773</v>
      </c>
    </row>
    <row r="23" spans="1:5" ht="35.25" customHeight="1" x14ac:dyDescent="0.2">
      <c r="A23" t="s">
        <v>774</v>
      </c>
      <c r="B23" s="82">
        <v>0.01</v>
      </c>
      <c r="C23" s="83"/>
      <c r="D23" s="83"/>
      <c r="E23" s="83" t="s">
        <v>775</v>
      </c>
    </row>
    <row r="24" spans="1:5" ht="20" customHeight="1" x14ac:dyDescent="0.2">
      <c r="A24" t="s">
        <v>776</v>
      </c>
      <c r="B24" s="82">
        <v>0.05</v>
      </c>
      <c r="C24" s="83"/>
      <c r="D24" s="83"/>
      <c r="E24" s="83" t="s">
        <v>777</v>
      </c>
    </row>
    <row r="25" spans="1:5" ht="20" customHeight="1" x14ac:dyDescent="0.2">
      <c r="A25" t="s">
        <v>778</v>
      </c>
      <c r="B25" s="82">
        <v>5.0000000000000001E-3</v>
      </c>
      <c r="C25" s="83"/>
      <c r="D25" s="83"/>
      <c r="E25" s="83" t="s">
        <v>779</v>
      </c>
    </row>
    <row r="26" spans="1:5" x14ac:dyDescent="0.2">
      <c r="A26" t="s">
        <v>780</v>
      </c>
      <c r="B26">
        <v>0.1</v>
      </c>
      <c r="E26" t="s">
        <v>781</v>
      </c>
    </row>
    <row r="27" spans="1:5" x14ac:dyDescent="0.2">
      <c r="A27" t="s">
        <v>782</v>
      </c>
      <c r="B27">
        <v>0.5</v>
      </c>
      <c r="E27" t="s">
        <v>783</v>
      </c>
    </row>
    <row r="28" spans="1:5" x14ac:dyDescent="0.2">
      <c r="A28" t="s">
        <v>784</v>
      </c>
      <c r="B28">
        <v>0.02</v>
      </c>
      <c r="E28" t="s">
        <v>767</v>
      </c>
    </row>
    <row r="29" spans="1:5" x14ac:dyDescent="0.2">
      <c r="A29" t="s">
        <v>785</v>
      </c>
      <c r="B29">
        <v>7.4999999999999997E-2</v>
      </c>
      <c r="E29" t="s">
        <v>769</v>
      </c>
    </row>
    <row r="30" spans="1:5" x14ac:dyDescent="0.2">
      <c r="A30" t="s">
        <v>786</v>
      </c>
      <c r="B30">
        <v>5.0000000000000001E-3</v>
      </c>
      <c r="E30" t="s">
        <v>771</v>
      </c>
    </row>
    <row r="31" spans="1:5" x14ac:dyDescent="0.2">
      <c r="A31" t="s">
        <v>787</v>
      </c>
      <c r="B31">
        <v>0.05</v>
      </c>
      <c r="E31" t="s">
        <v>773</v>
      </c>
    </row>
    <row r="32" spans="1:5" x14ac:dyDescent="0.2">
      <c r="A32" t="s">
        <v>788</v>
      </c>
      <c r="B32">
        <v>0.01</v>
      </c>
      <c r="E32" t="s">
        <v>775</v>
      </c>
    </row>
    <row r="33" spans="1:5" x14ac:dyDescent="0.2">
      <c r="A33" t="s">
        <v>789</v>
      </c>
      <c r="B33">
        <v>0.05</v>
      </c>
      <c r="E33" t="s">
        <v>777</v>
      </c>
    </row>
    <row r="34" spans="1:5" x14ac:dyDescent="0.2">
      <c r="A34" t="s">
        <v>790</v>
      </c>
      <c r="B34">
        <v>5.0000000000000001E-3</v>
      </c>
      <c r="E34" t="s">
        <v>779</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569</v>
      </c>
      <c r="G3" s="94">
        <v>1</v>
      </c>
      <c r="H3" s="93"/>
      <c r="I3" s="93"/>
      <c r="J3" s="120"/>
      <c r="K3" s="120">
        <v>3800</v>
      </c>
      <c r="L3" s="100" t="s">
        <v>36</v>
      </c>
      <c r="M3" s="100" t="s">
        <v>570</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572</v>
      </c>
      <c r="N4" s="121"/>
      <c r="O4" s="100" t="s">
        <v>52</v>
      </c>
      <c r="P4" s="101"/>
      <c r="Q4" s="101">
        <v>2022</v>
      </c>
      <c r="R4" s="100" t="s">
        <v>53</v>
      </c>
      <c r="S4" s="102" t="s">
        <v>54</v>
      </c>
      <c r="T4" s="224"/>
      <c r="U4" s="225"/>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f>
        <v>45000000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570</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570</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578</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583</v>
      </c>
      <c r="N15" s="121"/>
      <c r="O15" s="100"/>
      <c r="P15" s="123"/>
      <c r="Q15" s="101">
        <v>2025</v>
      </c>
      <c r="R15" s="100" t="s">
        <v>72</v>
      </c>
      <c r="S15" s="130" t="s">
        <v>579</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584</v>
      </c>
      <c r="D16" s="93" t="str">
        <f t="shared" si="1"/>
        <v xml:space="preserve">                        Security Fencing Protected</v>
      </c>
      <c r="E16" s="93" t="s">
        <v>35</v>
      </c>
      <c r="F16" s="93" t="s">
        <v>569</v>
      </c>
      <c r="G16" s="94">
        <v>1</v>
      </c>
      <c r="H16" s="93"/>
      <c r="I16" s="93"/>
      <c r="J16" s="120"/>
      <c r="K16" s="120">
        <f>0.7*15746</f>
        <v>11022.199999999999</v>
      </c>
      <c r="L16" s="100" t="s">
        <v>582</v>
      </c>
      <c r="M16" s="100" t="s">
        <v>585</v>
      </c>
      <c r="N16" s="121"/>
      <c r="O16" s="100"/>
      <c r="P16" s="123"/>
      <c r="Q16" s="101">
        <v>2025</v>
      </c>
      <c r="R16" s="100" t="s">
        <v>72</v>
      </c>
      <c r="S16" s="130" t="s">
        <v>579</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586</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587</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57" x14ac:dyDescent="0.2">
      <c r="A19" s="107">
        <v>214.31</v>
      </c>
      <c r="B19" s="92">
        <v>4</v>
      </c>
      <c r="C19" s="98" t="s">
        <v>588</v>
      </c>
      <c r="D19" s="93" t="str">
        <f t="shared" ref="D19" si="9">REPT("   ", B19*2) &amp; C19</f>
        <v xml:space="preserve">                        Local Control Buidling Structure</v>
      </c>
      <c r="E19" s="93" t="s">
        <v>35</v>
      </c>
      <c r="F19" s="93" t="s">
        <v>569</v>
      </c>
      <c r="G19" s="94">
        <v>1</v>
      </c>
      <c r="H19" s="93"/>
      <c r="I19" s="93"/>
      <c r="J19" s="141"/>
      <c r="K19" s="120">
        <f>0.7*2653*(3.2808^2)</f>
        <v>19989.171889344001</v>
      </c>
      <c r="L19" s="100" t="s">
        <v>91</v>
      </c>
      <c r="M19" s="98" t="s">
        <v>589</v>
      </c>
      <c r="N19" s="142">
        <v>1</v>
      </c>
      <c r="O19" s="142" t="s">
        <v>93</v>
      </c>
      <c r="P19" s="143">
        <v>1</v>
      </c>
      <c r="Q19" s="101">
        <v>2025</v>
      </c>
      <c r="R19" s="121" t="s">
        <v>85</v>
      </c>
      <c r="S19" s="144" t="s">
        <v>590</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591</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592</v>
      </c>
      <c r="D21" s="151" t="str">
        <f>REPT("   ", B21*2) &amp; C21</f>
        <v xml:space="preserve">            Manufacturing Building</v>
      </c>
      <c r="E21" s="151" t="s">
        <v>35</v>
      </c>
      <c r="F21" s="152"/>
      <c r="G21" s="153"/>
      <c r="H21" s="151"/>
      <c r="I21" s="151"/>
      <c r="J21" s="120"/>
      <c r="K21" s="154">
        <f>62733028.09/N21</f>
        <v>62733.028090000007</v>
      </c>
      <c r="L21" s="142"/>
      <c r="M21" s="155" t="s">
        <v>593</v>
      </c>
      <c r="N21" s="142">
        <v>1000</v>
      </c>
      <c r="O21" s="142" t="s">
        <v>594</v>
      </c>
      <c r="P21" s="156">
        <v>0.13827064818134194</v>
      </c>
      <c r="Q21" s="101">
        <v>2025</v>
      </c>
      <c r="R21" s="121" t="s">
        <v>85</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595</v>
      </c>
      <c r="D22" s="151" t="str">
        <f>REPT("   ", B22*2) &amp; C22</f>
        <v xml:space="preserve">            Fueling Building</v>
      </c>
      <c r="E22" s="151" t="s">
        <v>35</v>
      </c>
      <c r="F22" s="152"/>
      <c r="G22" s="153"/>
      <c r="H22" s="151"/>
      <c r="I22" s="151"/>
      <c r="J22" s="120"/>
      <c r="K22" s="154">
        <f>35766971.91/N22</f>
        <v>35766.971909999993</v>
      </c>
      <c r="L22" s="142"/>
      <c r="M22" s="155" t="s">
        <v>593</v>
      </c>
      <c r="N22" s="142">
        <v>1000</v>
      </c>
      <c r="O22" s="142" t="s">
        <v>594</v>
      </c>
      <c r="P22" s="156">
        <v>0.13827064818134194</v>
      </c>
      <c r="Q22" s="101">
        <v>2025</v>
      </c>
      <c r="R22" s="121" t="s">
        <v>85</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596</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597</v>
      </c>
      <c r="D24" s="151" t="str">
        <f>REPT("   ", B24*2) &amp; C24</f>
        <v xml:space="preserve">            Warehouse</v>
      </c>
      <c r="E24" s="151" t="s">
        <v>35</v>
      </c>
      <c r="F24" s="151"/>
      <c r="G24" s="153"/>
      <c r="H24" s="151"/>
      <c r="I24" s="151"/>
      <c r="J24" s="162"/>
      <c r="K24" s="154">
        <v>3842.71</v>
      </c>
      <c r="L24" s="163" t="s">
        <v>91</v>
      </c>
      <c r="M24" s="155" t="s">
        <v>598</v>
      </c>
      <c r="N24" s="142">
        <v>1</v>
      </c>
      <c r="O24" s="142" t="s">
        <v>93</v>
      </c>
      <c r="P24" s="143">
        <v>1</v>
      </c>
      <c r="Q24" s="101">
        <v>2025</v>
      </c>
      <c r="R24" s="121" t="s">
        <v>85</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57" x14ac:dyDescent="0.2">
      <c r="A25" s="148">
        <v>225</v>
      </c>
      <c r="B25" s="149">
        <f t="shared" ref="B25" si="18">IF(ISNUMBER(A25),
    IF(AND(A25=INT(A25), MOD(A25, 10) = 0), 0,
        IF(AND(A25=INT(A25), LEN(A25)=2), 1,
            IF(AND(A25=INT(A25), LEN(A25)=3), 2,
                LEN(A25) - FIND(".", A25) + 2)
        )
    ),
"")</f>
        <v>2</v>
      </c>
      <c r="C25" s="150" t="s">
        <v>599</v>
      </c>
      <c r="D25" s="151" t="str">
        <f t="shared" ref="D25" si="19">REPT("   ", B25*2) &amp; C25</f>
        <v xml:space="preserve">            Administrative Building</v>
      </c>
      <c r="E25" s="151" t="s">
        <v>35</v>
      </c>
      <c r="F25" s="151"/>
      <c r="G25" s="153"/>
      <c r="H25" s="151"/>
      <c r="I25" s="151"/>
      <c r="J25" s="120"/>
      <c r="K25" s="154">
        <f>0.7*1968*(3.2808^2)</f>
        <v>14828.002366464001</v>
      </c>
      <c r="L25" s="142" t="s">
        <v>91</v>
      </c>
      <c r="M25" s="155" t="s">
        <v>600</v>
      </c>
      <c r="N25" s="142">
        <v>1</v>
      </c>
      <c r="O25" s="142" t="s">
        <v>93</v>
      </c>
      <c r="P25" s="143">
        <v>1</v>
      </c>
      <c r="Q25" s="101">
        <v>2025</v>
      </c>
      <c r="R25" s="121" t="s">
        <v>85</v>
      </c>
      <c r="S25" s="144" t="s">
        <v>590</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152</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601</v>
      </c>
      <c r="D27" s="93" t="str">
        <f>REPT("   ", B27*2) &amp; C27</f>
        <v xml:space="preserve">            Local Integrated Control Rooms</v>
      </c>
      <c r="E27" s="93" t="s">
        <v>35</v>
      </c>
      <c r="F27" s="93" t="s">
        <v>602</v>
      </c>
      <c r="G27" s="94">
        <v>1</v>
      </c>
      <c r="H27" s="93"/>
      <c r="I27" s="93"/>
      <c r="J27" s="60">
        <v>8500000</v>
      </c>
      <c r="K27" s="60"/>
      <c r="L27" s="49"/>
      <c r="M27" s="58"/>
      <c r="N27" s="49"/>
      <c r="O27" s="49"/>
      <c r="P27" s="49"/>
      <c r="Q27" s="65">
        <v>2023</v>
      </c>
      <c r="R27" s="49" t="s">
        <v>72</v>
      </c>
      <c r="S27" s="58" t="s">
        <v>327</v>
      </c>
      <c r="T27" s="58" t="s">
        <v>328</v>
      </c>
      <c r="U27" s="167" t="s">
        <v>329</v>
      </c>
      <c r="V27" s="49" t="s">
        <v>330</v>
      </c>
      <c r="W27" s="74" t="s">
        <v>156</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603</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604</v>
      </c>
      <c r="D29" s="151" t="str">
        <f>REPT("   ", B29*2) &amp; C29</f>
        <v xml:space="preserve">            Emergency Power</v>
      </c>
      <c r="E29" s="151" t="s">
        <v>35</v>
      </c>
      <c r="F29" s="151"/>
      <c r="G29" s="153"/>
      <c r="H29" s="151"/>
      <c r="I29" s="151"/>
      <c r="J29" s="120"/>
      <c r="K29" s="154">
        <f>(1450000*5+1500000)/2.5</f>
        <v>3500000</v>
      </c>
      <c r="L29" s="142" t="s">
        <v>50</v>
      </c>
      <c r="M29" s="155" t="s">
        <v>605</v>
      </c>
      <c r="N29" s="142">
        <v>1</v>
      </c>
      <c r="O29" s="142" t="s">
        <v>52</v>
      </c>
      <c r="P29" s="143">
        <v>1</v>
      </c>
      <c r="Q29" s="101">
        <v>2025</v>
      </c>
      <c r="R29" s="121" t="s">
        <v>152</v>
      </c>
      <c r="S29" s="170" t="s">
        <v>606</v>
      </c>
      <c r="T29" s="170"/>
      <c r="U29" s="171"/>
      <c r="V29" s="145"/>
      <c r="W29" s="96"/>
      <c r="X29" s="104"/>
      <c r="Y29" s="104"/>
      <c r="Z29" s="96"/>
      <c r="AA29" s="97"/>
      <c r="AB29" s="97"/>
      <c r="AC29" s="96"/>
      <c r="AD29" s="97"/>
      <c r="AE29" s="97"/>
      <c r="AF29" s="97"/>
      <c r="AG29" s="96"/>
    </row>
    <row r="30" spans="1:33" ht="57" x14ac:dyDescent="0.2">
      <c r="A30" s="148">
        <v>283</v>
      </c>
      <c r="B30" s="149">
        <f>IF(ISNUMBER(A30),
    IF(AND(A30=INT(A30), MOD(A30, 10) = 0), 0,
        IF(AND(A30=INT(A30), LEN(A30)=2), 1,
            IF(AND(A30=INT(A30), LEN(A30)=3), 2,
                LEN(A30) - FIND(".", A30) + 2)
        )
    ),
"")</f>
        <v>2</v>
      </c>
      <c r="C30" s="150" t="s">
        <v>607</v>
      </c>
      <c r="D30" s="151" t="str">
        <f>REPT("   ", B30*2) &amp; C30</f>
        <v xml:space="preserve">            Fire Station</v>
      </c>
      <c r="E30" s="151" t="s">
        <v>35</v>
      </c>
      <c r="F30" s="151" t="s">
        <v>608</v>
      </c>
      <c r="G30" s="153">
        <v>1</v>
      </c>
      <c r="H30" s="151"/>
      <c r="I30" s="151"/>
      <c r="J30" s="120">
        <f>0.7*20776500</f>
        <v>14543550</v>
      </c>
      <c r="K30" s="154"/>
      <c r="L30" s="142"/>
      <c r="M30" s="155"/>
      <c r="N30" s="142"/>
      <c r="O30" s="142"/>
      <c r="P30" s="143"/>
      <c r="Q30" s="101">
        <v>2025</v>
      </c>
      <c r="R30" s="121" t="s">
        <v>85</v>
      </c>
      <c r="S30" s="144" t="s">
        <v>590</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57" x14ac:dyDescent="0.2">
      <c r="A31" s="148">
        <v>284</v>
      </c>
      <c r="B31" s="149">
        <f t="shared" ref="B31" si="26">IF(ISNUMBER(A31),
    IF(AND(A31=INT(A31), MOD(A31, 10) = 0), 0,
        IF(AND(A31=INT(A31), LEN(A31)=2), 1,
            IF(AND(A31=INT(A31), LEN(A31)=3), 2,
                LEN(A31) - FIND(".", A31) + 2)
        )
    ),
"")</f>
        <v>2</v>
      </c>
      <c r="C31" s="150" t="s">
        <v>609</v>
      </c>
      <c r="D31" s="151" t="str">
        <f t="shared" ref="D31" si="27">REPT("   ", B31*2) &amp; C31</f>
        <v xml:space="preserve">            Security Building</v>
      </c>
      <c r="E31" s="151" t="s">
        <v>35</v>
      </c>
      <c r="F31" s="151"/>
      <c r="G31" s="153"/>
      <c r="H31" s="151"/>
      <c r="I31" s="151"/>
      <c r="J31" s="120"/>
      <c r="K31" s="154">
        <f>0.7*2548*(3.2808^2)</f>
        <v>19198.043714304</v>
      </c>
      <c r="L31" s="142" t="s">
        <v>91</v>
      </c>
      <c r="M31" s="155" t="s">
        <v>610</v>
      </c>
      <c r="N31" s="142">
        <v>1</v>
      </c>
      <c r="O31" s="142" t="s">
        <v>93</v>
      </c>
      <c r="P31" s="143">
        <v>1</v>
      </c>
      <c r="Q31" s="101">
        <v>2025</v>
      </c>
      <c r="R31" s="121" t="s">
        <v>85</v>
      </c>
      <c r="S31" s="144" t="s">
        <v>590</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611</v>
      </c>
      <c r="D32" s="151" t="str">
        <f>REPT("   ", B32*2) &amp; C32</f>
        <v xml:space="preserve">            Switchyard</v>
      </c>
      <c r="E32" s="151" t="s">
        <v>35</v>
      </c>
      <c r="F32" s="151"/>
      <c r="G32" s="153"/>
      <c r="H32" s="151"/>
      <c r="I32" s="151"/>
      <c r="J32" s="120"/>
      <c r="K32" s="154">
        <f>0.7*221450153/N32</f>
        <v>516717.02366666665</v>
      </c>
      <c r="L32" s="142" t="s">
        <v>50</v>
      </c>
      <c r="M32" s="155" t="s">
        <v>612</v>
      </c>
      <c r="N32" s="142">
        <v>300</v>
      </c>
      <c r="O32" s="142" t="s">
        <v>52</v>
      </c>
      <c r="P32" s="156">
        <v>0.99680000000000002</v>
      </c>
      <c r="Q32" s="101">
        <v>2025</v>
      </c>
      <c r="R32" s="121" t="s">
        <v>85</v>
      </c>
      <c r="S32" s="144" t="s">
        <v>613</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614</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615</v>
      </c>
      <c r="D34" s="93" t="str">
        <f t="shared" si="25"/>
        <v xml:space="preserve">                  Local Reactor Transport Vehicles</v>
      </c>
      <c r="E34" s="93" t="s">
        <v>35</v>
      </c>
      <c r="F34" s="93" t="s">
        <v>616</v>
      </c>
      <c r="G34" s="94">
        <v>1</v>
      </c>
      <c r="H34" s="93"/>
      <c r="I34" s="93"/>
      <c r="J34" s="169">
        <v>938000</v>
      </c>
      <c r="K34" s="99"/>
      <c r="L34" s="103"/>
      <c r="M34" s="100"/>
      <c r="N34" s="103"/>
      <c r="O34" s="103"/>
      <c r="P34" s="101"/>
      <c r="Q34" s="101">
        <v>2023</v>
      </c>
      <c r="R34" s="103" t="s">
        <v>152</v>
      </c>
      <c r="S34" s="110" t="s">
        <v>617</v>
      </c>
      <c r="T34" s="110" t="s">
        <v>618</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619</v>
      </c>
      <c r="D35" s="93" t="str">
        <f t="shared" si="25"/>
        <v xml:space="preserve">                  Utility Vehicles</v>
      </c>
      <c r="E35" s="93" t="s">
        <v>35</v>
      </c>
      <c r="F35" s="93" t="s">
        <v>620</v>
      </c>
      <c r="G35" s="94">
        <v>1</v>
      </c>
      <c r="H35" s="93"/>
      <c r="I35" s="93"/>
      <c r="J35" s="169">
        <v>50000</v>
      </c>
      <c r="K35" s="99"/>
      <c r="L35" s="103"/>
      <c r="M35" s="100"/>
      <c r="N35" s="103"/>
      <c r="O35" s="103"/>
      <c r="P35" s="101"/>
      <c r="Q35" s="101">
        <v>2024</v>
      </c>
      <c r="R35" s="103" t="s">
        <v>152</v>
      </c>
      <c r="S35" s="110" t="s">
        <v>621</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622</v>
      </c>
      <c r="D36" s="93" t="str">
        <f t="shared" si="25"/>
        <v xml:space="preserve">            Dispered Infrastructure</v>
      </c>
      <c r="E36" s="93"/>
      <c r="F36" s="93"/>
      <c r="G36" s="94"/>
      <c r="H36" s="93"/>
      <c r="I36" s="93"/>
      <c r="J36" s="172"/>
      <c r="K36" s="99"/>
      <c r="L36" s="173"/>
      <c r="M36" s="100"/>
      <c r="N36" s="103"/>
      <c r="O36" s="103"/>
      <c r="P36" s="101"/>
      <c r="Q36" s="101"/>
      <c r="R36" s="103"/>
      <c r="S36" s="174" t="s">
        <v>623</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624</v>
      </c>
      <c r="D37" s="93" t="str">
        <f t="shared" si="25"/>
        <v xml:space="preserve">                  Communication</v>
      </c>
      <c r="E37" s="93" t="s">
        <v>35</v>
      </c>
      <c r="F37" s="93"/>
      <c r="G37" s="94"/>
      <c r="H37" s="93"/>
      <c r="I37" s="93"/>
      <c r="J37" s="169"/>
      <c r="K37" s="177">
        <f>12575250/N37</f>
        <v>11774.578651685393</v>
      </c>
      <c r="L37" s="103" t="s">
        <v>36</v>
      </c>
      <c r="M37" s="178" t="s">
        <v>625</v>
      </c>
      <c r="N37" s="103">
        <v>1068</v>
      </c>
      <c r="O37" s="103" t="s">
        <v>38</v>
      </c>
      <c r="P37" s="101"/>
      <c r="Q37" s="101">
        <v>2025</v>
      </c>
      <c r="R37" s="103" t="s">
        <v>152</v>
      </c>
      <c r="S37" s="130" t="s">
        <v>626</v>
      </c>
      <c r="T37" s="110"/>
      <c r="U37" s="175"/>
      <c r="V37" s="176"/>
      <c r="W37" s="96"/>
      <c r="X37" s="104"/>
      <c r="Y37" s="104"/>
      <c r="Z37" s="96"/>
      <c r="AA37" s="97"/>
      <c r="AB37" s="97"/>
      <c r="AC37" s="96"/>
      <c r="AD37" s="97"/>
      <c r="AE37" s="97"/>
      <c r="AF37" s="97"/>
      <c r="AG37" s="96"/>
    </row>
    <row r="38" spans="1:33" ht="29" x14ac:dyDescent="0.2">
      <c r="A38" s="90">
        <v>288.2</v>
      </c>
      <c r="B38" s="92">
        <v>3</v>
      </c>
      <c r="C38" s="168" t="s">
        <v>627</v>
      </c>
      <c r="D38" s="93" t="str">
        <f t="shared" si="25"/>
        <v xml:space="preserve">                  Security Cameras</v>
      </c>
      <c r="E38" s="93" t="s">
        <v>35</v>
      </c>
      <c r="F38" s="93" t="s">
        <v>628</v>
      </c>
      <c r="G38" s="94">
        <v>1</v>
      </c>
      <c r="H38" s="93"/>
      <c r="I38" s="93"/>
      <c r="J38" s="179">
        <v>28431</v>
      </c>
      <c r="K38" s="99"/>
      <c r="L38" s="103"/>
      <c r="M38" s="100"/>
      <c r="N38" s="103"/>
      <c r="O38" s="103"/>
      <c r="P38" s="101"/>
      <c r="Q38" s="101">
        <v>2025</v>
      </c>
      <c r="R38" s="103" t="s">
        <v>152</v>
      </c>
      <c r="S38" s="130" t="s">
        <v>629</v>
      </c>
      <c r="T38" s="110"/>
      <c r="U38" s="175"/>
      <c r="V38" s="176"/>
      <c r="W38" s="96"/>
      <c r="X38" s="104"/>
      <c r="Y38" s="104"/>
      <c r="Z38" s="96"/>
      <c r="AA38" s="97"/>
      <c r="AB38" s="97"/>
      <c r="AC38" s="96"/>
      <c r="AD38" s="97"/>
      <c r="AE38" s="97"/>
      <c r="AF38" s="97"/>
      <c r="AG38" s="96"/>
    </row>
    <row r="39" spans="1:33" ht="29" x14ac:dyDescent="0.2">
      <c r="A39" s="90">
        <v>288.3</v>
      </c>
      <c r="B39" s="92">
        <v>3</v>
      </c>
      <c r="C39" s="168" t="s">
        <v>630</v>
      </c>
      <c r="D39" s="93" t="str">
        <f t="shared" si="25"/>
        <v xml:space="preserve">                  Motion Detectors</v>
      </c>
      <c r="E39" s="93" t="s">
        <v>35</v>
      </c>
      <c r="F39" s="93" t="s">
        <v>631</v>
      </c>
      <c r="G39" s="94">
        <v>1</v>
      </c>
      <c r="H39" s="93"/>
      <c r="I39" s="93"/>
      <c r="J39" s="179">
        <v>24057</v>
      </c>
      <c r="K39" s="99"/>
      <c r="L39" s="103"/>
      <c r="M39" s="100"/>
      <c r="N39" s="103"/>
      <c r="O39" s="103"/>
      <c r="P39" s="101"/>
      <c r="Q39" s="101">
        <v>2025</v>
      </c>
      <c r="R39" s="103" t="s">
        <v>152</v>
      </c>
      <c r="S39" s="130" t="s">
        <v>629</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632</v>
      </c>
      <c r="D40" s="93" t="str">
        <f t="shared" si="25"/>
        <v xml:space="preserve">                  Guard Station</v>
      </c>
      <c r="E40" s="93" t="s">
        <v>35</v>
      </c>
      <c r="F40" s="93" t="s">
        <v>633</v>
      </c>
      <c r="G40" s="94">
        <v>1</v>
      </c>
      <c r="H40" s="93"/>
      <c r="I40" s="93"/>
      <c r="J40" s="180">
        <v>6774250</v>
      </c>
      <c r="K40" s="99"/>
      <c r="L40" s="103"/>
      <c r="M40" s="100"/>
      <c r="N40" s="103"/>
      <c r="O40" s="103"/>
      <c r="P40" s="101"/>
      <c r="Q40" s="101">
        <v>2025</v>
      </c>
      <c r="R40" s="103" t="s">
        <v>152</v>
      </c>
      <c r="S40" s="130" t="s">
        <v>629</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369</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376</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377</v>
      </c>
      <c r="D43" s="93" t="str">
        <f t="shared" si="25"/>
        <v xml:space="preserve">      staff recruitment and training</v>
      </c>
      <c r="E43" s="93" t="s">
        <v>35</v>
      </c>
      <c r="F43" s="93" t="s">
        <v>569</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380</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381</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382</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383</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634</v>
      </c>
      <c r="D48" s="93" t="str">
        <f t="shared" si="25"/>
        <v xml:space="preserve">            Operators (Testing Only)</v>
      </c>
      <c r="E48" s="93" t="s">
        <v>267</v>
      </c>
      <c r="F48" s="93"/>
      <c r="G48" s="94"/>
      <c r="H48" s="93"/>
      <c r="I48" s="93"/>
      <c r="J48" s="120"/>
      <c r="K48" s="99">
        <v>178500</v>
      </c>
      <c r="L48" s="103" t="s">
        <v>385</v>
      </c>
      <c r="M48" s="110" t="s">
        <v>635</v>
      </c>
      <c r="N48" s="103"/>
      <c r="O48" s="103"/>
      <c r="P48" s="101">
        <v>1</v>
      </c>
      <c r="Q48" s="101">
        <v>2024</v>
      </c>
      <c r="R48" s="103" t="s">
        <v>53</v>
      </c>
      <c r="S48" s="110"/>
      <c r="T48" s="110" t="s">
        <v>387</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57" x14ac:dyDescent="0.2">
      <c r="A49" s="107">
        <v>712</v>
      </c>
      <c r="B49" s="92">
        <f t="shared" si="24"/>
        <v>2</v>
      </c>
      <c r="C49" s="109" t="s">
        <v>636</v>
      </c>
      <c r="D49" s="93" t="str">
        <f t="shared" si="25"/>
        <v xml:space="preserve">            Warehouse Staff</v>
      </c>
      <c r="E49" s="93" t="s">
        <v>267</v>
      </c>
      <c r="F49" s="93"/>
      <c r="G49" s="94"/>
      <c r="H49" s="93"/>
      <c r="I49" s="93"/>
      <c r="J49" s="120"/>
      <c r="K49" s="60">
        <v>113000</v>
      </c>
      <c r="L49" s="49" t="s">
        <v>385</v>
      </c>
      <c r="M49" s="58" t="s">
        <v>637</v>
      </c>
      <c r="N49" s="103"/>
      <c r="O49" s="103"/>
      <c r="P49" s="49">
        <v>1</v>
      </c>
      <c r="Q49" s="65">
        <v>2024</v>
      </c>
      <c r="R49" s="49" t="s">
        <v>53</v>
      </c>
      <c r="S49" s="58" t="s">
        <v>638</v>
      </c>
      <c r="T49" s="58" t="s">
        <v>639</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392</v>
      </c>
      <c r="D50" s="93" t="str">
        <f t="shared" si="25"/>
        <v xml:space="preserve">            Security Staff </v>
      </c>
      <c r="E50" s="93" t="s">
        <v>267</v>
      </c>
      <c r="F50" s="93"/>
      <c r="G50" s="94"/>
      <c r="H50" s="93"/>
      <c r="I50" s="93"/>
      <c r="J50" s="120"/>
      <c r="K50" s="60">
        <v>178500</v>
      </c>
      <c r="L50" s="49" t="s">
        <v>385</v>
      </c>
      <c r="M50" s="58" t="s">
        <v>640</v>
      </c>
      <c r="N50" s="103"/>
      <c r="O50" s="103"/>
      <c r="P50" s="49">
        <v>1</v>
      </c>
      <c r="Q50" s="65">
        <v>2024</v>
      </c>
      <c r="R50" s="49" t="s">
        <v>53</v>
      </c>
      <c r="S50" s="58"/>
      <c r="T50" s="58" t="s">
        <v>387</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641</v>
      </c>
      <c r="D51" s="93" t="str">
        <f t="shared" si="25"/>
        <v xml:space="preserve">            Maintenance Staff</v>
      </c>
      <c r="E51" s="93" t="s">
        <v>267</v>
      </c>
      <c r="F51" s="93"/>
      <c r="G51" s="94"/>
      <c r="H51" s="93"/>
      <c r="I51" s="93"/>
      <c r="J51" s="120"/>
      <c r="K51" s="60">
        <v>178500</v>
      </c>
      <c r="L51" s="49" t="s">
        <v>385</v>
      </c>
      <c r="M51" s="58" t="s">
        <v>642</v>
      </c>
      <c r="N51" s="103"/>
      <c r="O51" s="103"/>
      <c r="P51" s="49">
        <v>1</v>
      </c>
      <c r="Q51" s="65">
        <v>2024</v>
      </c>
      <c r="R51" s="49" t="s">
        <v>53</v>
      </c>
      <c r="S51" s="58"/>
      <c r="T51" s="58" t="s">
        <v>387</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643</v>
      </c>
      <c r="D52" s="93" t="str">
        <f t="shared" si="25"/>
        <v xml:space="preserve">            Engineering Staff (Testing Only)</v>
      </c>
      <c r="E52" s="93" t="s">
        <v>267</v>
      </c>
      <c r="F52" s="93"/>
      <c r="G52" s="94"/>
      <c r="H52" s="93"/>
      <c r="I52" s="93"/>
      <c r="J52" s="120"/>
      <c r="K52" s="60">
        <v>200000</v>
      </c>
      <c r="L52" s="49" t="s">
        <v>385</v>
      </c>
      <c r="M52" s="183" t="s">
        <v>644</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645</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646</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647</v>
      </c>
      <c r="D55" s="93" t="str">
        <f t="shared" si="25"/>
        <v xml:space="preserve">            Manfuacturing Building Staff</v>
      </c>
      <c r="E55" s="93" t="s">
        <v>35</v>
      </c>
      <c r="F55" s="93"/>
      <c r="G55" s="94"/>
      <c r="H55" s="93"/>
      <c r="I55" s="93"/>
      <c r="J55" s="181"/>
      <c r="K55" s="99">
        <v>2838754.3735329998</v>
      </c>
      <c r="L55" s="103" t="s">
        <v>278</v>
      </c>
      <c r="M55" s="110" t="s">
        <v>593</v>
      </c>
      <c r="N55" s="103">
        <v>1</v>
      </c>
      <c r="O55" s="103" t="s">
        <v>594</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648</v>
      </c>
      <c r="D56" s="93" t="str">
        <f t="shared" si="25"/>
        <v xml:space="preserve">            Fueling Building Staff</v>
      </c>
      <c r="E56" s="93" t="s">
        <v>35</v>
      </c>
      <c r="F56" s="93"/>
      <c r="G56" s="94"/>
      <c r="H56" s="93"/>
      <c r="I56" s="93"/>
      <c r="J56" s="181"/>
      <c r="K56" s="99">
        <v>699358.85747699998</v>
      </c>
      <c r="L56" s="103" t="s">
        <v>278</v>
      </c>
      <c r="M56" s="110" t="s">
        <v>593</v>
      </c>
      <c r="N56" s="103">
        <v>1</v>
      </c>
      <c r="O56" s="103" t="s">
        <v>594</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649</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650</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651</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652</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653</v>
      </c>
      <c r="D61" s="93" t="str">
        <f t="shared" si="25"/>
        <v xml:space="preserve">            Electricity</v>
      </c>
      <c r="E61" s="93" t="s">
        <v>267</v>
      </c>
      <c r="F61" s="93" t="s">
        <v>569</v>
      </c>
      <c r="G61" s="94">
        <v>1</v>
      </c>
      <c r="H61" s="93"/>
      <c r="I61" s="93"/>
      <c r="J61" s="120"/>
      <c r="K61" s="99">
        <v>90</v>
      </c>
      <c r="L61" s="103" t="s">
        <v>417</v>
      </c>
      <c r="M61" s="183" t="s">
        <v>572</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654</v>
      </c>
      <c r="D62" s="93" t="str">
        <f t="shared" si="25"/>
        <v xml:space="preserve">            Manufacturing Building Equipment</v>
      </c>
      <c r="E62" s="93" t="s">
        <v>35</v>
      </c>
      <c r="F62" s="93"/>
      <c r="G62" s="94"/>
      <c r="H62" s="93"/>
      <c r="I62" s="93"/>
      <c r="J62" s="120"/>
      <c r="K62" s="99">
        <v>405910.19340400002</v>
      </c>
      <c r="L62" s="103" t="s">
        <v>278</v>
      </c>
      <c r="M62" s="188" t="s">
        <v>593</v>
      </c>
      <c r="N62" s="103">
        <v>1</v>
      </c>
      <c r="O62" s="103" t="s">
        <v>594</v>
      </c>
      <c r="P62" s="101">
        <v>0.126887</v>
      </c>
      <c r="Q62" s="101">
        <v>2025</v>
      </c>
      <c r="R62" s="103" t="s">
        <v>152</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655</v>
      </c>
      <c r="D63" s="93" t="str">
        <f t="shared" si="25"/>
        <v xml:space="preserve">            Fueling Building Equipment</v>
      </c>
      <c r="E63" s="93" t="s">
        <v>35</v>
      </c>
      <c r="F63" s="93"/>
      <c r="G63" s="94"/>
      <c r="H63" s="93"/>
      <c r="I63" s="93"/>
      <c r="J63" s="120"/>
      <c r="K63" s="99">
        <v>82100.296140000006</v>
      </c>
      <c r="L63" s="103" t="s">
        <v>278</v>
      </c>
      <c r="M63" s="189" t="s">
        <v>593</v>
      </c>
      <c r="N63" s="103">
        <v>1</v>
      </c>
      <c r="O63" s="103" t="s">
        <v>594</v>
      </c>
      <c r="P63" s="101">
        <v>0.159548</v>
      </c>
      <c r="Q63" s="101">
        <v>2025</v>
      </c>
      <c r="R63" s="103" t="s">
        <v>152</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656</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657</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658</v>
      </c>
      <c r="D66" s="93" t="str">
        <f t="shared" si="25"/>
        <v xml:space="preserve">                  Annualized Helium Replenishment</v>
      </c>
      <c r="E66" s="93" t="s">
        <v>35</v>
      </c>
      <c r="F66" s="189" t="s">
        <v>593</v>
      </c>
      <c r="G66" s="94">
        <v>1</v>
      </c>
      <c r="H66" s="93"/>
      <c r="I66" s="93"/>
      <c r="J66" s="120"/>
      <c r="K66" s="99">
        <v>170</v>
      </c>
      <c r="L66" s="103" t="s">
        <v>185</v>
      </c>
      <c r="M66" s="183" t="s">
        <v>659</v>
      </c>
      <c r="N66" s="103"/>
      <c r="O66" s="103" t="s">
        <v>187</v>
      </c>
      <c r="P66" s="101"/>
      <c r="Q66" s="101">
        <v>2024</v>
      </c>
      <c r="R66" s="103" t="s">
        <v>152</v>
      </c>
      <c r="S66" s="190" t="s">
        <v>304</v>
      </c>
      <c r="T66" s="191" t="s">
        <v>304</v>
      </c>
      <c r="U66" s="182" t="s">
        <v>305</v>
      </c>
      <c r="V66" s="103" t="s">
        <v>306</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660</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401</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411</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569</v>
      </c>
      <c r="G3" s="94">
        <v>1</v>
      </c>
      <c r="H3" s="93"/>
      <c r="I3" s="93"/>
      <c r="J3" s="120"/>
      <c r="K3" s="120">
        <v>3800</v>
      </c>
      <c r="L3" s="100" t="s">
        <v>36</v>
      </c>
      <c r="M3" s="100" t="s">
        <v>661</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662</v>
      </c>
      <c r="N4" s="121"/>
      <c r="O4" s="100" t="s">
        <v>52</v>
      </c>
      <c r="P4" s="101"/>
      <c r="Q4" s="101">
        <v>2022</v>
      </c>
      <c r="R4" s="100" t="s">
        <v>53</v>
      </c>
      <c r="S4" s="102" t="s">
        <v>54</v>
      </c>
      <c r="T4" s="224"/>
      <c r="U4" s="225"/>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1000000*(45+70)/2</f>
        <v>57500000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663</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663</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664</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665</v>
      </c>
      <c r="N15" s="121"/>
      <c r="O15" s="100"/>
      <c r="P15" s="123"/>
      <c r="Q15" s="101">
        <v>2025</v>
      </c>
      <c r="R15" s="100" t="s">
        <v>72</v>
      </c>
      <c r="S15" s="130" t="s">
        <v>579</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666</v>
      </c>
      <c r="D16" s="93" t="str">
        <f t="shared" si="1"/>
        <v xml:space="preserve">                        Security Fencing Controlled</v>
      </c>
      <c r="E16" s="93" t="s">
        <v>35</v>
      </c>
      <c r="F16" s="93" t="s">
        <v>569</v>
      </c>
      <c r="G16" s="94">
        <v>1</v>
      </c>
      <c r="H16" s="93"/>
      <c r="I16" s="93"/>
      <c r="J16" s="120"/>
      <c r="K16" s="120">
        <f>0.7*328</f>
        <v>229.6</v>
      </c>
      <c r="L16" s="100" t="s">
        <v>582</v>
      </c>
      <c r="M16" s="100" t="s">
        <v>667</v>
      </c>
      <c r="N16" s="121"/>
      <c r="O16" s="100"/>
      <c r="P16" s="123"/>
      <c r="Q16" s="101">
        <v>2025</v>
      </c>
      <c r="R16" s="100" t="s">
        <v>72</v>
      </c>
      <c r="S16" s="130" t="s">
        <v>579</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584</v>
      </c>
      <c r="D17" s="93" t="str">
        <f t="shared" si="1"/>
        <v xml:space="preserve">                        Security Fencing Protected</v>
      </c>
      <c r="E17" s="93" t="s">
        <v>35</v>
      </c>
      <c r="F17" s="93" t="s">
        <v>569</v>
      </c>
      <c r="G17" s="94">
        <v>1</v>
      </c>
      <c r="H17" s="93"/>
      <c r="I17" s="93"/>
      <c r="J17" s="120"/>
      <c r="K17" s="120">
        <f>0.7*15746</f>
        <v>11022.199999999999</v>
      </c>
      <c r="L17" s="100" t="s">
        <v>582</v>
      </c>
      <c r="M17" s="100" t="s">
        <v>668</v>
      </c>
      <c r="N17" s="121"/>
      <c r="O17" s="100"/>
      <c r="P17" s="123"/>
      <c r="Q17" s="101">
        <v>2025</v>
      </c>
      <c r="R17" s="100" t="s">
        <v>72</v>
      </c>
      <c r="S17" s="130" t="s">
        <v>579</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586</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669</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670</v>
      </c>
      <c r="D20" s="151" t="str">
        <f t="shared" si="1"/>
        <v xml:space="preserve">                        Servicing Hot Cell Building Structure</v>
      </c>
      <c r="E20" s="151" t="s">
        <v>35</v>
      </c>
      <c r="F20" s="151" t="s">
        <v>569</v>
      </c>
      <c r="G20" s="153">
        <v>1</v>
      </c>
      <c r="H20" s="151"/>
      <c r="I20" s="151"/>
      <c r="J20" s="120"/>
      <c r="K20" s="154">
        <f>3476*3.2808^2</f>
        <v>37414.442672640005</v>
      </c>
      <c r="L20" s="142" t="s">
        <v>91</v>
      </c>
      <c r="M20" s="155" t="s">
        <v>671</v>
      </c>
      <c r="N20" s="142">
        <f>338988/(3.2808^2)</f>
        <v>31493.781647632819</v>
      </c>
      <c r="O20" s="142" t="s">
        <v>93</v>
      </c>
      <c r="P20" s="195">
        <v>0.95138500000000004</v>
      </c>
      <c r="Q20" s="101">
        <v>2025</v>
      </c>
      <c r="R20" s="121" t="s">
        <v>85</v>
      </c>
      <c r="S20" s="144" t="s">
        <v>672</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673</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674</v>
      </c>
      <c r="D22" s="151" t="str">
        <f t="shared" ref="D22" si="13">REPT("   ", B22*2) &amp; C22</f>
        <v xml:space="preserve">                        Helium Purification and Storage Building Structure</v>
      </c>
      <c r="E22" s="151" t="s">
        <v>35</v>
      </c>
      <c r="F22" s="151" t="s">
        <v>569</v>
      </c>
      <c r="G22" s="153">
        <v>1</v>
      </c>
      <c r="H22" s="151"/>
      <c r="I22" s="151"/>
      <c r="J22" s="154"/>
      <c r="K22" s="154">
        <f>3031*(3.2808^2)</f>
        <v>32624.619027840003</v>
      </c>
      <c r="L22" s="142" t="s">
        <v>91</v>
      </c>
      <c r="M22" s="155" t="s">
        <v>675</v>
      </c>
      <c r="N22" s="142">
        <v>1</v>
      </c>
      <c r="O22" s="142" t="s">
        <v>93</v>
      </c>
      <c r="P22" s="143">
        <v>1</v>
      </c>
      <c r="Q22" s="101">
        <v>2025</v>
      </c>
      <c r="R22" s="121" t="s">
        <v>85</v>
      </c>
      <c r="S22" s="144" t="s">
        <v>676</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587</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677</v>
      </c>
      <c r="D24" s="93" t="str">
        <f t="shared" ref="D24:D31" si="18">REPT("   ", B24*2) &amp; C24</f>
        <v xml:space="preserve">                        Local Control Building Structure</v>
      </c>
      <c r="E24" s="93" t="s">
        <v>35</v>
      </c>
      <c r="F24" s="93" t="s">
        <v>569</v>
      </c>
      <c r="G24" s="94">
        <v>1</v>
      </c>
      <c r="H24" s="93"/>
      <c r="I24" s="93"/>
      <c r="J24" s="141"/>
      <c r="K24" s="120">
        <f>0.7*2653*(3.2808^2)</f>
        <v>19989.171889344001</v>
      </c>
      <c r="L24" s="100" t="s">
        <v>91</v>
      </c>
      <c r="M24" s="98" t="s">
        <v>678</v>
      </c>
      <c r="N24" s="142">
        <v>1</v>
      </c>
      <c r="O24" s="142" t="s">
        <v>93</v>
      </c>
      <c r="P24" s="143">
        <v>1</v>
      </c>
      <c r="Q24" s="101">
        <v>2025</v>
      </c>
      <c r="R24" s="121" t="s">
        <v>85</v>
      </c>
      <c r="S24" s="144" t="s">
        <v>590</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679</v>
      </c>
      <c r="D25" s="93" t="str">
        <f t="shared" si="18"/>
        <v xml:space="preserve">                        Remote Control Center Structure</v>
      </c>
      <c r="E25" s="93" t="s">
        <v>35</v>
      </c>
      <c r="F25" s="93" t="s">
        <v>569</v>
      </c>
      <c r="G25" s="94">
        <v>1</v>
      </c>
      <c r="H25" s="93"/>
      <c r="I25" s="93"/>
      <c r="J25" s="141"/>
      <c r="K25" s="120">
        <f>0.7*2307*(3.2808^2)</f>
        <v>17382.216188736002</v>
      </c>
      <c r="L25" s="100" t="s">
        <v>91</v>
      </c>
      <c r="M25" s="98" t="s">
        <v>680</v>
      </c>
      <c r="N25" s="142">
        <v>1</v>
      </c>
      <c r="O25" s="142" t="s">
        <v>93</v>
      </c>
      <c r="P25" s="143">
        <v>1</v>
      </c>
      <c r="Q25" s="101">
        <v>2025</v>
      </c>
      <c r="R25" s="121" t="s">
        <v>85</v>
      </c>
      <c r="S25" s="144" t="s">
        <v>590</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681</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682</v>
      </c>
      <c r="D27" s="93" t="str">
        <f t="shared" si="18"/>
        <v xml:space="preserve">                        Radioactive Waste Processing Building Structure</v>
      </c>
      <c r="E27" s="151" t="s">
        <v>35</v>
      </c>
      <c r="F27" s="151" t="s">
        <v>569</v>
      </c>
      <c r="G27" s="153">
        <v>1</v>
      </c>
      <c r="H27" s="151"/>
      <c r="I27" s="151"/>
      <c r="J27" s="120"/>
      <c r="K27" s="154">
        <f>4354*(3.2808^2)</f>
        <v>46864.926178560003</v>
      </c>
      <c r="L27" s="142" t="s">
        <v>91</v>
      </c>
      <c r="M27" s="155" t="s">
        <v>683</v>
      </c>
      <c r="N27" s="142">
        <v>1</v>
      </c>
      <c r="O27" s="142" t="s">
        <v>93</v>
      </c>
      <c r="P27" s="143">
        <v>1</v>
      </c>
      <c r="Q27" s="101">
        <v>2025</v>
      </c>
      <c r="R27" s="121" t="s">
        <v>85</v>
      </c>
      <c r="S27" s="144" t="s">
        <v>676</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684</v>
      </c>
      <c r="D28" s="93" t="str">
        <f t="shared" si="18"/>
        <v xml:space="preserve">                  Used Fuel Storage Pads</v>
      </c>
      <c r="E28" s="93" t="s">
        <v>35</v>
      </c>
      <c r="F28" s="93"/>
      <c r="G28" s="94"/>
      <c r="H28" s="93"/>
      <c r="I28" s="93"/>
      <c r="J28" s="141"/>
      <c r="K28" s="120">
        <f>493700000/(40000*1000)</f>
        <v>12.342499999999999</v>
      </c>
      <c r="L28" s="100" t="s">
        <v>185</v>
      </c>
      <c r="M28" s="155" t="s">
        <v>685</v>
      </c>
      <c r="N28" s="121">
        <v>1</v>
      </c>
      <c r="O28" s="100" t="s">
        <v>187</v>
      </c>
      <c r="P28" s="123">
        <v>1</v>
      </c>
      <c r="Q28" s="101">
        <v>2009</v>
      </c>
      <c r="R28" s="100" t="s">
        <v>85</v>
      </c>
      <c r="S28" s="102" t="s">
        <v>686</v>
      </c>
      <c r="T28" s="102"/>
      <c r="U28" s="140" t="s">
        <v>687</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688</v>
      </c>
      <c r="D29" s="93" t="str">
        <f t="shared" si="18"/>
        <v xml:space="preserve">                  Rad Waste Storage Warehouses</v>
      </c>
      <c r="E29" s="93" t="s">
        <v>35</v>
      </c>
      <c r="F29" s="93"/>
      <c r="G29" s="94"/>
      <c r="H29" s="93"/>
      <c r="I29" s="93"/>
      <c r="J29" s="141"/>
      <c r="K29" s="120">
        <f>1171*(3.2808^2)</f>
        <v>12604.232557440002</v>
      </c>
      <c r="L29" s="100" t="s">
        <v>91</v>
      </c>
      <c r="M29" s="155" t="s">
        <v>689</v>
      </c>
      <c r="N29" s="121">
        <v>1</v>
      </c>
      <c r="O29" s="100" t="s">
        <v>93</v>
      </c>
      <c r="P29" s="123">
        <v>1</v>
      </c>
      <c r="Q29" s="101">
        <v>2025</v>
      </c>
      <c r="R29" s="100" t="s">
        <v>85</v>
      </c>
      <c r="S29" s="144" t="s">
        <v>676</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690</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691</v>
      </c>
      <c r="D31" s="93" t="str">
        <f t="shared" si="18"/>
        <v xml:space="preserve">                  Air Transport Hangar</v>
      </c>
      <c r="E31" s="93" t="s">
        <v>35</v>
      </c>
      <c r="F31" s="93"/>
      <c r="G31" s="94"/>
      <c r="H31" s="93"/>
      <c r="I31" s="93"/>
      <c r="J31" s="196">
        <v>10000000</v>
      </c>
      <c r="K31" s="120"/>
      <c r="L31" s="100"/>
      <c r="M31" s="155"/>
      <c r="N31" s="121"/>
      <c r="O31" s="100"/>
      <c r="P31" s="123"/>
      <c r="Q31" s="101">
        <v>2024</v>
      </c>
      <c r="R31" s="100" t="s">
        <v>152</v>
      </c>
      <c r="S31" s="144" t="s">
        <v>692</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591</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693</v>
      </c>
      <c r="D33" s="151" t="str">
        <f>REPT("   ", B33*2) &amp; C33</f>
        <v xml:space="preserve">            Reactor Cask Management Yard and Inspection Shop</v>
      </c>
      <c r="E33" s="151" t="s">
        <v>35</v>
      </c>
      <c r="F33" s="151"/>
      <c r="G33" s="153"/>
      <c r="H33" s="151"/>
      <c r="I33" s="151"/>
      <c r="J33" s="120"/>
      <c r="K33" s="154">
        <f>0.7*17946522/N33</f>
        <v>41875.217999999993</v>
      </c>
      <c r="L33" s="142"/>
      <c r="M33" s="155" t="s">
        <v>694</v>
      </c>
      <c r="N33" s="142">
        <v>300</v>
      </c>
      <c r="O33" s="142" t="s">
        <v>594</v>
      </c>
      <c r="P33" s="195">
        <v>0.25047999999999998</v>
      </c>
      <c r="Q33" s="101">
        <v>2025</v>
      </c>
      <c r="R33" s="121" t="s">
        <v>85</v>
      </c>
      <c r="S33" s="144" t="s">
        <v>613</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695</v>
      </c>
      <c r="D34" s="151" t="str">
        <f>REPT("   ", B34*2) &amp; C34</f>
        <v xml:space="preserve">            Vehicle Depot and Mechanic Shop</v>
      </c>
      <c r="E34" s="151" t="s">
        <v>35</v>
      </c>
      <c r="F34" s="151"/>
      <c r="G34" s="153"/>
      <c r="H34" s="151"/>
      <c r="I34" s="151"/>
      <c r="J34" s="120"/>
      <c r="K34" s="154">
        <f>0.7*58097655/N34</f>
        <v>135561.19500000001</v>
      </c>
      <c r="L34" s="142"/>
      <c r="M34" s="155" t="s">
        <v>694</v>
      </c>
      <c r="N34" s="142">
        <v>300</v>
      </c>
      <c r="O34" s="142" t="s">
        <v>93</v>
      </c>
      <c r="P34" s="156">
        <v>0.26666499999999999</v>
      </c>
      <c r="Q34" s="101">
        <v>2025</v>
      </c>
      <c r="R34" s="121" t="s">
        <v>85</v>
      </c>
      <c r="S34" s="144" t="s">
        <v>613</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696</v>
      </c>
      <c r="D35" s="151" t="str">
        <f>REPT("   ", B35*2) &amp; C35</f>
        <v xml:space="preserve">            Parts Service Center and Warehouse</v>
      </c>
      <c r="E35" s="151" t="s">
        <v>35</v>
      </c>
      <c r="F35" s="151"/>
      <c r="G35" s="153"/>
      <c r="H35" s="151"/>
      <c r="I35" s="151"/>
      <c r="J35" s="162"/>
      <c r="K35" s="154">
        <v>3842.71</v>
      </c>
      <c r="L35" s="163" t="s">
        <v>91</v>
      </c>
      <c r="M35" s="155" t="s">
        <v>697</v>
      </c>
      <c r="N35" s="142">
        <v>1</v>
      </c>
      <c r="O35" s="142" t="s">
        <v>93</v>
      </c>
      <c r="P35" s="143">
        <v>1</v>
      </c>
      <c r="Q35" s="101">
        <v>2025</v>
      </c>
      <c r="R35" s="121" t="s">
        <v>85</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599</v>
      </c>
      <c r="D36" s="151" t="str">
        <f t="shared" ref="D36" si="34">REPT("   ", B36*2) &amp; C36</f>
        <v xml:space="preserve">            Administrative Building</v>
      </c>
      <c r="E36" s="151" t="s">
        <v>35</v>
      </c>
      <c r="F36" s="151"/>
      <c r="G36" s="153"/>
      <c r="H36" s="151"/>
      <c r="I36" s="151"/>
      <c r="J36" s="120"/>
      <c r="K36" s="154">
        <f>0.7*1968*(3.2808^2)</f>
        <v>14828.002366464001</v>
      </c>
      <c r="L36" s="142" t="s">
        <v>91</v>
      </c>
      <c r="M36" s="155" t="s">
        <v>698</v>
      </c>
      <c r="N36" s="142">
        <v>1</v>
      </c>
      <c r="O36" s="142" t="s">
        <v>93</v>
      </c>
      <c r="P36" s="143">
        <v>1</v>
      </c>
      <c r="Q36" s="101">
        <v>2025</v>
      </c>
      <c r="R36" s="121" t="s">
        <v>85</v>
      </c>
      <c r="S36" s="144" t="s">
        <v>590</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152</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699</v>
      </c>
      <c r="D38" s="93" t="str">
        <f>REPT("   ", B38*2) &amp; C38</f>
        <v xml:space="preserve">            Servicing Hot Cell</v>
      </c>
      <c r="E38" s="93" t="s">
        <v>35</v>
      </c>
      <c r="F38" s="93" t="s">
        <v>700</v>
      </c>
      <c r="G38" s="94">
        <v>1</v>
      </c>
      <c r="H38" s="93"/>
      <c r="I38" s="93"/>
      <c r="J38" s="120">
        <v>1000000000</v>
      </c>
      <c r="K38" s="120"/>
      <c r="L38" s="121"/>
      <c r="M38" s="124"/>
      <c r="N38" s="121"/>
      <c r="O38" s="121"/>
      <c r="P38" s="123"/>
      <c r="Q38" s="101">
        <v>2024</v>
      </c>
      <c r="R38" s="121" t="s">
        <v>85</v>
      </c>
      <c r="S38" s="124" t="s">
        <v>621</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701</v>
      </c>
      <c r="D39" s="151" t="str">
        <f t="shared" ref="D39" si="35">REPT("   ", B39*2) &amp; C39</f>
        <v xml:space="preserve">            Helium Purification Equipment</v>
      </c>
      <c r="E39" s="151" t="s">
        <v>35</v>
      </c>
      <c r="F39" s="151" t="s">
        <v>569</v>
      </c>
      <c r="G39" s="153">
        <v>1</v>
      </c>
      <c r="H39" s="151"/>
      <c r="I39" s="151"/>
      <c r="J39" s="154"/>
      <c r="K39" s="154">
        <f>((4700000+6000000)/2)/N39</f>
        <v>96300000</v>
      </c>
      <c r="L39" s="142"/>
      <c r="M39" s="155" t="s">
        <v>702</v>
      </c>
      <c r="N39" s="198">
        <f>200/3600</f>
        <v>5.5555555555555552E-2</v>
      </c>
      <c r="O39" s="142" t="s">
        <v>321</v>
      </c>
      <c r="P39" s="199">
        <v>0.6</v>
      </c>
      <c r="Q39" s="101">
        <v>2024</v>
      </c>
      <c r="R39" s="142" t="s">
        <v>85</v>
      </c>
      <c r="S39" s="144" t="s">
        <v>703</v>
      </c>
      <c r="T39" s="170" t="s">
        <v>704</v>
      </c>
      <c r="U39" s="171" t="s">
        <v>305</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705</v>
      </c>
      <c r="D40" s="93" t="str">
        <f>REPT("   ", B40*2) &amp; C40</f>
        <v xml:space="preserve">            Radioactive Waste Processing Hot Cell</v>
      </c>
      <c r="E40" s="93" t="s">
        <v>35</v>
      </c>
      <c r="F40" s="93" t="s">
        <v>706</v>
      </c>
      <c r="G40" s="94">
        <v>1</v>
      </c>
      <c r="H40" s="93"/>
      <c r="I40" s="93"/>
      <c r="J40" s="120">
        <v>1000000000</v>
      </c>
      <c r="K40" s="120"/>
      <c r="L40" s="100"/>
      <c r="M40" s="98"/>
      <c r="N40" s="121"/>
      <c r="O40" s="100"/>
      <c r="P40" s="123"/>
      <c r="Q40" s="101">
        <v>2024</v>
      </c>
      <c r="R40" s="100" t="s">
        <v>152</v>
      </c>
      <c r="S40" s="102" t="s">
        <v>621</v>
      </c>
      <c r="T40" s="102"/>
      <c r="U40" s="122"/>
      <c r="V40" s="103" t="s">
        <v>707</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601</v>
      </c>
      <c r="D41" s="93" t="str">
        <f>REPT("   ", B41*2) &amp; C41</f>
        <v xml:space="preserve">            Local Integrated Control Rooms</v>
      </c>
      <c r="E41" s="93" t="s">
        <v>35</v>
      </c>
      <c r="F41" s="93" t="s">
        <v>700</v>
      </c>
      <c r="G41" s="94">
        <v>1</v>
      </c>
      <c r="H41" s="93"/>
      <c r="I41" s="93"/>
      <c r="J41" s="120">
        <f>21555270/2</f>
        <v>10777635</v>
      </c>
      <c r="K41" s="120"/>
      <c r="L41" s="100"/>
      <c r="M41" s="98"/>
      <c r="N41" s="121"/>
      <c r="O41" s="100"/>
      <c r="P41" s="123"/>
      <c r="Q41" s="101">
        <v>1987</v>
      </c>
      <c r="R41" s="100" t="s">
        <v>85</v>
      </c>
      <c r="S41" s="102" t="s">
        <v>708</v>
      </c>
      <c r="T41" s="102" t="s">
        <v>709</v>
      </c>
      <c r="U41" s="140" t="s">
        <v>710</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711</v>
      </c>
      <c r="D42" s="93" t="str">
        <f>REPT("   ", B42*2) &amp; C42</f>
        <v xml:space="preserve">            Remote Control Rooms</v>
      </c>
      <c r="E42" s="93" t="s">
        <v>35</v>
      </c>
      <c r="F42" s="93" t="s">
        <v>569</v>
      </c>
      <c r="G42" s="94">
        <v>1</v>
      </c>
      <c r="H42" s="93"/>
      <c r="I42" s="93"/>
      <c r="J42" s="120"/>
      <c r="K42" s="120">
        <v>100000</v>
      </c>
      <c r="L42" s="100"/>
      <c r="M42" s="93" t="s">
        <v>712</v>
      </c>
      <c r="N42" s="121"/>
      <c r="O42" s="100"/>
      <c r="P42" s="123"/>
      <c r="Q42" s="101">
        <v>2024</v>
      </c>
      <c r="R42" s="100" t="s">
        <v>85</v>
      </c>
      <c r="S42" s="102" t="s">
        <v>713</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714</v>
      </c>
      <c r="D43" s="93" t="str">
        <f>REPT("   ", B43*2) &amp; C43</f>
        <v xml:space="preserve">            Reactor Transport Casks</v>
      </c>
      <c r="E43" s="93" t="s">
        <v>35</v>
      </c>
      <c r="F43" s="93" t="s">
        <v>569</v>
      </c>
      <c r="G43" s="94">
        <v>1</v>
      </c>
      <c r="H43" s="93"/>
      <c r="I43" s="93"/>
      <c r="J43" s="196">
        <v>10000000</v>
      </c>
      <c r="K43" s="120"/>
      <c r="L43" s="100"/>
      <c r="M43" s="93" t="s">
        <v>715</v>
      </c>
      <c r="N43" s="121"/>
      <c r="O43" s="100"/>
      <c r="P43" s="123"/>
      <c r="Q43" s="101">
        <v>2024</v>
      </c>
      <c r="R43" s="100" t="s">
        <v>85</v>
      </c>
      <c r="S43" s="102" t="s">
        <v>621</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603</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604</v>
      </c>
      <c r="D45" s="151" t="str">
        <f>REPT("   ", B45*2) &amp; C45</f>
        <v xml:space="preserve">            Emergency Power</v>
      </c>
      <c r="E45" s="151" t="s">
        <v>35</v>
      </c>
      <c r="F45" s="151"/>
      <c r="G45" s="153"/>
      <c r="H45" s="151"/>
      <c r="I45" s="151"/>
      <c r="J45" s="120"/>
      <c r="K45" s="154">
        <f>(1450000*5+1500000)/2.5</f>
        <v>3500000</v>
      </c>
      <c r="L45" s="142" t="s">
        <v>50</v>
      </c>
      <c r="M45" s="155" t="s">
        <v>716</v>
      </c>
      <c r="N45" s="142">
        <v>1</v>
      </c>
      <c r="O45" s="142" t="s">
        <v>52</v>
      </c>
      <c r="P45" s="143">
        <v>1</v>
      </c>
      <c r="Q45" s="101">
        <v>2025</v>
      </c>
      <c r="R45" s="121" t="s">
        <v>152</v>
      </c>
      <c r="S45" s="170" t="s">
        <v>606</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717</v>
      </c>
      <c r="D46" s="151" t="str">
        <f>REPT("   ", B46*2) &amp; C46</f>
        <v xml:space="preserve">            Service Air Water Building</v>
      </c>
      <c r="E46" s="151" t="s">
        <v>35</v>
      </c>
      <c r="F46" s="151" t="s">
        <v>718</v>
      </c>
      <c r="G46" s="153">
        <v>1</v>
      </c>
      <c r="H46" s="151"/>
      <c r="I46" s="151"/>
      <c r="J46" s="120">
        <v>15090300</v>
      </c>
      <c r="K46" s="154"/>
      <c r="L46" s="142"/>
      <c r="M46" s="155"/>
      <c r="N46" s="142"/>
      <c r="O46" s="142"/>
      <c r="P46" s="143"/>
      <c r="Q46" s="101">
        <v>2025</v>
      </c>
      <c r="R46" s="121" t="s">
        <v>85</v>
      </c>
      <c r="S46" s="144" t="s">
        <v>676</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607</v>
      </c>
      <c r="D47" s="151" t="str">
        <f t="shared" ref="D47:D48" si="49">REPT("   ", B47*2) &amp; C47</f>
        <v xml:space="preserve">            Fire Station</v>
      </c>
      <c r="E47" s="151" t="s">
        <v>35</v>
      </c>
      <c r="F47" s="151" t="s">
        <v>719</v>
      </c>
      <c r="G47" s="153">
        <v>1</v>
      </c>
      <c r="H47" s="151"/>
      <c r="I47" s="151"/>
      <c r="J47" s="120">
        <f>0.7*20776500</f>
        <v>14543550</v>
      </c>
      <c r="K47" s="154"/>
      <c r="L47" s="142"/>
      <c r="M47" s="155"/>
      <c r="N47" s="142"/>
      <c r="O47" s="142"/>
      <c r="P47" s="143"/>
      <c r="Q47" s="101">
        <v>2025</v>
      </c>
      <c r="R47" s="121" t="s">
        <v>85</v>
      </c>
      <c r="S47" s="144" t="s">
        <v>590</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609</v>
      </c>
      <c r="D48" s="151" t="str">
        <f t="shared" si="49"/>
        <v xml:space="preserve">            Security Building</v>
      </c>
      <c r="E48" s="151" t="s">
        <v>35</v>
      </c>
      <c r="F48" s="151"/>
      <c r="G48" s="153"/>
      <c r="H48" s="151"/>
      <c r="I48" s="151"/>
      <c r="J48" s="120"/>
      <c r="K48" s="154">
        <f>0.7*2548*(3.2808^2)</f>
        <v>19198.043714304</v>
      </c>
      <c r="L48" s="142" t="s">
        <v>91</v>
      </c>
      <c r="M48" s="155" t="s">
        <v>720</v>
      </c>
      <c r="N48" s="142">
        <v>1</v>
      </c>
      <c r="O48" s="142" t="s">
        <v>93</v>
      </c>
      <c r="P48" s="143">
        <v>1</v>
      </c>
      <c r="Q48" s="101">
        <v>2025</v>
      </c>
      <c r="R48" s="121" t="s">
        <v>85</v>
      </c>
      <c r="S48" s="144" t="s">
        <v>590</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611</v>
      </c>
      <c r="D49" s="151" t="str">
        <f>REPT("   ", B49*2) &amp; C49</f>
        <v xml:space="preserve">            Switchyard</v>
      </c>
      <c r="E49" s="151" t="s">
        <v>35</v>
      </c>
      <c r="F49" s="151"/>
      <c r="G49" s="153"/>
      <c r="H49" s="151"/>
      <c r="I49" s="151"/>
      <c r="J49" s="120"/>
      <c r="K49" s="154">
        <f>0.7*221450153/N49</f>
        <v>516717.02366666665</v>
      </c>
      <c r="L49" s="142" t="s">
        <v>50</v>
      </c>
      <c r="M49" s="155" t="s">
        <v>662</v>
      </c>
      <c r="N49" s="142">
        <v>300</v>
      </c>
      <c r="O49" s="142" t="s">
        <v>52</v>
      </c>
      <c r="P49" s="156">
        <v>0.99680000000000002</v>
      </c>
      <c r="Q49" s="101">
        <v>2025</v>
      </c>
      <c r="R49" s="121" t="s">
        <v>85</v>
      </c>
      <c r="S49" s="144" t="s">
        <v>613</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614</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615</v>
      </c>
      <c r="D51" s="93" t="str">
        <f t="shared" si="44"/>
        <v xml:space="preserve">                  Local Reactor Transport Vehicles</v>
      </c>
      <c r="E51" s="93" t="s">
        <v>35</v>
      </c>
      <c r="F51" s="93" t="s">
        <v>721</v>
      </c>
      <c r="G51" s="94">
        <v>1</v>
      </c>
      <c r="H51" s="93"/>
      <c r="I51" s="93"/>
      <c r="J51" s="169">
        <v>938000</v>
      </c>
      <c r="K51" s="99"/>
      <c r="L51" s="103"/>
      <c r="M51" s="100"/>
      <c r="N51" s="103"/>
      <c r="O51" s="103"/>
      <c r="P51" s="101"/>
      <c r="Q51" s="101">
        <v>2023</v>
      </c>
      <c r="R51" s="103" t="s">
        <v>152</v>
      </c>
      <c r="S51" s="110" t="s">
        <v>617</v>
      </c>
      <c r="T51" s="110" t="s">
        <v>618</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619</v>
      </c>
      <c r="D52" s="93" t="str">
        <f t="shared" si="44"/>
        <v xml:space="preserve">                  Utility Vehicles</v>
      </c>
      <c r="E52" s="93" t="s">
        <v>35</v>
      </c>
      <c r="F52" s="93" t="s">
        <v>722</v>
      </c>
      <c r="G52" s="94">
        <v>1</v>
      </c>
      <c r="H52" s="93"/>
      <c r="I52" s="93"/>
      <c r="J52" s="169">
        <v>50000</v>
      </c>
      <c r="K52" s="99"/>
      <c r="L52" s="103"/>
      <c r="M52" s="100"/>
      <c r="N52" s="103"/>
      <c r="O52" s="103"/>
      <c r="P52" s="101"/>
      <c r="Q52" s="101">
        <v>2024</v>
      </c>
      <c r="R52" s="103" t="s">
        <v>152</v>
      </c>
      <c r="S52" s="110" t="s">
        <v>621</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723</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724</v>
      </c>
      <c r="D54" s="93" t="str">
        <f t="shared" si="44"/>
        <v xml:space="preserve">                  Reactor Transport Vehicles</v>
      </c>
      <c r="E54" s="93" t="s">
        <v>35</v>
      </c>
      <c r="F54" s="93" t="s">
        <v>725</v>
      </c>
      <c r="G54" s="94">
        <v>1</v>
      </c>
      <c r="H54" s="93"/>
      <c r="I54" s="93"/>
      <c r="J54" s="169">
        <v>1000000</v>
      </c>
      <c r="K54" s="99"/>
      <c r="L54" s="103"/>
      <c r="M54" s="100"/>
      <c r="N54" s="103"/>
      <c r="O54" s="103"/>
      <c r="P54" s="101"/>
      <c r="Q54" s="101">
        <v>2024</v>
      </c>
      <c r="R54" s="103" t="s">
        <v>152</v>
      </c>
      <c r="S54" s="110" t="s">
        <v>621</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726</v>
      </c>
      <c r="D55" s="93" t="str">
        <f t="shared" si="44"/>
        <v xml:space="preserve">                  Helium Transport Trucks</v>
      </c>
      <c r="E55" s="93" t="s">
        <v>35</v>
      </c>
      <c r="F55" s="93" t="s">
        <v>727</v>
      </c>
      <c r="G55" s="94">
        <v>1</v>
      </c>
      <c r="H55" s="93"/>
      <c r="I55" s="93"/>
      <c r="J55" s="169">
        <v>500000</v>
      </c>
      <c r="K55" s="99"/>
      <c r="L55" s="103"/>
      <c r="M55" s="100"/>
      <c r="N55" s="103"/>
      <c r="O55" s="103"/>
      <c r="P55" s="101"/>
      <c r="Q55" s="101">
        <v>2024</v>
      </c>
      <c r="R55" s="103" t="s">
        <v>152</v>
      </c>
      <c r="S55" s="110" t="s">
        <v>621</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728</v>
      </c>
      <c r="D56" s="93" t="str">
        <f t="shared" si="44"/>
        <v xml:space="preserve">                  Water Tanker Trucks</v>
      </c>
      <c r="E56" s="93" t="s">
        <v>35</v>
      </c>
      <c r="F56" s="93" t="s">
        <v>729</v>
      </c>
      <c r="G56" s="94">
        <v>1</v>
      </c>
      <c r="H56" s="93"/>
      <c r="I56" s="93"/>
      <c r="J56" s="169">
        <v>300000</v>
      </c>
      <c r="K56" s="99"/>
      <c r="L56" s="103"/>
      <c r="M56" s="100"/>
      <c r="N56" s="103"/>
      <c r="O56" s="103"/>
      <c r="P56" s="101"/>
      <c r="Q56" s="101">
        <v>2024</v>
      </c>
      <c r="R56" s="103" t="s">
        <v>152</v>
      </c>
      <c r="S56" s="110" t="s">
        <v>621</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730</v>
      </c>
      <c r="D57" s="93" t="str">
        <f t="shared" si="44"/>
        <v xml:space="preserve">                  Maintenance Trucks</v>
      </c>
      <c r="E57" s="93" t="s">
        <v>35</v>
      </c>
      <c r="F57" s="93" t="s">
        <v>731</v>
      </c>
      <c r="G57" s="94">
        <v>1</v>
      </c>
      <c r="H57" s="93"/>
      <c r="I57" s="93"/>
      <c r="J57" s="169">
        <v>500000</v>
      </c>
      <c r="K57" s="99"/>
      <c r="L57" s="103"/>
      <c r="M57" s="100"/>
      <c r="N57" s="103"/>
      <c r="O57" s="103"/>
      <c r="P57" s="101"/>
      <c r="Q57" s="101">
        <v>2024</v>
      </c>
      <c r="R57" s="103" t="s">
        <v>152</v>
      </c>
      <c r="S57" s="110" t="s">
        <v>621</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732</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733</v>
      </c>
      <c r="D59" s="93" t="str">
        <f t="shared" si="44"/>
        <v xml:space="preserve">                        Heavy Lift Helicopters</v>
      </c>
      <c r="E59" s="93" t="s">
        <v>35</v>
      </c>
      <c r="F59" s="93" t="s">
        <v>734</v>
      </c>
      <c r="G59" s="94">
        <v>1</v>
      </c>
      <c r="H59" s="93"/>
      <c r="I59" s="93"/>
      <c r="J59" s="169">
        <v>50000000</v>
      </c>
      <c r="K59" s="99"/>
      <c r="L59" s="103"/>
      <c r="M59" s="100"/>
      <c r="N59" s="103"/>
      <c r="O59" s="103"/>
      <c r="P59" s="101"/>
      <c r="Q59" s="101">
        <v>2024</v>
      </c>
      <c r="R59" s="103" t="s">
        <v>152</v>
      </c>
      <c r="S59" s="110" t="s">
        <v>692</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735</v>
      </c>
      <c r="D60" s="93" t="str">
        <f t="shared" si="44"/>
        <v xml:space="preserve">                        Aircraft Maintenance Equipment</v>
      </c>
      <c r="E60" s="93" t="s">
        <v>35</v>
      </c>
      <c r="F60" s="93" t="s">
        <v>569</v>
      </c>
      <c r="G60" s="94">
        <v>1</v>
      </c>
      <c r="H60" s="93"/>
      <c r="I60" s="93"/>
      <c r="J60" s="169">
        <v>1000000</v>
      </c>
      <c r="K60" s="99"/>
      <c r="L60" s="103"/>
      <c r="M60" s="100"/>
      <c r="N60" s="103"/>
      <c r="O60" s="103"/>
      <c r="P60" s="101"/>
      <c r="Q60" s="101">
        <v>2024</v>
      </c>
      <c r="R60" s="103" t="s">
        <v>152</v>
      </c>
      <c r="S60" s="110" t="s">
        <v>692</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622</v>
      </c>
      <c r="D61" s="93" t="str">
        <f t="shared" si="44"/>
        <v xml:space="preserve">            Dispered Infrastructure</v>
      </c>
      <c r="E61" s="93"/>
      <c r="F61" s="93"/>
      <c r="G61" s="94"/>
      <c r="H61" s="93"/>
      <c r="I61" s="93"/>
      <c r="J61" s="172"/>
      <c r="K61" s="99"/>
      <c r="L61" s="173"/>
      <c r="M61" s="100"/>
      <c r="N61" s="103"/>
      <c r="O61" s="103"/>
      <c r="P61" s="101"/>
      <c r="Q61" s="101"/>
      <c r="R61" s="103"/>
      <c r="S61" s="174" t="s">
        <v>623</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624</v>
      </c>
      <c r="D62" s="93" t="str">
        <f t="shared" si="44"/>
        <v xml:space="preserve">                  Communication</v>
      </c>
      <c r="E62" s="93" t="s">
        <v>35</v>
      </c>
      <c r="F62" s="93"/>
      <c r="G62" s="94"/>
      <c r="H62" s="93"/>
      <c r="I62" s="93"/>
      <c r="J62" s="169"/>
      <c r="K62" s="177">
        <f>12575250/N62</f>
        <v>11774.578651685393</v>
      </c>
      <c r="L62" s="103" t="s">
        <v>36</v>
      </c>
      <c r="M62" s="178" t="s">
        <v>663</v>
      </c>
      <c r="N62" s="103">
        <v>1068</v>
      </c>
      <c r="O62" s="103" t="s">
        <v>38</v>
      </c>
      <c r="P62" s="101"/>
      <c r="Q62" s="101">
        <v>2025</v>
      </c>
      <c r="R62" s="103" t="s">
        <v>152</v>
      </c>
      <c r="S62" s="130" t="s">
        <v>626</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627</v>
      </c>
      <c r="D63" s="93" t="str">
        <f t="shared" si="44"/>
        <v xml:space="preserve">                  Security Cameras</v>
      </c>
      <c r="E63" s="93" t="s">
        <v>35</v>
      </c>
      <c r="F63" s="93" t="s">
        <v>736</v>
      </c>
      <c r="G63" s="94">
        <v>1</v>
      </c>
      <c r="H63" s="93"/>
      <c r="I63" s="93"/>
      <c r="J63" s="179">
        <v>28431</v>
      </c>
      <c r="K63" s="99"/>
      <c r="L63" s="103"/>
      <c r="M63" s="100"/>
      <c r="N63" s="103"/>
      <c r="O63" s="103"/>
      <c r="P63" s="101"/>
      <c r="Q63" s="101">
        <v>2025</v>
      </c>
      <c r="R63" s="103" t="s">
        <v>152</v>
      </c>
      <c r="S63" s="130" t="s">
        <v>629</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630</v>
      </c>
      <c r="D64" s="93" t="str">
        <f t="shared" si="44"/>
        <v xml:space="preserve">                  Motion Detectors</v>
      </c>
      <c r="E64" s="93" t="s">
        <v>35</v>
      </c>
      <c r="F64" s="93" t="s">
        <v>737</v>
      </c>
      <c r="G64" s="94">
        <v>1</v>
      </c>
      <c r="H64" s="93"/>
      <c r="I64" s="93"/>
      <c r="J64" s="179">
        <v>24057</v>
      </c>
      <c r="K64" s="99"/>
      <c r="L64" s="103"/>
      <c r="M64" s="100"/>
      <c r="N64" s="103"/>
      <c r="O64" s="103"/>
      <c r="P64" s="101"/>
      <c r="Q64" s="101">
        <v>2025</v>
      </c>
      <c r="R64" s="103" t="s">
        <v>152</v>
      </c>
      <c r="S64" s="130" t="s">
        <v>629</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632</v>
      </c>
      <c r="D65" s="93" t="str">
        <f t="shared" si="44"/>
        <v xml:space="preserve">                  Guard Station</v>
      </c>
      <c r="E65" s="93" t="s">
        <v>35</v>
      </c>
      <c r="F65" s="93" t="s">
        <v>738</v>
      </c>
      <c r="G65" s="94">
        <v>1</v>
      </c>
      <c r="H65" s="93"/>
      <c r="I65" s="93"/>
      <c r="J65" s="180">
        <v>6774250</v>
      </c>
      <c r="K65" s="99"/>
      <c r="L65" s="103"/>
      <c r="M65" s="100"/>
      <c r="N65" s="103"/>
      <c r="O65" s="103"/>
      <c r="P65" s="101"/>
      <c r="Q65" s="101">
        <v>2025</v>
      </c>
      <c r="R65" s="103" t="s">
        <v>152</v>
      </c>
      <c r="S65" s="130" t="s">
        <v>629</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739</v>
      </c>
      <c r="D66" s="93" t="str">
        <f>REPT("   ", B66*2) &amp; C66</f>
        <v xml:space="preserve">                  Radiation Monitors</v>
      </c>
      <c r="E66" s="93" t="s">
        <v>35</v>
      </c>
      <c r="F66" s="93" t="s">
        <v>740</v>
      </c>
      <c r="G66" s="94">
        <v>1</v>
      </c>
      <c r="H66" s="93"/>
      <c r="I66" s="93"/>
      <c r="J66" s="169">
        <v>656100</v>
      </c>
      <c r="K66" s="99"/>
      <c r="L66" s="103"/>
      <c r="M66" s="100"/>
      <c r="N66" s="103"/>
      <c r="O66" s="103"/>
      <c r="P66" s="101"/>
      <c r="Q66" s="101">
        <v>2025</v>
      </c>
      <c r="R66" s="103" t="s">
        <v>152</v>
      </c>
      <c r="S66" s="130" t="s">
        <v>629</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369</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376</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377</v>
      </c>
      <c r="D69" s="93" t="str">
        <f t="shared" si="44"/>
        <v xml:space="preserve">      staff recruitment and training</v>
      </c>
      <c r="E69" s="93" t="s">
        <v>35</v>
      </c>
      <c r="F69" s="93" t="s">
        <v>569</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380</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381</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382</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383</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384</v>
      </c>
      <c r="D74" s="93" t="str">
        <f t="shared" si="44"/>
        <v xml:space="preserve">            Operators </v>
      </c>
      <c r="E74" s="93" t="s">
        <v>267</v>
      </c>
      <c r="F74" s="93" t="s">
        <v>741</v>
      </c>
      <c r="G74" s="94">
        <v>1</v>
      </c>
      <c r="H74" s="93"/>
      <c r="I74" s="93"/>
      <c r="J74" s="120"/>
      <c r="K74" s="99">
        <v>178500</v>
      </c>
      <c r="L74" s="103" t="s">
        <v>385</v>
      </c>
      <c r="M74" s="110" t="s">
        <v>742</v>
      </c>
      <c r="N74" s="103"/>
      <c r="O74" s="103"/>
      <c r="P74" s="101">
        <v>1</v>
      </c>
      <c r="Q74" s="101">
        <v>2024</v>
      </c>
      <c r="R74" s="103" t="s">
        <v>53</v>
      </c>
      <c r="S74" s="110"/>
      <c r="T74" s="110" t="s">
        <v>387</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388</v>
      </c>
      <c r="D75" s="93" t="str">
        <f t="shared" si="44"/>
        <v xml:space="preserve">            Remote Monitoring Technicians </v>
      </c>
      <c r="E75" s="93" t="s">
        <v>267</v>
      </c>
      <c r="F75" s="93" t="s">
        <v>391</v>
      </c>
      <c r="G75" s="94">
        <v>1</v>
      </c>
      <c r="H75" s="93"/>
      <c r="I75" s="93"/>
      <c r="J75" s="120"/>
      <c r="K75" s="60">
        <v>178500</v>
      </c>
      <c r="L75" s="49" t="s">
        <v>385</v>
      </c>
      <c r="M75" s="93" t="s">
        <v>712</v>
      </c>
      <c r="N75" s="103"/>
      <c r="O75" s="103"/>
      <c r="P75" s="49">
        <v>1</v>
      </c>
      <c r="Q75" s="65">
        <v>2024</v>
      </c>
      <c r="R75" s="49" t="s">
        <v>53</v>
      </c>
      <c r="S75" s="58"/>
      <c r="T75" s="58" t="s">
        <v>387</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392</v>
      </c>
      <c r="D76" s="93" t="str">
        <f t="shared" si="44"/>
        <v xml:space="preserve">            Security Staff </v>
      </c>
      <c r="E76" s="93" t="s">
        <v>267</v>
      </c>
      <c r="F76" s="93" t="s">
        <v>741</v>
      </c>
      <c r="G76" s="94">
        <v>1</v>
      </c>
      <c r="H76" s="93"/>
      <c r="I76" s="93"/>
      <c r="J76" s="120"/>
      <c r="K76" s="60">
        <v>178500</v>
      </c>
      <c r="L76" s="49" t="s">
        <v>385</v>
      </c>
      <c r="M76" s="58" t="s">
        <v>743</v>
      </c>
      <c r="N76" s="103"/>
      <c r="O76" s="103"/>
      <c r="P76" s="49">
        <v>1</v>
      </c>
      <c r="Q76" s="65">
        <v>2024</v>
      </c>
      <c r="R76" s="49" t="s">
        <v>53</v>
      </c>
      <c r="S76" s="58"/>
      <c r="T76" s="58" t="s">
        <v>387</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641</v>
      </c>
      <c r="D77" s="93" t="str">
        <f t="shared" si="44"/>
        <v xml:space="preserve">            Maintenance Staff</v>
      </c>
      <c r="E77" s="93" t="s">
        <v>267</v>
      </c>
      <c r="F77" s="93" t="s">
        <v>741</v>
      </c>
      <c r="G77" s="94">
        <v>1</v>
      </c>
      <c r="H77" s="93"/>
      <c r="I77" s="93"/>
      <c r="J77" s="120"/>
      <c r="K77" s="60">
        <v>178500</v>
      </c>
      <c r="L77" s="49" t="s">
        <v>385</v>
      </c>
      <c r="M77" s="58" t="s">
        <v>791</v>
      </c>
      <c r="N77" s="103"/>
      <c r="O77" s="103"/>
      <c r="P77" s="49">
        <v>1</v>
      </c>
      <c r="Q77" s="65">
        <v>2024</v>
      </c>
      <c r="R77" s="49" t="s">
        <v>53</v>
      </c>
      <c r="S77" s="58"/>
      <c r="T77" s="58" t="s">
        <v>387</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744</v>
      </c>
      <c r="D78" s="93" t="str">
        <f t="shared" si="44"/>
        <v xml:space="preserve">            Engineering Staff</v>
      </c>
      <c r="E78" s="93" t="s">
        <v>267</v>
      </c>
      <c r="F78" s="93"/>
      <c r="G78" s="94"/>
      <c r="H78" s="93"/>
      <c r="I78" s="93"/>
      <c r="J78" s="120"/>
      <c r="K78" s="60">
        <v>200000</v>
      </c>
      <c r="L78" s="49" t="s">
        <v>385</v>
      </c>
      <c r="M78" s="183" t="s">
        <v>745</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645</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646</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649</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746</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747</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652</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653</v>
      </c>
      <c r="D85" s="93" t="str">
        <f t="shared" si="44"/>
        <v xml:space="preserve">            Electricity</v>
      </c>
      <c r="E85" s="93" t="s">
        <v>267</v>
      </c>
      <c r="F85" s="93" t="s">
        <v>569</v>
      </c>
      <c r="G85" s="94">
        <v>1</v>
      </c>
      <c r="H85" s="93"/>
      <c r="I85" s="93"/>
      <c r="J85" s="120"/>
      <c r="K85" s="99">
        <v>90</v>
      </c>
      <c r="L85" s="103" t="s">
        <v>417</v>
      </c>
      <c r="M85" s="93" t="s">
        <v>748</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657</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749</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750</v>
      </c>
      <c r="D88" s="93" t="str">
        <f t="shared" si="44"/>
        <v xml:space="preserve">                        Used Fuel Cask</v>
      </c>
      <c r="E88" s="93" t="s">
        <v>35</v>
      </c>
      <c r="F88" s="93" t="s">
        <v>751</v>
      </c>
      <c r="G88" s="94">
        <v>1</v>
      </c>
      <c r="H88" s="93"/>
      <c r="I88" s="93"/>
      <c r="J88" s="120">
        <v>1159000</v>
      </c>
      <c r="K88" s="99"/>
      <c r="L88" s="103"/>
      <c r="M88" s="110"/>
      <c r="N88" s="103"/>
      <c r="O88" s="103"/>
      <c r="P88" s="101"/>
      <c r="Q88" s="101">
        <v>2023</v>
      </c>
      <c r="R88" s="103" t="s">
        <v>152</v>
      </c>
      <c r="S88" s="110" t="s">
        <v>752</v>
      </c>
      <c r="T88" s="111"/>
      <c r="U88" s="182"/>
      <c r="V88" s="103" t="s">
        <v>753</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754</v>
      </c>
      <c r="D89" s="93" t="str">
        <f t="shared" si="44"/>
        <v xml:space="preserve">                        Reactor Transport Cask</v>
      </c>
      <c r="E89" s="93" t="s">
        <v>35</v>
      </c>
      <c r="F89" s="93" t="s">
        <v>755</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756</v>
      </c>
      <c r="D90" s="93" t="str">
        <f t="shared" si="44"/>
        <v xml:space="preserve">                        Radwaste Storage Cask</v>
      </c>
      <c r="E90" s="93" t="s">
        <v>35</v>
      </c>
      <c r="F90" s="93" t="s">
        <v>757</v>
      </c>
      <c r="G90" s="94">
        <v>1</v>
      </c>
      <c r="H90" s="93"/>
      <c r="I90" s="93"/>
      <c r="J90" s="120">
        <v>1159000</v>
      </c>
      <c r="K90" s="99"/>
      <c r="L90" s="103"/>
      <c r="M90" s="110"/>
      <c r="N90" s="103"/>
      <c r="O90" s="103"/>
      <c r="P90" s="101"/>
      <c r="Q90" s="101">
        <v>2023</v>
      </c>
      <c r="R90" s="103" t="s">
        <v>152</v>
      </c>
      <c r="S90" s="110" t="s">
        <v>752</v>
      </c>
      <c r="T90" s="111"/>
      <c r="U90" s="182"/>
      <c r="V90" s="103" t="s">
        <v>753</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658</v>
      </c>
      <c r="D91" s="93" t="str">
        <f t="shared" si="44"/>
        <v xml:space="preserve">                  Annualized Helium Replenishment</v>
      </c>
      <c r="E91" s="93" t="s">
        <v>35</v>
      </c>
      <c r="F91" s="189" t="s">
        <v>569</v>
      </c>
      <c r="G91" s="94">
        <v>1</v>
      </c>
      <c r="H91" s="93"/>
      <c r="I91" s="93"/>
      <c r="J91" s="120"/>
      <c r="K91" s="99">
        <v>170</v>
      </c>
      <c r="L91" s="103" t="s">
        <v>185</v>
      </c>
      <c r="M91" s="110" t="s">
        <v>758</v>
      </c>
      <c r="N91" s="103"/>
      <c r="O91" s="103" t="s">
        <v>187</v>
      </c>
      <c r="P91" s="101"/>
      <c r="Q91" s="101">
        <v>2024</v>
      </c>
      <c r="R91" s="103" t="s">
        <v>152</v>
      </c>
      <c r="S91" s="110" t="s">
        <v>304</v>
      </c>
      <c r="T91" s="111" t="s">
        <v>304</v>
      </c>
      <c r="U91" s="182" t="s">
        <v>305</v>
      </c>
      <c r="V91" s="103" t="s">
        <v>306</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660</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759</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760</v>
      </c>
      <c r="D94" s="93" t="str">
        <f t="shared" si="44"/>
        <v xml:space="preserve">                        Reactor Transport Vehicles O&amp;M</v>
      </c>
      <c r="E94" s="93" t="s">
        <v>35</v>
      </c>
      <c r="F94" s="93" t="s">
        <v>725</v>
      </c>
      <c r="G94" s="94">
        <v>1</v>
      </c>
      <c r="H94" s="93"/>
      <c r="I94" s="93"/>
      <c r="J94" s="181">
        <f>36*200000+1000000</f>
        <v>8200000</v>
      </c>
      <c r="K94" s="99"/>
      <c r="L94" s="103"/>
      <c r="M94" s="110"/>
      <c r="N94" s="103"/>
      <c r="O94" s="103"/>
      <c r="P94" s="101"/>
      <c r="Q94" s="101">
        <v>2024</v>
      </c>
      <c r="R94" s="103" t="s">
        <v>72</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761</v>
      </c>
      <c r="D95" s="93" t="str">
        <f t="shared" si="44"/>
        <v xml:space="preserve">                        Helium Transport Trucks O&amp;M</v>
      </c>
      <c r="E95" s="93" t="s">
        <v>35</v>
      </c>
      <c r="F95" s="93" t="s">
        <v>727</v>
      </c>
      <c r="G95" s="94">
        <v>1</v>
      </c>
      <c r="H95" s="93"/>
      <c r="I95" s="93"/>
      <c r="J95" s="181">
        <f>4*200000+500000</f>
        <v>1300000</v>
      </c>
      <c r="K95" s="99"/>
      <c r="L95" s="103"/>
      <c r="M95" s="110"/>
      <c r="N95" s="103"/>
      <c r="O95" s="103"/>
      <c r="P95" s="101"/>
      <c r="Q95" s="101">
        <v>2024</v>
      </c>
      <c r="R95" s="103" t="s">
        <v>72</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762</v>
      </c>
      <c r="D96" s="93" t="str">
        <f t="shared" si="44"/>
        <v xml:space="preserve">                        Water Tanker Trucks O&amp;M</v>
      </c>
      <c r="E96" s="93" t="s">
        <v>35</v>
      </c>
      <c r="F96" s="93" t="s">
        <v>729</v>
      </c>
      <c r="G96" s="94">
        <v>1</v>
      </c>
      <c r="H96" s="93"/>
      <c r="I96" s="93"/>
      <c r="J96" s="181">
        <f>4*200000+400000</f>
        <v>1200000</v>
      </c>
      <c r="K96" s="99"/>
      <c r="L96" s="103"/>
      <c r="M96" s="110"/>
      <c r="N96" s="103"/>
      <c r="O96" s="103"/>
      <c r="P96" s="101"/>
      <c r="Q96" s="101">
        <v>2024</v>
      </c>
      <c r="R96" s="103" t="s">
        <v>72</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763</v>
      </c>
      <c r="D97" s="93" t="str">
        <f t="shared" si="44"/>
        <v xml:space="preserve">                        Maintenance Trucks O&amp;M</v>
      </c>
      <c r="E97" s="93" t="s">
        <v>35</v>
      </c>
      <c r="F97" s="93" t="s">
        <v>731</v>
      </c>
      <c r="G97" s="94">
        <v>1</v>
      </c>
      <c r="H97" s="93"/>
      <c r="I97" s="93"/>
      <c r="J97" s="181">
        <f>10*2*200000+1000000</f>
        <v>5000000</v>
      </c>
      <c r="K97" s="99"/>
      <c r="L97" s="103"/>
      <c r="M97" s="110"/>
      <c r="N97" s="103"/>
      <c r="O97" s="103"/>
      <c r="P97" s="101"/>
      <c r="Q97" s="101">
        <v>2024</v>
      </c>
      <c r="R97" s="103" t="s">
        <v>72</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401</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411</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2026-08-16T22:22:58Z</dcterms:modified>
</cp:coreProperties>
</file>